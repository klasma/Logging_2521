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45827</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45827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45827</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45827</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45827</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45827</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45827</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45827</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45827</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45827</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45827</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45827</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45827</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45827</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45827</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45827</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45827</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45827</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45827</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45827</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45827</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45827</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45827</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45827</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45827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45827</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45827</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45827</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45827</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45827</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45827</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45827</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45827</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45827</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45827</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45827</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45827</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45827</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45827</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45827</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45827</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45827</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45827</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45827</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45827</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45827</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27111-2025</t>
        </is>
      </c>
      <c r="B48" s="1" t="n">
        <v>45811</v>
      </c>
      <c r="C48" s="1" t="n">
        <v>45827</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27111-2025 artfynd.xlsx", "A 27111-2025")</f>
        <v/>
      </c>
      <c r="T48">
        <f>HYPERLINK("https://klasma.github.io/Logging_252521/kartor/A 27111-2025 karta.png", "A 27111-2025")</f>
        <v/>
      </c>
      <c r="V48">
        <f>HYPERLINK("https://klasma.github.io/Logging_252521/klagomål/A 27111-2025 FSC-klagomål.docx", "A 27111-2025")</f>
        <v/>
      </c>
      <c r="W48">
        <f>HYPERLINK("https://klasma.github.io/Logging_252521/klagomålsmail/A 27111-2025 FSC-klagomål mail.docx", "A 27111-2025")</f>
        <v/>
      </c>
      <c r="X48">
        <f>HYPERLINK("https://klasma.github.io/Logging_252521/tillsyn/A 27111-2025 tillsynsbegäran.docx", "A 27111-2025")</f>
        <v/>
      </c>
      <c r="Y48">
        <f>HYPERLINK("https://klasma.github.io/Logging_252521/tillsynsmail/A 27111-2025 tillsynsbegäran mail.docx", "A 27111-2025")</f>
        <v/>
      </c>
    </row>
    <row r="49" ht="15" customHeight="1">
      <c r="A49" t="inlineStr">
        <is>
          <t>A 27113-2025</t>
        </is>
      </c>
      <c r="B49" s="1" t="n">
        <v>45811</v>
      </c>
      <c r="C49" s="1" t="n">
        <v>45827</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27113-2025 artfynd.xlsx", "A 27113-2025")</f>
        <v/>
      </c>
      <c r="T49">
        <f>HYPERLINK("https://klasma.github.io/Logging_252521/kartor/A 27113-2025 karta.png", "A 27113-2025")</f>
        <v/>
      </c>
      <c r="V49">
        <f>HYPERLINK("https://klasma.github.io/Logging_252521/klagomål/A 27113-2025 FSC-klagomål.docx", "A 27113-2025")</f>
        <v/>
      </c>
      <c r="W49">
        <f>HYPERLINK("https://klasma.github.io/Logging_252521/klagomålsmail/A 27113-2025 FSC-klagomål mail.docx", "A 27113-2025")</f>
        <v/>
      </c>
      <c r="X49">
        <f>HYPERLINK("https://klasma.github.io/Logging_252521/tillsyn/A 27113-2025 tillsynsbegäran.docx", "A 27113-2025")</f>
        <v/>
      </c>
      <c r="Y49">
        <f>HYPERLINK("https://klasma.github.io/Logging_252521/tillsynsmail/A 27113-2025 tillsynsbegäran mail.docx", "A 27113-2025")</f>
        <v/>
      </c>
    </row>
    <row r="50" ht="15" customHeight="1">
      <c r="A50" t="inlineStr">
        <is>
          <t>A 46134-2019</t>
        </is>
      </c>
      <c r="B50" s="1" t="n">
        <v>43718</v>
      </c>
      <c r="C50" s="1" t="n">
        <v>45827</v>
      </c>
      <c r="D50" t="inlineStr">
        <is>
          <t>NORRBOTTENS LÄN</t>
        </is>
      </c>
      <c r="E50" t="inlineStr">
        <is>
          <t>PAJALA</t>
        </is>
      </c>
      <c r="F50" t="inlineStr">
        <is>
          <t>Sveaskog</t>
        </is>
      </c>
      <c r="G50" t="n">
        <v>10.1</v>
      </c>
      <c r="H50" t="n">
        <v>0</v>
      </c>
      <c r="I50" t="n">
        <v>0</v>
      </c>
      <c r="J50" t="n">
        <v>1</v>
      </c>
      <c r="K50" t="n">
        <v>0</v>
      </c>
      <c r="L50" t="n">
        <v>0</v>
      </c>
      <c r="M50" t="n">
        <v>0</v>
      </c>
      <c r="N50" t="n">
        <v>0</v>
      </c>
      <c r="O50" t="n">
        <v>1</v>
      </c>
      <c r="P50" t="n">
        <v>0</v>
      </c>
      <c r="Q50" t="n">
        <v>1</v>
      </c>
      <c r="R50" s="2" t="inlineStr">
        <is>
          <t>Garnlav</t>
        </is>
      </c>
      <c r="S50">
        <f>HYPERLINK("https://klasma.github.io/Logging_2521/artfynd/A 46134-2019 artfynd.xlsx", "A 46134-2019")</f>
        <v/>
      </c>
      <c r="T50">
        <f>HYPERLINK("https://klasma.github.io/Logging_2521/kartor/A 46134-2019 karta.png", "A 46134-2019")</f>
        <v/>
      </c>
      <c r="V50">
        <f>HYPERLINK("https://klasma.github.io/Logging_2521/klagomål/A 46134-2019 FSC-klagomål.docx", "A 46134-2019")</f>
        <v/>
      </c>
      <c r="W50">
        <f>HYPERLINK("https://klasma.github.io/Logging_2521/klagomålsmail/A 46134-2019 FSC-klagomål mail.docx", "A 46134-2019")</f>
        <v/>
      </c>
      <c r="X50">
        <f>HYPERLINK("https://klasma.github.io/Logging_2521/tillsyn/A 46134-2019 tillsynsbegäran.docx", "A 46134-2019")</f>
        <v/>
      </c>
      <c r="Y50">
        <f>HYPERLINK("https://klasma.github.io/Logging_2521/tillsynsmail/A 46134-2019 tillsynsbegäran mail.docx", "A 46134-2019")</f>
        <v/>
      </c>
    </row>
    <row r="51" ht="15" customHeight="1">
      <c r="A51" t="inlineStr">
        <is>
          <t>A 34646-2020</t>
        </is>
      </c>
      <c r="B51" s="1" t="n">
        <v>44034</v>
      </c>
      <c r="C51" s="1" t="n">
        <v>45827</v>
      </c>
      <c r="D51" t="inlineStr">
        <is>
          <t>NORRBOTTENS LÄN</t>
        </is>
      </c>
      <c r="E51" t="inlineStr">
        <is>
          <t>PAJALA</t>
        </is>
      </c>
      <c r="F51" t="inlineStr">
        <is>
          <t>Allmännings- och besparingsskogar</t>
        </is>
      </c>
      <c r="G51" t="n">
        <v>7.3</v>
      </c>
      <c r="H51" t="n">
        <v>1</v>
      </c>
      <c r="I51" t="n">
        <v>0</v>
      </c>
      <c r="J51" t="n">
        <v>0</v>
      </c>
      <c r="K51" t="n">
        <v>0</v>
      </c>
      <c r="L51" t="n">
        <v>0</v>
      </c>
      <c r="M51" t="n">
        <v>0</v>
      </c>
      <c r="N51" t="n">
        <v>0</v>
      </c>
      <c r="O51" t="n">
        <v>0</v>
      </c>
      <c r="P51" t="n">
        <v>0</v>
      </c>
      <c r="Q51" t="n">
        <v>1</v>
      </c>
      <c r="R51" s="2" t="inlineStr">
        <is>
          <t>Sångsvan</t>
        </is>
      </c>
      <c r="S51">
        <f>HYPERLINK("https://klasma.github.io/Logging_2521/artfynd/A 34646-2020 artfynd.xlsx", "A 34646-2020")</f>
        <v/>
      </c>
      <c r="T51">
        <f>HYPERLINK("https://klasma.github.io/Logging_2521/kartor/A 34646-2020 karta.png", "A 34646-2020")</f>
        <v/>
      </c>
      <c r="V51">
        <f>HYPERLINK("https://klasma.github.io/Logging_2521/klagomål/A 34646-2020 FSC-klagomål.docx", "A 34646-2020")</f>
        <v/>
      </c>
      <c r="W51">
        <f>HYPERLINK("https://klasma.github.io/Logging_2521/klagomålsmail/A 34646-2020 FSC-klagomål mail.docx", "A 34646-2020")</f>
        <v/>
      </c>
      <c r="X51">
        <f>HYPERLINK("https://klasma.github.io/Logging_2521/tillsyn/A 34646-2020 tillsynsbegäran.docx", "A 34646-2020")</f>
        <v/>
      </c>
      <c r="Y51">
        <f>HYPERLINK("https://klasma.github.io/Logging_2521/tillsynsmail/A 34646-2020 tillsynsbegäran mail.docx", "A 34646-2020")</f>
        <v/>
      </c>
      <c r="Z51">
        <f>HYPERLINK("https://klasma.github.io/Logging_2521/fåglar/A 34646-2020 prioriterade fågelarter.docx", "A 34646-2020")</f>
        <v/>
      </c>
    </row>
    <row r="52" ht="15" customHeight="1">
      <c r="A52" t="inlineStr">
        <is>
          <t>A 42854-2020</t>
        </is>
      </c>
      <c r="B52" s="1" t="n">
        <v>44078</v>
      </c>
      <c r="C52" s="1" t="n">
        <v>45827</v>
      </c>
      <c r="D52" t="inlineStr">
        <is>
          <t>NORRBOTTENS LÄN</t>
        </is>
      </c>
      <c r="E52" t="inlineStr">
        <is>
          <t>PAJALA</t>
        </is>
      </c>
      <c r="F52" t="inlineStr">
        <is>
          <t>Sveaskog</t>
        </is>
      </c>
      <c r="G52" t="n">
        <v>5.4</v>
      </c>
      <c r="H52" t="n">
        <v>1</v>
      </c>
      <c r="I52" t="n">
        <v>0</v>
      </c>
      <c r="J52" t="n">
        <v>1</v>
      </c>
      <c r="K52" t="n">
        <v>0</v>
      </c>
      <c r="L52" t="n">
        <v>0</v>
      </c>
      <c r="M52" t="n">
        <v>0</v>
      </c>
      <c r="N52" t="n">
        <v>0</v>
      </c>
      <c r="O52" t="n">
        <v>1</v>
      </c>
      <c r="P52" t="n">
        <v>0</v>
      </c>
      <c r="Q52" t="n">
        <v>1</v>
      </c>
      <c r="R52" s="2" t="inlineStr">
        <is>
          <t>Duvhök</t>
        </is>
      </c>
      <c r="S52">
        <f>HYPERLINK("https://klasma.github.io/Logging_2521/artfynd/A 42854-2020 artfynd.xlsx", "A 42854-2020")</f>
        <v/>
      </c>
      <c r="T52">
        <f>HYPERLINK("https://klasma.github.io/Logging_2521/kartor/A 42854-2020 karta.png", "A 42854-2020")</f>
        <v/>
      </c>
      <c r="V52">
        <f>HYPERLINK("https://klasma.github.io/Logging_2521/klagomål/A 42854-2020 FSC-klagomål.docx", "A 42854-2020")</f>
        <v/>
      </c>
      <c r="W52">
        <f>HYPERLINK("https://klasma.github.io/Logging_2521/klagomålsmail/A 42854-2020 FSC-klagomål mail.docx", "A 42854-2020")</f>
        <v/>
      </c>
      <c r="X52">
        <f>HYPERLINK("https://klasma.github.io/Logging_2521/tillsyn/A 42854-2020 tillsynsbegäran.docx", "A 42854-2020")</f>
        <v/>
      </c>
      <c r="Y52">
        <f>HYPERLINK("https://klasma.github.io/Logging_2521/tillsynsmail/A 42854-2020 tillsynsbegäran mail.docx", "A 42854-2020")</f>
        <v/>
      </c>
      <c r="Z52">
        <f>HYPERLINK("https://klasma.github.io/Logging_2521/fåglar/A 42854-2020 prioriterade fågelarter.docx", "A 42854-2020")</f>
        <v/>
      </c>
    </row>
    <row r="53" ht="15" customHeight="1">
      <c r="A53" t="inlineStr">
        <is>
          <t>A 6657-2021</t>
        </is>
      </c>
      <c r="B53" s="1" t="n">
        <v>44236</v>
      </c>
      <c r="C53" s="1" t="n">
        <v>45827</v>
      </c>
      <c r="D53" t="inlineStr">
        <is>
          <t>NORRBOTTENS LÄN</t>
        </is>
      </c>
      <c r="E53" t="inlineStr">
        <is>
          <t>PAJALA</t>
        </is>
      </c>
      <c r="F53" t="inlineStr">
        <is>
          <t>Allmännings- och besparingsskogar</t>
        </is>
      </c>
      <c r="G53" t="n">
        <v>70.59999999999999</v>
      </c>
      <c r="H53" t="n">
        <v>1</v>
      </c>
      <c r="I53" t="n">
        <v>0</v>
      </c>
      <c r="J53" t="n">
        <v>0</v>
      </c>
      <c r="K53" t="n">
        <v>0</v>
      </c>
      <c r="L53" t="n">
        <v>0</v>
      </c>
      <c r="M53" t="n">
        <v>0</v>
      </c>
      <c r="N53" t="n">
        <v>0</v>
      </c>
      <c r="O53" t="n">
        <v>0</v>
      </c>
      <c r="P53" t="n">
        <v>0</v>
      </c>
      <c r="Q53" t="n">
        <v>1</v>
      </c>
      <c r="R53" s="2" t="inlineStr">
        <is>
          <t>Tjäder</t>
        </is>
      </c>
      <c r="S53">
        <f>HYPERLINK("https://klasma.github.io/Logging_2521/artfynd/A 6657-2021 artfynd.xlsx", "A 6657-2021")</f>
        <v/>
      </c>
      <c r="T53">
        <f>HYPERLINK("https://klasma.github.io/Logging_2521/kartor/A 6657-2021 karta.png", "A 6657-2021")</f>
        <v/>
      </c>
      <c r="V53">
        <f>HYPERLINK("https://klasma.github.io/Logging_2521/klagomål/A 6657-2021 FSC-klagomål.docx", "A 6657-2021")</f>
        <v/>
      </c>
      <c r="W53">
        <f>HYPERLINK("https://klasma.github.io/Logging_2521/klagomålsmail/A 6657-2021 FSC-klagomål mail.docx", "A 6657-2021")</f>
        <v/>
      </c>
      <c r="X53">
        <f>HYPERLINK("https://klasma.github.io/Logging_2521/tillsyn/A 6657-2021 tillsynsbegäran.docx", "A 6657-2021")</f>
        <v/>
      </c>
      <c r="Y53">
        <f>HYPERLINK("https://klasma.github.io/Logging_2521/tillsynsmail/A 6657-2021 tillsynsbegäran mail.docx", "A 6657-2021")</f>
        <v/>
      </c>
      <c r="Z53">
        <f>HYPERLINK("https://klasma.github.io/Logging_2521/fåglar/A 6657-2021 prioriterade fågelarter.docx", "A 6657-2021")</f>
        <v/>
      </c>
    </row>
    <row r="54" ht="15" customHeight="1">
      <c r="A54" t="inlineStr">
        <is>
          <t>A 30239-2021</t>
        </is>
      </c>
      <c r="B54" s="1" t="n">
        <v>44363</v>
      </c>
      <c r="C54" s="1" t="n">
        <v>45827</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39289-2021</t>
        </is>
      </c>
      <c r="B55" s="1" t="n">
        <v>44413</v>
      </c>
      <c r="C55" s="1" t="n">
        <v>45827</v>
      </c>
      <c r="D55" t="inlineStr">
        <is>
          <t>NORRBOTTENS LÄN</t>
        </is>
      </c>
      <c r="E55" t="inlineStr">
        <is>
          <t>PAJALA</t>
        </is>
      </c>
      <c r="F55" t="inlineStr">
        <is>
          <t>Sveaskog</t>
        </is>
      </c>
      <c r="G55" t="n">
        <v>10.7</v>
      </c>
      <c r="H55" t="n">
        <v>1</v>
      </c>
      <c r="I55" t="n">
        <v>0</v>
      </c>
      <c r="J55" t="n">
        <v>0</v>
      </c>
      <c r="K55" t="n">
        <v>0</v>
      </c>
      <c r="L55" t="n">
        <v>0</v>
      </c>
      <c r="M55" t="n">
        <v>0</v>
      </c>
      <c r="N55" t="n">
        <v>0</v>
      </c>
      <c r="O55" t="n">
        <v>0</v>
      </c>
      <c r="P55" t="n">
        <v>0</v>
      </c>
      <c r="Q55" t="n">
        <v>1</v>
      </c>
      <c r="R55" s="2" t="inlineStr">
        <is>
          <t>Revlummer</t>
        </is>
      </c>
      <c r="S55">
        <f>HYPERLINK("https://klasma.github.io/Logging_2521/artfynd/A 39289-2021 artfynd.xlsx", "A 39289-2021")</f>
        <v/>
      </c>
      <c r="T55">
        <f>HYPERLINK("https://klasma.github.io/Logging_2521/kartor/A 39289-2021 karta.png", "A 39289-2021")</f>
        <v/>
      </c>
      <c r="V55">
        <f>HYPERLINK("https://klasma.github.io/Logging_2521/klagomål/A 39289-2021 FSC-klagomål.docx", "A 39289-2021")</f>
        <v/>
      </c>
      <c r="W55">
        <f>HYPERLINK("https://klasma.github.io/Logging_2521/klagomålsmail/A 39289-2021 FSC-klagomål mail.docx", "A 39289-2021")</f>
        <v/>
      </c>
      <c r="X55">
        <f>HYPERLINK("https://klasma.github.io/Logging_2521/tillsyn/A 39289-2021 tillsynsbegäran.docx", "A 39289-2021")</f>
        <v/>
      </c>
      <c r="Y55">
        <f>HYPERLINK("https://klasma.github.io/Logging_2521/tillsynsmail/A 39289-2021 tillsynsbegäran mail.docx", "A 39289-2021")</f>
        <v/>
      </c>
    </row>
    <row r="56" ht="15" customHeight="1">
      <c r="A56" t="inlineStr">
        <is>
          <t>A 60597-2021</t>
        </is>
      </c>
      <c r="B56" s="1" t="n">
        <v>44496</v>
      </c>
      <c r="C56" s="1" t="n">
        <v>45827</v>
      </c>
      <c r="D56" t="inlineStr">
        <is>
          <t>NORRBOTTENS LÄN</t>
        </is>
      </c>
      <c r="E56" t="inlineStr">
        <is>
          <t>PAJALA</t>
        </is>
      </c>
      <c r="F56" t="inlineStr">
        <is>
          <t>Sveaskog</t>
        </is>
      </c>
      <c r="G56" t="n">
        <v>1.4</v>
      </c>
      <c r="H56" t="n">
        <v>0</v>
      </c>
      <c r="I56" t="n">
        <v>0</v>
      </c>
      <c r="J56" t="n">
        <v>1</v>
      </c>
      <c r="K56" t="n">
        <v>0</v>
      </c>
      <c r="L56" t="n">
        <v>0</v>
      </c>
      <c r="M56" t="n">
        <v>0</v>
      </c>
      <c r="N56" t="n">
        <v>0</v>
      </c>
      <c r="O56" t="n">
        <v>1</v>
      </c>
      <c r="P56" t="n">
        <v>0</v>
      </c>
      <c r="Q56" t="n">
        <v>1</v>
      </c>
      <c r="R56" s="2" t="inlineStr">
        <is>
          <t>Garnlav</t>
        </is>
      </c>
      <c r="S56">
        <f>HYPERLINK("https://klasma.github.io/Logging_2521/artfynd/A 60597-2021 artfynd.xlsx", "A 60597-2021")</f>
        <v/>
      </c>
      <c r="T56">
        <f>HYPERLINK("https://klasma.github.io/Logging_2521/kartor/A 60597-2021 karta.png", "A 60597-2021")</f>
        <v/>
      </c>
      <c r="V56">
        <f>HYPERLINK("https://klasma.github.io/Logging_2521/klagomål/A 60597-2021 FSC-klagomål.docx", "A 60597-2021")</f>
        <v/>
      </c>
      <c r="W56">
        <f>HYPERLINK("https://klasma.github.io/Logging_2521/klagomålsmail/A 60597-2021 FSC-klagomål mail.docx", "A 60597-2021")</f>
        <v/>
      </c>
      <c r="X56">
        <f>HYPERLINK("https://klasma.github.io/Logging_2521/tillsyn/A 60597-2021 tillsynsbegäran.docx", "A 60597-2021")</f>
        <v/>
      </c>
      <c r="Y56">
        <f>HYPERLINK("https://klasma.github.io/Logging_2521/tillsynsmail/A 60597-2021 tillsynsbegäran mail.docx", "A 60597-2021")</f>
        <v/>
      </c>
    </row>
    <row r="57" ht="15" customHeight="1">
      <c r="A57" t="inlineStr">
        <is>
          <t>A 65518-2021</t>
        </is>
      </c>
      <c r="B57" s="1" t="n">
        <v>44516</v>
      </c>
      <c r="C57" s="1" t="n">
        <v>45827</v>
      </c>
      <c r="D57" t="inlineStr">
        <is>
          <t>NORRBOTTENS LÄN</t>
        </is>
      </c>
      <c r="E57" t="inlineStr">
        <is>
          <t>PAJALA</t>
        </is>
      </c>
      <c r="F57" t="inlineStr">
        <is>
          <t>Sveaskog</t>
        </is>
      </c>
      <c r="G57" t="n">
        <v>1.5</v>
      </c>
      <c r="H57" t="n">
        <v>0</v>
      </c>
      <c r="I57" t="n">
        <v>1</v>
      </c>
      <c r="J57" t="n">
        <v>0</v>
      </c>
      <c r="K57" t="n">
        <v>0</v>
      </c>
      <c r="L57" t="n">
        <v>0</v>
      </c>
      <c r="M57" t="n">
        <v>0</v>
      </c>
      <c r="N57" t="n">
        <v>0</v>
      </c>
      <c r="O57" t="n">
        <v>0</v>
      </c>
      <c r="P57" t="n">
        <v>0</v>
      </c>
      <c r="Q57" t="n">
        <v>1</v>
      </c>
      <c r="R57" s="2" t="inlineStr">
        <is>
          <t>Stuplav</t>
        </is>
      </c>
      <c r="S57">
        <f>HYPERLINK("https://klasma.github.io/Logging_2521/artfynd/A 65518-2021 artfynd.xlsx", "A 65518-2021")</f>
        <v/>
      </c>
      <c r="T57">
        <f>HYPERLINK("https://klasma.github.io/Logging_2521/kartor/A 65518-2021 karta.png", "A 65518-2021")</f>
        <v/>
      </c>
      <c r="V57">
        <f>HYPERLINK("https://klasma.github.io/Logging_2521/klagomål/A 65518-2021 FSC-klagomål.docx", "A 65518-2021")</f>
        <v/>
      </c>
      <c r="W57">
        <f>HYPERLINK("https://klasma.github.io/Logging_2521/klagomålsmail/A 65518-2021 FSC-klagomål mail.docx", "A 65518-2021")</f>
        <v/>
      </c>
      <c r="X57">
        <f>HYPERLINK("https://klasma.github.io/Logging_2521/tillsyn/A 65518-2021 tillsynsbegäran.docx", "A 65518-2021")</f>
        <v/>
      </c>
      <c r="Y57">
        <f>HYPERLINK("https://klasma.github.io/Logging_2521/tillsynsmail/A 65518-2021 tillsynsbegäran mail.docx", "A 65518-2021")</f>
        <v/>
      </c>
    </row>
    <row r="58" ht="15" customHeight="1">
      <c r="A58" t="inlineStr">
        <is>
          <t>A 7960-2022</t>
        </is>
      </c>
      <c r="B58" s="1" t="n">
        <v>44608</v>
      </c>
      <c r="C58" s="1" t="n">
        <v>45827</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12061-2022</t>
        </is>
      </c>
      <c r="B59" s="1" t="n">
        <v>44636</v>
      </c>
      <c r="C59" s="1" t="n">
        <v>45827</v>
      </c>
      <c r="D59" t="inlineStr">
        <is>
          <t>NORRBOTTENS LÄN</t>
        </is>
      </c>
      <c r="E59" t="inlineStr">
        <is>
          <t>PAJALA</t>
        </is>
      </c>
      <c r="G59" t="n">
        <v>36</v>
      </c>
      <c r="H59" t="n">
        <v>0</v>
      </c>
      <c r="I59" t="n">
        <v>1</v>
      </c>
      <c r="J59" t="n">
        <v>0</v>
      </c>
      <c r="K59" t="n">
        <v>0</v>
      </c>
      <c r="L59" t="n">
        <v>0</v>
      </c>
      <c r="M59" t="n">
        <v>0</v>
      </c>
      <c r="N59" t="n">
        <v>0</v>
      </c>
      <c r="O59" t="n">
        <v>0</v>
      </c>
      <c r="P59" t="n">
        <v>0</v>
      </c>
      <c r="Q59" t="n">
        <v>1</v>
      </c>
      <c r="R59" s="2" t="inlineStr">
        <is>
          <t>Grönpyrola</t>
        </is>
      </c>
      <c r="S59">
        <f>HYPERLINK("https://klasma.github.io/Logging_2521/artfynd/A 12061-2022 artfynd.xlsx", "A 12061-2022")</f>
        <v/>
      </c>
      <c r="T59">
        <f>HYPERLINK("https://klasma.github.io/Logging_2521/kartor/A 12061-2022 karta.png", "A 12061-2022")</f>
        <v/>
      </c>
      <c r="V59">
        <f>HYPERLINK("https://klasma.github.io/Logging_2521/klagomål/A 12061-2022 FSC-klagomål.docx", "A 12061-2022")</f>
        <v/>
      </c>
      <c r="W59">
        <f>HYPERLINK("https://klasma.github.io/Logging_2521/klagomålsmail/A 12061-2022 FSC-klagomål mail.docx", "A 12061-2022")</f>
        <v/>
      </c>
      <c r="X59">
        <f>HYPERLINK("https://klasma.github.io/Logging_2521/tillsyn/A 12061-2022 tillsynsbegäran.docx", "A 12061-2022")</f>
        <v/>
      </c>
      <c r="Y59">
        <f>HYPERLINK("https://klasma.github.io/Logging_2521/tillsynsmail/A 12061-2022 tillsynsbegäran mail.docx", "A 12061-2022")</f>
        <v/>
      </c>
    </row>
    <row r="60" ht="15" customHeight="1">
      <c r="A60" t="inlineStr">
        <is>
          <t>A 47700-2022</t>
        </is>
      </c>
      <c r="B60" s="1" t="n">
        <v>44854</v>
      </c>
      <c r="C60" s="1" t="n">
        <v>45827</v>
      </c>
      <c r="D60" t="inlineStr">
        <is>
          <t>NORRBOTTENS LÄN</t>
        </is>
      </c>
      <c r="E60" t="inlineStr">
        <is>
          <t>PAJALA</t>
        </is>
      </c>
      <c r="F60" t="inlineStr">
        <is>
          <t>Sveaskog</t>
        </is>
      </c>
      <c r="G60" t="n">
        <v>2.9</v>
      </c>
      <c r="H60" t="n">
        <v>0</v>
      </c>
      <c r="I60" t="n">
        <v>0</v>
      </c>
      <c r="J60" t="n">
        <v>1</v>
      </c>
      <c r="K60" t="n">
        <v>0</v>
      </c>
      <c r="L60" t="n">
        <v>0</v>
      </c>
      <c r="M60" t="n">
        <v>0</v>
      </c>
      <c r="N60" t="n">
        <v>0</v>
      </c>
      <c r="O60" t="n">
        <v>1</v>
      </c>
      <c r="P60" t="n">
        <v>0</v>
      </c>
      <c r="Q60" t="n">
        <v>1</v>
      </c>
      <c r="R60" s="2" t="inlineStr">
        <is>
          <t>Garnlav</t>
        </is>
      </c>
      <c r="S60">
        <f>HYPERLINK("https://klasma.github.io/Logging_2521/artfynd/A 47700-2022 artfynd.xlsx", "A 47700-2022")</f>
        <v/>
      </c>
      <c r="T60">
        <f>HYPERLINK("https://klasma.github.io/Logging_2521/kartor/A 47700-2022 karta.png", "A 47700-2022")</f>
        <v/>
      </c>
      <c r="V60">
        <f>HYPERLINK("https://klasma.github.io/Logging_2521/klagomål/A 47700-2022 FSC-klagomål.docx", "A 47700-2022")</f>
        <v/>
      </c>
      <c r="W60">
        <f>HYPERLINK("https://klasma.github.io/Logging_2521/klagomålsmail/A 47700-2022 FSC-klagomål mail.docx", "A 47700-2022")</f>
        <v/>
      </c>
      <c r="X60">
        <f>HYPERLINK("https://klasma.github.io/Logging_2521/tillsyn/A 47700-2022 tillsynsbegäran.docx", "A 47700-2022")</f>
        <v/>
      </c>
      <c r="Y60">
        <f>HYPERLINK("https://klasma.github.io/Logging_2521/tillsynsmail/A 47700-2022 tillsynsbegäran mail.docx", "A 47700-2022")</f>
        <v/>
      </c>
    </row>
    <row r="61" ht="15" customHeight="1">
      <c r="A61" t="inlineStr">
        <is>
          <t>A 49756-2022</t>
        </is>
      </c>
      <c r="B61" s="1" t="n">
        <v>44862</v>
      </c>
      <c r="C61" s="1" t="n">
        <v>45827</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Lunglav</t>
        </is>
      </c>
      <c r="S61">
        <f>HYPERLINK("https://klasma.github.io/Logging_2521/artfynd/A 49756-2022 artfynd.xlsx", "A 49756-2022")</f>
        <v/>
      </c>
      <c r="T61">
        <f>HYPERLINK("https://klasma.github.io/Logging_2521/kartor/A 49756-2022 karta.png", "A 49756-2022")</f>
        <v/>
      </c>
      <c r="V61">
        <f>HYPERLINK("https://klasma.github.io/Logging_2521/klagomål/A 49756-2022 FSC-klagomål.docx", "A 49756-2022")</f>
        <v/>
      </c>
      <c r="W61">
        <f>HYPERLINK("https://klasma.github.io/Logging_2521/klagomålsmail/A 49756-2022 FSC-klagomål mail.docx", "A 49756-2022")</f>
        <v/>
      </c>
      <c r="X61">
        <f>HYPERLINK("https://klasma.github.io/Logging_2521/tillsyn/A 49756-2022 tillsynsbegäran.docx", "A 49756-2022")</f>
        <v/>
      </c>
      <c r="Y61">
        <f>HYPERLINK("https://klasma.github.io/Logging_2521/tillsynsmail/A 49756-2022 tillsynsbegäran mail.docx", "A 49756-2022")</f>
        <v/>
      </c>
    </row>
    <row r="62" ht="15" customHeight="1">
      <c r="A62" t="inlineStr">
        <is>
          <t>A 59071-2022</t>
        </is>
      </c>
      <c r="B62" s="1" t="n">
        <v>44904</v>
      </c>
      <c r="C62" s="1" t="n">
        <v>45827</v>
      </c>
      <c r="D62" t="inlineStr">
        <is>
          <t>NORRBOTTENS LÄN</t>
        </is>
      </c>
      <c r="E62" t="inlineStr">
        <is>
          <t>PAJALA</t>
        </is>
      </c>
      <c r="F62" t="inlineStr">
        <is>
          <t>Sveaskog</t>
        </is>
      </c>
      <c r="G62" t="n">
        <v>9</v>
      </c>
      <c r="H62" t="n">
        <v>0</v>
      </c>
      <c r="I62" t="n">
        <v>0</v>
      </c>
      <c r="J62" t="n">
        <v>1</v>
      </c>
      <c r="K62" t="n">
        <v>0</v>
      </c>
      <c r="L62" t="n">
        <v>0</v>
      </c>
      <c r="M62" t="n">
        <v>0</v>
      </c>
      <c r="N62" t="n">
        <v>0</v>
      </c>
      <c r="O62" t="n">
        <v>1</v>
      </c>
      <c r="P62" t="n">
        <v>0</v>
      </c>
      <c r="Q62" t="n">
        <v>1</v>
      </c>
      <c r="R62" s="2" t="inlineStr">
        <is>
          <t>Garnlav</t>
        </is>
      </c>
      <c r="S62">
        <f>HYPERLINK("https://klasma.github.io/Logging_2521/artfynd/A 59071-2022 artfynd.xlsx", "A 59071-2022")</f>
        <v/>
      </c>
      <c r="T62">
        <f>HYPERLINK("https://klasma.github.io/Logging_2521/kartor/A 59071-2022 karta.png", "A 59071-2022")</f>
        <v/>
      </c>
      <c r="V62">
        <f>HYPERLINK("https://klasma.github.io/Logging_2521/klagomål/A 59071-2022 FSC-klagomål.docx", "A 59071-2022")</f>
        <v/>
      </c>
      <c r="W62">
        <f>HYPERLINK("https://klasma.github.io/Logging_2521/klagomålsmail/A 59071-2022 FSC-klagomål mail.docx", "A 59071-2022")</f>
        <v/>
      </c>
      <c r="X62">
        <f>HYPERLINK("https://klasma.github.io/Logging_2521/tillsyn/A 59071-2022 tillsynsbegäran.docx", "A 59071-2022")</f>
        <v/>
      </c>
      <c r="Y62">
        <f>HYPERLINK("https://klasma.github.io/Logging_2521/tillsynsmail/A 59071-2022 tillsynsbegäran mail.docx", "A 59071-2022")</f>
        <v/>
      </c>
    </row>
    <row r="63" ht="15" customHeight="1">
      <c r="A63" t="inlineStr">
        <is>
          <t>A 14979-2023</t>
        </is>
      </c>
      <c r="B63" s="1" t="n">
        <v>45014</v>
      </c>
      <c r="C63" s="1" t="n">
        <v>45827</v>
      </c>
      <c r="D63" t="inlineStr">
        <is>
          <t>NORRBOTTENS LÄN</t>
        </is>
      </c>
      <c r="E63" t="inlineStr">
        <is>
          <t>PAJALA</t>
        </is>
      </c>
      <c r="F63" t="inlineStr">
        <is>
          <t>Allmännings- och besparingsskogar</t>
        </is>
      </c>
      <c r="G63" t="n">
        <v>26.1</v>
      </c>
      <c r="H63" t="n">
        <v>0</v>
      </c>
      <c r="I63" t="n">
        <v>0</v>
      </c>
      <c r="J63" t="n">
        <v>1</v>
      </c>
      <c r="K63" t="n">
        <v>0</v>
      </c>
      <c r="L63" t="n">
        <v>0</v>
      </c>
      <c r="M63" t="n">
        <v>0</v>
      </c>
      <c r="N63" t="n">
        <v>0</v>
      </c>
      <c r="O63" t="n">
        <v>1</v>
      </c>
      <c r="P63" t="n">
        <v>0</v>
      </c>
      <c r="Q63" t="n">
        <v>1</v>
      </c>
      <c r="R63" s="2" t="inlineStr">
        <is>
          <t>Garnlav</t>
        </is>
      </c>
      <c r="S63">
        <f>HYPERLINK("https://klasma.github.io/Logging_2521/artfynd/A 14979-2023 artfynd.xlsx", "A 14979-2023")</f>
        <v/>
      </c>
      <c r="T63">
        <f>HYPERLINK("https://klasma.github.io/Logging_2521/kartor/A 14979-2023 karta.png", "A 14979-2023")</f>
        <v/>
      </c>
      <c r="V63">
        <f>HYPERLINK("https://klasma.github.io/Logging_2521/klagomål/A 14979-2023 FSC-klagomål.docx", "A 14979-2023")</f>
        <v/>
      </c>
      <c r="W63">
        <f>HYPERLINK("https://klasma.github.io/Logging_2521/klagomålsmail/A 14979-2023 FSC-klagomål mail.docx", "A 14979-2023")</f>
        <v/>
      </c>
      <c r="X63">
        <f>HYPERLINK("https://klasma.github.io/Logging_2521/tillsyn/A 14979-2023 tillsynsbegäran.docx", "A 14979-2023")</f>
        <v/>
      </c>
      <c r="Y63">
        <f>HYPERLINK("https://klasma.github.io/Logging_2521/tillsynsmail/A 14979-2023 tillsynsbegäran mail.docx", "A 14979-2023")</f>
        <v/>
      </c>
    </row>
    <row r="64" ht="15" customHeight="1">
      <c r="A64" t="inlineStr">
        <is>
          <t>A 31349-2023</t>
        </is>
      </c>
      <c r="B64" s="1" t="n">
        <v>45114</v>
      </c>
      <c r="C64" s="1" t="n">
        <v>45827</v>
      </c>
      <c r="D64" t="inlineStr">
        <is>
          <t>NORRBOTTENS LÄN</t>
        </is>
      </c>
      <c r="E64" t="inlineStr">
        <is>
          <t>PAJALA</t>
        </is>
      </c>
      <c r="G64" t="n">
        <v>8.300000000000001</v>
      </c>
      <c r="H64" t="n">
        <v>1</v>
      </c>
      <c r="I64" t="n">
        <v>0</v>
      </c>
      <c r="J64" t="n">
        <v>0</v>
      </c>
      <c r="K64" t="n">
        <v>0</v>
      </c>
      <c r="L64" t="n">
        <v>0</v>
      </c>
      <c r="M64" t="n">
        <v>0</v>
      </c>
      <c r="N64" t="n">
        <v>0</v>
      </c>
      <c r="O64" t="n">
        <v>0</v>
      </c>
      <c r="P64" t="n">
        <v>0</v>
      </c>
      <c r="Q64" t="n">
        <v>1</v>
      </c>
      <c r="R64" s="2" t="inlineStr">
        <is>
          <t>Revlummer</t>
        </is>
      </c>
      <c r="S64">
        <f>HYPERLINK("https://klasma.github.io/Logging_2521/artfynd/A 31349-2023 artfynd.xlsx", "A 31349-2023")</f>
        <v/>
      </c>
      <c r="T64">
        <f>HYPERLINK("https://klasma.github.io/Logging_2521/kartor/A 31349-2023 karta.png", "A 31349-2023")</f>
        <v/>
      </c>
      <c r="V64">
        <f>HYPERLINK("https://klasma.github.io/Logging_2521/klagomål/A 31349-2023 FSC-klagomål.docx", "A 31349-2023")</f>
        <v/>
      </c>
      <c r="W64">
        <f>HYPERLINK("https://klasma.github.io/Logging_2521/klagomålsmail/A 31349-2023 FSC-klagomål mail.docx", "A 31349-2023")</f>
        <v/>
      </c>
      <c r="X64">
        <f>HYPERLINK("https://klasma.github.io/Logging_2521/tillsyn/A 31349-2023 tillsynsbegäran.docx", "A 31349-2023")</f>
        <v/>
      </c>
      <c r="Y64">
        <f>HYPERLINK("https://klasma.github.io/Logging_2521/tillsynsmail/A 31349-2023 tillsynsbegäran mail.docx", "A 31349-2023")</f>
        <v/>
      </c>
    </row>
    <row r="65" ht="15" customHeight="1">
      <c r="A65" t="inlineStr">
        <is>
          <t>A 43851-2023</t>
        </is>
      </c>
      <c r="B65" s="1" t="n">
        <v>45187</v>
      </c>
      <c r="C65" s="1" t="n">
        <v>45827</v>
      </c>
      <c r="D65" t="inlineStr">
        <is>
          <t>NORRBOTTENS LÄN</t>
        </is>
      </c>
      <c r="E65" t="inlineStr">
        <is>
          <t>PAJALA</t>
        </is>
      </c>
      <c r="G65" t="n">
        <v>7.2</v>
      </c>
      <c r="H65" t="n">
        <v>0</v>
      </c>
      <c r="I65" t="n">
        <v>0</v>
      </c>
      <c r="J65" t="n">
        <v>1</v>
      </c>
      <c r="K65" t="n">
        <v>0</v>
      </c>
      <c r="L65" t="n">
        <v>0</v>
      </c>
      <c r="M65" t="n">
        <v>0</v>
      </c>
      <c r="N65" t="n">
        <v>0</v>
      </c>
      <c r="O65" t="n">
        <v>1</v>
      </c>
      <c r="P65" t="n">
        <v>0</v>
      </c>
      <c r="Q65" t="n">
        <v>1</v>
      </c>
      <c r="R65" s="2" t="inlineStr">
        <is>
          <t>Garnlav</t>
        </is>
      </c>
      <c r="S65">
        <f>HYPERLINK("https://klasma.github.io/Logging_2521/artfynd/A 43851-2023 artfynd.xlsx", "A 43851-2023")</f>
        <v/>
      </c>
      <c r="T65">
        <f>HYPERLINK("https://klasma.github.io/Logging_2521/kartor/A 43851-2023 karta.png", "A 43851-2023")</f>
        <v/>
      </c>
      <c r="V65">
        <f>HYPERLINK("https://klasma.github.io/Logging_2521/klagomål/A 43851-2023 FSC-klagomål.docx", "A 43851-2023")</f>
        <v/>
      </c>
      <c r="W65">
        <f>HYPERLINK("https://klasma.github.io/Logging_2521/klagomålsmail/A 43851-2023 FSC-klagomål mail.docx", "A 43851-2023")</f>
        <v/>
      </c>
      <c r="X65">
        <f>HYPERLINK("https://klasma.github.io/Logging_2521/tillsyn/A 43851-2023 tillsynsbegäran.docx", "A 43851-2023")</f>
        <v/>
      </c>
      <c r="Y65">
        <f>HYPERLINK("https://klasma.github.io/Logging_2521/tillsynsmail/A 43851-2023 tillsynsbegäran mail.docx", "A 43851-2023")</f>
        <v/>
      </c>
    </row>
    <row r="66" ht="15" customHeight="1">
      <c r="A66" t="inlineStr">
        <is>
          <t>A 50382-2023</t>
        </is>
      </c>
      <c r="B66" s="1" t="n">
        <v>45216</v>
      </c>
      <c r="C66" s="1" t="n">
        <v>45827</v>
      </c>
      <c r="D66" t="inlineStr">
        <is>
          <t>NORRBOTTENS LÄN</t>
        </is>
      </c>
      <c r="E66" t="inlineStr">
        <is>
          <t>PAJALA</t>
        </is>
      </c>
      <c r="F66" t="inlineStr">
        <is>
          <t>Sveaskog</t>
        </is>
      </c>
      <c r="G66" t="n">
        <v>4</v>
      </c>
      <c r="H66" t="n">
        <v>0</v>
      </c>
      <c r="I66" t="n">
        <v>0</v>
      </c>
      <c r="J66" t="n">
        <v>0</v>
      </c>
      <c r="K66" t="n">
        <v>1</v>
      </c>
      <c r="L66" t="n">
        <v>0</v>
      </c>
      <c r="M66" t="n">
        <v>0</v>
      </c>
      <c r="N66" t="n">
        <v>0</v>
      </c>
      <c r="O66" t="n">
        <v>1</v>
      </c>
      <c r="P66" t="n">
        <v>1</v>
      </c>
      <c r="Q66" t="n">
        <v>1</v>
      </c>
      <c r="R66" s="2" t="inlineStr">
        <is>
          <t>Lappticka</t>
        </is>
      </c>
      <c r="S66">
        <f>HYPERLINK("https://klasma.github.io/Logging_2521/artfynd/A 50382-2023 artfynd.xlsx", "A 50382-2023")</f>
        <v/>
      </c>
      <c r="T66">
        <f>HYPERLINK("https://klasma.github.io/Logging_2521/kartor/A 50382-2023 karta.png", "A 50382-2023")</f>
        <v/>
      </c>
      <c r="V66">
        <f>HYPERLINK("https://klasma.github.io/Logging_2521/klagomål/A 50382-2023 FSC-klagomål.docx", "A 50382-2023")</f>
        <v/>
      </c>
      <c r="W66">
        <f>HYPERLINK("https://klasma.github.io/Logging_2521/klagomålsmail/A 50382-2023 FSC-klagomål mail.docx", "A 50382-2023")</f>
        <v/>
      </c>
      <c r="X66">
        <f>HYPERLINK("https://klasma.github.io/Logging_2521/tillsyn/A 50382-2023 tillsynsbegäran.docx", "A 50382-2023")</f>
        <v/>
      </c>
      <c r="Y66">
        <f>HYPERLINK("https://klasma.github.io/Logging_2521/tillsynsmail/A 50382-2023 tillsynsbegäran mail.docx", "A 50382-2023")</f>
        <v/>
      </c>
    </row>
    <row r="67" ht="15" customHeight="1">
      <c r="A67" t="inlineStr">
        <is>
          <t>A 50377-2023</t>
        </is>
      </c>
      <c r="B67" s="1" t="n">
        <v>45216</v>
      </c>
      <c r="C67" s="1" t="n">
        <v>45827</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60069-2023</t>
        </is>
      </c>
      <c r="B68" s="1" t="n">
        <v>45258</v>
      </c>
      <c r="C68" s="1" t="n">
        <v>45827</v>
      </c>
      <c r="D68" t="inlineStr">
        <is>
          <t>NORRBOTTENS LÄN</t>
        </is>
      </c>
      <c r="E68" t="inlineStr">
        <is>
          <t>PAJALA</t>
        </is>
      </c>
      <c r="G68" t="n">
        <v>4.4</v>
      </c>
      <c r="H68" t="n">
        <v>0</v>
      </c>
      <c r="I68" t="n">
        <v>0</v>
      </c>
      <c r="J68" t="n">
        <v>1</v>
      </c>
      <c r="K68" t="n">
        <v>0</v>
      </c>
      <c r="L68" t="n">
        <v>0</v>
      </c>
      <c r="M68" t="n">
        <v>0</v>
      </c>
      <c r="N68" t="n">
        <v>0</v>
      </c>
      <c r="O68" t="n">
        <v>1</v>
      </c>
      <c r="P68" t="n">
        <v>0</v>
      </c>
      <c r="Q68" t="n">
        <v>1</v>
      </c>
      <c r="R68" s="2" t="inlineStr">
        <is>
          <t>Garnlav</t>
        </is>
      </c>
      <c r="S68">
        <f>HYPERLINK("https://klasma.github.io/Logging_2521/artfynd/A 60069-2023 artfynd.xlsx", "A 60069-2023")</f>
        <v/>
      </c>
      <c r="T68">
        <f>HYPERLINK("https://klasma.github.io/Logging_2521/kartor/A 60069-2023 karta.png", "A 60069-2023")</f>
        <v/>
      </c>
      <c r="V68">
        <f>HYPERLINK("https://klasma.github.io/Logging_2521/klagomål/A 60069-2023 FSC-klagomål.docx", "A 60069-2023")</f>
        <v/>
      </c>
      <c r="W68">
        <f>HYPERLINK("https://klasma.github.io/Logging_2521/klagomålsmail/A 60069-2023 FSC-klagomål mail.docx", "A 60069-2023")</f>
        <v/>
      </c>
      <c r="X68">
        <f>HYPERLINK("https://klasma.github.io/Logging_2521/tillsyn/A 60069-2023 tillsynsbegäran.docx", "A 60069-2023")</f>
        <v/>
      </c>
      <c r="Y68">
        <f>HYPERLINK("https://klasma.github.io/Logging_2521/tillsynsmail/A 60069-2023 tillsynsbegäran mail.docx", "A 60069-2023")</f>
        <v/>
      </c>
    </row>
    <row r="69" ht="15" customHeight="1">
      <c r="A69" t="inlineStr">
        <is>
          <t>A 8985-2024</t>
        </is>
      </c>
      <c r="B69" s="1" t="n">
        <v>45356</v>
      </c>
      <c r="C69" s="1" t="n">
        <v>45827</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9757-2024</t>
        </is>
      </c>
      <c r="B70" s="1" t="n">
        <v>45362</v>
      </c>
      <c r="C70" s="1" t="n">
        <v>45827</v>
      </c>
      <c r="D70" t="inlineStr">
        <is>
          <t>NORRBOTTENS LÄN</t>
        </is>
      </c>
      <c r="E70" t="inlineStr">
        <is>
          <t>PAJALA</t>
        </is>
      </c>
      <c r="F70" t="inlineStr">
        <is>
          <t>Allmännings- och besparingsskogar</t>
        </is>
      </c>
      <c r="G70" t="n">
        <v>38.1</v>
      </c>
      <c r="H70" t="n">
        <v>1</v>
      </c>
      <c r="I70" t="n">
        <v>0</v>
      </c>
      <c r="J70" t="n">
        <v>0</v>
      </c>
      <c r="K70" t="n">
        <v>0</v>
      </c>
      <c r="L70" t="n">
        <v>0</v>
      </c>
      <c r="M70" t="n">
        <v>0</v>
      </c>
      <c r="N70" t="n">
        <v>0</v>
      </c>
      <c r="O70" t="n">
        <v>0</v>
      </c>
      <c r="P70" t="n">
        <v>0</v>
      </c>
      <c r="Q70" t="n">
        <v>1</v>
      </c>
      <c r="R70" s="2" t="inlineStr">
        <is>
          <t>Fläcknycklar</t>
        </is>
      </c>
      <c r="S70">
        <f>HYPERLINK("https://klasma.github.io/Logging_2521/artfynd/A 9757-2024 artfynd.xlsx", "A 9757-2024")</f>
        <v/>
      </c>
      <c r="T70">
        <f>HYPERLINK("https://klasma.github.io/Logging_2521/kartor/A 9757-2024 karta.png", "A 9757-2024")</f>
        <v/>
      </c>
      <c r="V70">
        <f>HYPERLINK("https://klasma.github.io/Logging_2521/klagomål/A 9757-2024 FSC-klagomål.docx", "A 9757-2024")</f>
        <v/>
      </c>
      <c r="W70">
        <f>HYPERLINK("https://klasma.github.io/Logging_2521/klagomålsmail/A 9757-2024 FSC-klagomål mail.docx", "A 9757-2024")</f>
        <v/>
      </c>
      <c r="X70">
        <f>HYPERLINK("https://klasma.github.io/Logging_2521/tillsyn/A 9757-2024 tillsynsbegäran.docx", "A 9757-2024")</f>
        <v/>
      </c>
      <c r="Y70">
        <f>HYPERLINK("https://klasma.github.io/Logging_2521/tillsynsmail/A 9757-2024 tillsynsbegäran mail.docx", "A 9757-2024")</f>
        <v/>
      </c>
    </row>
    <row r="71" ht="15" customHeight="1">
      <c r="A71" t="inlineStr">
        <is>
          <t>A 16008-2024</t>
        </is>
      </c>
      <c r="B71" s="1" t="n">
        <v>45405</v>
      </c>
      <c r="C71" s="1" t="n">
        <v>45827</v>
      </c>
      <c r="D71" t="inlineStr">
        <is>
          <t>NORRBOTTENS LÄN</t>
        </is>
      </c>
      <c r="E71" t="inlineStr">
        <is>
          <t>PAJALA</t>
        </is>
      </c>
      <c r="G71" t="n">
        <v>39.9</v>
      </c>
      <c r="H71" t="n">
        <v>0</v>
      </c>
      <c r="I71" t="n">
        <v>1</v>
      </c>
      <c r="J71" t="n">
        <v>0</v>
      </c>
      <c r="K71" t="n">
        <v>0</v>
      </c>
      <c r="L71" t="n">
        <v>0</v>
      </c>
      <c r="M71" t="n">
        <v>0</v>
      </c>
      <c r="N71" t="n">
        <v>0</v>
      </c>
      <c r="O71" t="n">
        <v>0</v>
      </c>
      <c r="P71" t="n">
        <v>0</v>
      </c>
      <c r="Q71" t="n">
        <v>1</v>
      </c>
      <c r="R71" s="2" t="inlineStr">
        <is>
          <t>Grönpyrola</t>
        </is>
      </c>
      <c r="S71">
        <f>HYPERLINK("https://klasma.github.io/Logging_2521/artfynd/A 16008-2024 artfynd.xlsx", "A 16008-2024")</f>
        <v/>
      </c>
      <c r="T71">
        <f>HYPERLINK("https://klasma.github.io/Logging_2521/kartor/A 16008-2024 karta.png", "A 16008-2024")</f>
        <v/>
      </c>
      <c r="V71">
        <f>HYPERLINK("https://klasma.github.io/Logging_2521/klagomål/A 16008-2024 FSC-klagomål.docx", "A 16008-2024")</f>
        <v/>
      </c>
      <c r="W71">
        <f>HYPERLINK("https://klasma.github.io/Logging_2521/klagomålsmail/A 16008-2024 FSC-klagomål mail.docx", "A 16008-2024")</f>
        <v/>
      </c>
      <c r="X71">
        <f>HYPERLINK("https://klasma.github.io/Logging_2521/tillsyn/A 16008-2024 tillsynsbegäran.docx", "A 16008-2024")</f>
        <v/>
      </c>
      <c r="Y71">
        <f>HYPERLINK("https://klasma.github.io/Logging_2521/tillsynsmail/A 16008-2024 tillsynsbegäran mail.docx", "A 16008-2024")</f>
        <v/>
      </c>
    </row>
    <row r="72" ht="15" customHeight="1">
      <c r="A72" t="inlineStr">
        <is>
          <t>A 25484-2024</t>
        </is>
      </c>
      <c r="B72" s="1" t="n">
        <v>45463</v>
      </c>
      <c r="C72" s="1" t="n">
        <v>45827</v>
      </c>
      <c r="D72" t="inlineStr">
        <is>
          <t>NORRBOTTENS LÄN</t>
        </is>
      </c>
      <c r="E72" t="inlineStr">
        <is>
          <t>PAJALA</t>
        </is>
      </c>
      <c r="F72" t="inlineStr">
        <is>
          <t>Sveaskog</t>
        </is>
      </c>
      <c r="G72" t="n">
        <v>5.9</v>
      </c>
      <c r="H72" t="n">
        <v>0</v>
      </c>
      <c r="I72" t="n">
        <v>0</v>
      </c>
      <c r="J72" t="n">
        <v>1</v>
      </c>
      <c r="K72" t="n">
        <v>0</v>
      </c>
      <c r="L72" t="n">
        <v>0</v>
      </c>
      <c r="M72" t="n">
        <v>0</v>
      </c>
      <c r="N72" t="n">
        <v>0</v>
      </c>
      <c r="O72" t="n">
        <v>1</v>
      </c>
      <c r="P72" t="n">
        <v>0</v>
      </c>
      <c r="Q72" t="n">
        <v>1</v>
      </c>
      <c r="R72" s="2" t="inlineStr">
        <is>
          <t>Violmussling</t>
        </is>
      </c>
      <c r="S72">
        <f>HYPERLINK("https://klasma.github.io/Logging_2521/artfynd/A 25484-2024 artfynd.xlsx", "A 25484-2024")</f>
        <v/>
      </c>
      <c r="T72">
        <f>HYPERLINK("https://klasma.github.io/Logging_2521/kartor/A 25484-2024 karta.png", "A 25484-2024")</f>
        <v/>
      </c>
      <c r="V72">
        <f>HYPERLINK("https://klasma.github.io/Logging_2521/klagomål/A 25484-2024 FSC-klagomål.docx", "A 25484-2024")</f>
        <v/>
      </c>
      <c r="W72">
        <f>HYPERLINK("https://klasma.github.io/Logging_2521/klagomålsmail/A 25484-2024 FSC-klagomål mail.docx", "A 25484-2024")</f>
        <v/>
      </c>
      <c r="X72">
        <f>HYPERLINK("https://klasma.github.io/Logging_2521/tillsyn/A 25484-2024 tillsynsbegäran.docx", "A 25484-2024")</f>
        <v/>
      </c>
      <c r="Y72">
        <f>HYPERLINK("https://klasma.github.io/Logging_2521/tillsynsmail/A 25484-2024 tillsynsbegäran mail.docx", "A 25484-2024")</f>
        <v/>
      </c>
    </row>
    <row r="73" ht="15" customHeight="1">
      <c r="A73" t="inlineStr">
        <is>
          <t>A 28428-2024</t>
        </is>
      </c>
      <c r="B73" s="1" t="n">
        <v>45477</v>
      </c>
      <c r="C73" s="1" t="n">
        <v>45827</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44777-2024</t>
        </is>
      </c>
      <c r="B74" s="1" t="n">
        <v>45574</v>
      </c>
      <c r="C74" s="1" t="n">
        <v>45827</v>
      </c>
      <c r="D74" t="inlineStr">
        <is>
          <t>NORRBOTTENS LÄN</t>
        </is>
      </c>
      <c r="E74" t="inlineStr">
        <is>
          <t>PAJALA</t>
        </is>
      </c>
      <c r="F74" t="inlineStr">
        <is>
          <t>Sveaskog</t>
        </is>
      </c>
      <c r="G74" t="n">
        <v>6.3</v>
      </c>
      <c r="H74" t="n">
        <v>0</v>
      </c>
      <c r="I74" t="n">
        <v>0</v>
      </c>
      <c r="J74" t="n">
        <v>1</v>
      </c>
      <c r="K74" t="n">
        <v>0</v>
      </c>
      <c r="L74" t="n">
        <v>0</v>
      </c>
      <c r="M74" t="n">
        <v>0</v>
      </c>
      <c r="N74" t="n">
        <v>0</v>
      </c>
      <c r="O74" t="n">
        <v>1</v>
      </c>
      <c r="P74" t="n">
        <v>0</v>
      </c>
      <c r="Q74" t="n">
        <v>1</v>
      </c>
      <c r="R74" s="2" t="inlineStr">
        <is>
          <t>Garnlav</t>
        </is>
      </c>
      <c r="S74">
        <f>HYPERLINK("https://klasma.github.io/Logging_2521/artfynd/A 44777-2024 artfynd.xlsx", "A 44777-2024")</f>
        <v/>
      </c>
      <c r="T74">
        <f>HYPERLINK("https://klasma.github.io/Logging_2521/kartor/A 44777-2024 karta.png", "A 44777-2024")</f>
        <v/>
      </c>
      <c r="V74">
        <f>HYPERLINK("https://klasma.github.io/Logging_2521/klagomål/A 44777-2024 FSC-klagomål.docx", "A 44777-2024")</f>
        <v/>
      </c>
      <c r="W74">
        <f>HYPERLINK("https://klasma.github.io/Logging_2521/klagomålsmail/A 44777-2024 FSC-klagomål mail.docx", "A 44777-2024")</f>
        <v/>
      </c>
      <c r="X74">
        <f>HYPERLINK("https://klasma.github.io/Logging_2521/tillsyn/A 44777-2024 tillsynsbegäran.docx", "A 44777-2024")</f>
        <v/>
      </c>
      <c r="Y74">
        <f>HYPERLINK("https://klasma.github.io/Logging_2521/tillsynsmail/A 44777-2024 tillsynsbegäran mail.docx", "A 44777-2024")</f>
        <v/>
      </c>
    </row>
    <row r="75" ht="15" customHeight="1">
      <c r="A75" t="inlineStr">
        <is>
          <t>A 46952-2024</t>
        </is>
      </c>
      <c r="B75" s="1" t="n">
        <v>45585</v>
      </c>
      <c r="C75" s="1" t="n">
        <v>45827</v>
      </c>
      <c r="D75" t="inlineStr">
        <is>
          <t>NORRBOTTENS LÄN</t>
        </is>
      </c>
      <c r="E75" t="inlineStr">
        <is>
          <t>PAJALA</t>
        </is>
      </c>
      <c r="G75" t="n">
        <v>19.1</v>
      </c>
      <c r="H75" t="n">
        <v>1</v>
      </c>
      <c r="I75" t="n">
        <v>1</v>
      </c>
      <c r="J75" t="n">
        <v>0</v>
      </c>
      <c r="K75" t="n">
        <v>0</v>
      </c>
      <c r="L75" t="n">
        <v>0</v>
      </c>
      <c r="M75" t="n">
        <v>0</v>
      </c>
      <c r="N75" t="n">
        <v>0</v>
      </c>
      <c r="O75" t="n">
        <v>0</v>
      </c>
      <c r="P75" t="n">
        <v>0</v>
      </c>
      <c r="Q75" t="n">
        <v>1</v>
      </c>
      <c r="R75" s="2" t="inlineStr">
        <is>
          <t>Lappranunkel</t>
        </is>
      </c>
      <c r="S75">
        <f>HYPERLINK("https://klasma.github.io/Logging_2521/artfynd/A 46952-2024 artfynd.xlsx", "A 46952-2024")</f>
        <v/>
      </c>
      <c r="T75">
        <f>HYPERLINK("https://klasma.github.io/Logging_2521/kartor/A 46952-2024 karta.png", "A 46952-2024")</f>
        <v/>
      </c>
      <c r="V75">
        <f>HYPERLINK("https://klasma.github.io/Logging_2521/klagomål/A 46952-2024 FSC-klagomål.docx", "A 46952-2024")</f>
        <v/>
      </c>
      <c r="W75">
        <f>HYPERLINK("https://klasma.github.io/Logging_2521/klagomålsmail/A 46952-2024 FSC-klagomål mail.docx", "A 46952-2024")</f>
        <v/>
      </c>
      <c r="X75">
        <f>HYPERLINK("https://klasma.github.io/Logging_2521/tillsyn/A 46952-2024 tillsynsbegäran.docx", "A 46952-2024")</f>
        <v/>
      </c>
      <c r="Y75">
        <f>HYPERLINK("https://klasma.github.io/Logging_2521/tillsynsmail/A 46952-2024 tillsynsbegäran mail.docx", "A 46952-2024")</f>
        <v/>
      </c>
    </row>
    <row r="76" ht="15" customHeight="1">
      <c r="A76" t="inlineStr">
        <is>
          <t>A 60408-2024</t>
        </is>
      </c>
      <c r="B76" s="1" t="n">
        <v>45643</v>
      </c>
      <c r="C76" s="1" t="n">
        <v>45827</v>
      </c>
      <c r="D76" t="inlineStr">
        <is>
          <t>NORRBOTTENS LÄN</t>
        </is>
      </c>
      <c r="E76" t="inlineStr">
        <is>
          <t>PAJALA</t>
        </is>
      </c>
      <c r="G76" t="n">
        <v>20</v>
      </c>
      <c r="H76" t="n">
        <v>1</v>
      </c>
      <c r="I76" t="n">
        <v>0</v>
      </c>
      <c r="J76" t="n">
        <v>1</v>
      </c>
      <c r="K76" t="n">
        <v>0</v>
      </c>
      <c r="L76" t="n">
        <v>0</v>
      </c>
      <c r="M76" t="n">
        <v>0</v>
      </c>
      <c r="N76" t="n">
        <v>0</v>
      </c>
      <c r="O76" t="n">
        <v>1</v>
      </c>
      <c r="P76" t="n">
        <v>0</v>
      </c>
      <c r="Q76" t="n">
        <v>1</v>
      </c>
      <c r="R76" s="2" t="inlineStr">
        <is>
          <t>Järpe</t>
        </is>
      </c>
      <c r="S76">
        <f>HYPERLINK("https://klasma.github.io/Logging_2521/artfynd/A 60408-2024 artfynd.xlsx", "A 60408-2024")</f>
        <v/>
      </c>
      <c r="T76">
        <f>HYPERLINK("https://klasma.github.io/Logging_2521/kartor/A 60408-2024 karta.png", "A 60408-2024")</f>
        <v/>
      </c>
      <c r="V76">
        <f>HYPERLINK("https://klasma.github.io/Logging_2521/klagomål/A 60408-2024 FSC-klagomål.docx", "A 60408-2024")</f>
        <v/>
      </c>
      <c r="W76">
        <f>HYPERLINK("https://klasma.github.io/Logging_2521/klagomålsmail/A 60408-2024 FSC-klagomål mail.docx", "A 60408-2024")</f>
        <v/>
      </c>
      <c r="X76">
        <f>HYPERLINK("https://klasma.github.io/Logging_2521/tillsyn/A 60408-2024 tillsynsbegäran.docx", "A 60408-2024")</f>
        <v/>
      </c>
      <c r="Y76">
        <f>HYPERLINK("https://klasma.github.io/Logging_2521/tillsynsmail/A 60408-2024 tillsynsbegäran mail.docx", "A 60408-2024")</f>
        <v/>
      </c>
      <c r="Z76">
        <f>HYPERLINK("https://klasma.github.io/Logging_2521/fåglar/A 60408-2024 prioriterade fågelarter.docx", "A 60408-2024")</f>
        <v/>
      </c>
    </row>
    <row r="77" ht="15" customHeight="1">
      <c r="A77" t="inlineStr">
        <is>
          <t>A 26531-2025</t>
        </is>
      </c>
      <c r="B77" s="1" t="n">
        <v>45807</v>
      </c>
      <c r="C77" s="1" t="n">
        <v>45827</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HYPERLINK("https://klasma.github.io/Logging_252521/artfynd/A 26531-2025 artfynd.xlsx", "A 26531-2025")</f>
        <v/>
      </c>
      <c r="T77">
        <f>HYPERLINK("https://klasma.github.io/Logging_252521/kartor/A 26531-2025 karta.png", "A 26531-2025")</f>
        <v/>
      </c>
      <c r="V77">
        <f>HYPERLINK("https://klasma.github.io/Logging_252521/klagomål/A 26531-2025 FSC-klagomål.docx", "A 26531-2025")</f>
        <v/>
      </c>
      <c r="W77">
        <f>HYPERLINK("https://klasma.github.io/Logging_252521/klagomålsmail/A 26531-2025 FSC-klagomål mail.docx", "A 26531-2025")</f>
        <v/>
      </c>
      <c r="X77">
        <f>HYPERLINK("https://klasma.github.io/Logging_252521/tillsyn/A 26531-2025 tillsynsbegäran.docx", "A 26531-2025")</f>
        <v/>
      </c>
      <c r="Y77">
        <f>HYPERLINK("https://klasma.github.io/Logging_252521/tillsynsmail/A 26531-2025 tillsynsbegäran mail.docx", "A 26531-2025")</f>
        <v/>
      </c>
    </row>
    <row r="78" ht="15" customHeight="1">
      <c r="A78" t="inlineStr">
        <is>
          <t>A 27635-2025</t>
        </is>
      </c>
      <c r="B78" s="1" t="n">
        <v>45813</v>
      </c>
      <c r="C78" s="1" t="n">
        <v>45827</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HYPERLINK("https://klasma.github.io/Logging_252521/artfynd/A 27635-2025 artfynd.xlsx", "A 27635-2025")</f>
        <v/>
      </c>
      <c r="T78">
        <f>HYPERLINK("https://klasma.github.io/Logging_252521/kartor/A 27635-2025 karta.png", "A 27635-2025")</f>
        <v/>
      </c>
      <c r="V78">
        <f>HYPERLINK("https://klasma.github.io/Logging_252521/klagomål/A 27635-2025 FSC-klagomål.docx", "A 27635-2025")</f>
        <v/>
      </c>
      <c r="W78">
        <f>HYPERLINK("https://klasma.github.io/Logging_252521/klagomålsmail/A 27635-2025 FSC-klagomål mail.docx", "A 27635-2025")</f>
        <v/>
      </c>
      <c r="X78">
        <f>HYPERLINK("https://klasma.github.io/Logging_252521/tillsyn/A 27635-2025 tillsynsbegäran.docx", "A 27635-2025")</f>
        <v/>
      </c>
      <c r="Y78">
        <f>HYPERLINK("https://klasma.github.io/Logging_252521/tillsynsmail/A 27635-2025 tillsynsbegäran mail.docx", "A 27635-2025")</f>
        <v/>
      </c>
    </row>
    <row r="79" ht="15" customHeight="1">
      <c r="A79" t="inlineStr">
        <is>
          <t>A 18258-2019</t>
        </is>
      </c>
      <c r="B79" s="1" t="n">
        <v>43558</v>
      </c>
      <c r="C79" s="1" t="n">
        <v>45827</v>
      </c>
      <c r="D79" t="inlineStr">
        <is>
          <t>NORRBOTTENS LÄN</t>
        </is>
      </c>
      <c r="E79" t="inlineStr">
        <is>
          <t>PAJALA</t>
        </is>
      </c>
      <c r="G79" t="n">
        <v>2.4</v>
      </c>
      <c r="H79" t="n">
        <v>0</v>
      </c>
      <c r="I79" t="n">
        <v>0</v>
      </c>
      <c r="J79" t="n">
        <v>0</v>
      </c>
      <c r="K79" t="n">
        <v>0</v>
      </c>
      <c r="L79" t="n">
        <v>0</v>
      </c>
      <c r="M79" t="n">
        <v>0</v>
      </c>
      <c r="N79" t="n">
        <v>0</v>
      </c>
      <c r="O79" t="n">
        <v>0</v>
      </c>
      <c r="P79" t="n">
        <v>0</v>
      </c>
      <c r="Q79" t="n">
        <v>0</v>
      </c>
      <c r="R79" s="2" t="inlineStr"/>
    </row>
    <row r="80" ht="15" customHeight="1">
      <c r="A80" t="inlineStr">
        <is>
          <t>A 20148-2019</t>
        </is>
      </c>
      <c r="B80" s="1" t="n">
        <v>43567</v>
      </c>
      <c r="C80" s="1" t="n">
        <v>45827</v>
      </c>
      <c r="D80" t="inlineStr">
        <is>
          <t>NORRBOTTENS LÄN</t>
        </is>
      </c>
      <c r="E80" t="inlineStr">
        <is>
          <t>PAJALA</t>
        </is>
      </c>
      <c r="G80" t="n">
        <v>4.7</v>
      </c>
      <c r="H80" t="n">
        <v>0</v>
      </c>
      <c r="I80" t="n">
        <v>0</v>
      </c>
      <c r="J80" t="n">
        <v>0</v>
      </c>
      <c r="K80" t="n">
        <v>0</v>
      </c>
      <c r="L80" t="n">
        <v>0</v>
      </c>
      <c r="M80" t="n">
        <v>0</v>
      </c>
      <c r="N80" t="n">
        <v>0</v>
      </c>
      <c r="O80" t="n">
        <v>0</v>
      </c>
      <c r="P80" t="n">
        <v>0</v>
      </c>
      <c r="Q80" t="n">
        <v>0</v>
      </c>
      <c r="R80" s="2" t="inlineStr"/>
    </row>
    <row r="81" ht="15" customHeight="1">
      <c r="A81" t="inlineStr">
        <is>
          <t>A 20053-2019</t>
        </is>
      </c>
      <c r="B81" s="1" t="n">
        <v>43570</v>
      </c>
      <c r="C81" s="1" t="n">
        <v>45827</v>
      </c>
      <c r="D81" t="inlineStr">
        <is>
          <t>NORRBOTTENS LÄN</t>
        </is>
      </c>
      <c r="E81" t="inlineStr">
        <is>
          <t>PAJALA</t>
        </is>
      </c>
      <c r="F81" t="inlineStr">
        <is>
          <t>Sveaskog</t>
        </is>
      </c>
      <c r="G81" t="n">
        <v>2.9</v>
      </c>
      <c r="H81" t="n">
        <v>0</v>
      </c>
      <c r="I81" t="n">
        <v>0</v>
      </c>
      <c r="J81" t="n">
        <v>0</v>
      </c>
      <c r="K81" t="n">
        <v>0</v>
      </c>
      <c r="L81" t="n">
        <v>0</v>
      </c>
      <c r="M81" t="n">
        <v>0</v>
      </c>
      <c r="N81" t="n">
        <v>0</v>
      </c>
      <c r="O81" t="n">
        <v>0</v>
      </c>
      <c r="P81" t="n">
        <v>0</v>
      </c>
      <c r="Q81" t="n">
        <v>0</v>
      </c>
      <c r="R81" s="2" t="inlineStr"/>
    </row>
    <row r="82" ht="15" customHeight="1">
      <c r="A82" t="inlineStr">
        <is>
          <t>A 20349-2019</t>
        </is>
      </c>
      <c r="B82" s="1" t="n">
        <v>43570</v>
      </c>
      <c r="C82" s="1" t="n">
        <v>45827</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20382-2019</t>
        </is>
      </c>
      <c r="B83" s="1" t="n">
        <v>43571</v>
      </c>
      <c r="C83" s="1" t="n">
        <v>45827</v>
      </c>
      <c r="D83" t="inlineStr">
        <is>
          <t>NORRBOTTENS LÄN</t>
        </is>
      </c>
      <c r="E83" t="inlineStr">
        <is>
          <t>PAJALA</t>
        </is>
      </c>
      <c r="G83" t="n">
        <v>3.5</v>
      </c>
      <c r="H83" t="n">
        <v>0</v>
      </c>
      <c r="I83" t="n">
        <v>0</v>
      </c>
      <c r="J83" t="n">
        <v>0</v>
      </c>
      <c r="K83" t="n">
        <v>0</v>
      </c>
      <c r="L83" t="n">
        <v>0</v>
      </c>
      <c r="M83" t="n">
        <v>0</v>
      </c>
      <c r="N83" t="n">
        <v>0</v>
      </c>
      <c r="O83" t="n">
        <v>0</v>
      </c>
      <c r="P83" t="n">
        <v>0</v>
      </c>
      <c r="Q83" t="n">
        <v>0</v>
      </c>
      <c r="R83" s="2" t="inlineStr"/>
    </row>
    <row r="84" ht="15" customHeight="1">
      <c r="A84" t="inlineStr">
        <is>
          <t>A 20410-2019</t>
        </is>
      </c>
      <c r="B84" s="1" t="n">
        <v>43571</v>
      </c>
      <c r="C84" s="1" t="n">
        <v>45827</v>
      </c>
      <c r="D84" t="inlineStr">
        <is>
          <t>NORRBOTTENS LÄN</t>
        </is>
      </c>
      <c r="E84" t="inlineStr">
        <is>
          <t>PAJALA</t>
        </is>
      </c>
      <c r="F84" t="inlineStr">
        <is>
          <t>Kyrkan</t>
        </is>
      </c>
      <c r="G84" t="n">
        <v>3.2</v>
      </c>
      <c r="H84" t="n">
        <v>0</v>
      </c>
      <c r="I84" t="n">
        <v>0</v>
      </c>
      <c r="J84" t="n">
        <v>0</v>
      </c>
      <c r="K84" t="n">
        <v>0</v>
      </c>
      <c r="L84" t="n">
        <v>0</v>
      </c>
      <c r="M84" t="n">
        <v>0</v>
      </c>
      <c r="N84" t="n">
        <v>0</v>
      </c>
      <c r="O84" t="n">
        <v>0</v>
      </c>
      <c r="P84" t="n">
        <v>0</v>
      </c>
      <c r="Q84" t="n">
        <v>0</v>
      </c>
      <c r="R84" s="2" t="inlineStr"/>
    </row>
    <row r="85" ht="15" customHeight="1">
      <c r="A85" t="inlineStr">
        <is>
          <t>A 20537-2019</t>
        </is>
      </c>
      <c r="B85" s="1" t="n">
        <v>43572</v>
      </c>
      <c r="C85" s="1" t="n">
        <v>45827</v>
      </c>
      <c r="D85" t="inlineStr">
        <is>
          <t>NORRBOTTENS LÄN</t>
        </is>
      </c>
      <c r="E85" t="inlineStr">
        <is>
          <t>PAJALA</t>
        </is>
      </c>
      <c r="G85" t="n">
        <v>7.2</v>
      </c>
      <c r="H85" t="n">
        <v>0</v>
      </c>
      <c r="I85" t="n">
        <v>0</v>
      </c>
      <c r="J85" t="n">
        <v>0</v>
      </c>
      <c r="K85" t="n">
        <v>0</v>
      </c>
      <c r="L85" t="n">
        <v>0</v>
      </c>
      <c r="M85" t="n">
        <v>0</v>
      </c>
      <c r="N85" t="n">
        <v>0</v>
      </c>
      <c r="O85" t="n">
        <v>0</v>
      </c>
      <c r="P85" t="n">
        <v>0</v>
      </c>
      <c r="Q85" t="n">
        <v>0</v>
      </c>
      <c r="R85" s="2" t="inlineStr"/>
    </row>
    <row r="86" ht="15" customHeight="1">
      <c r="A86" t="inlineStr">
        <is>
          <t>A 21088-2019</t>
        </is>
      </c>
      <c r="B86" s="1" t="n">
        <v>43574</v>
      </c>
      <c r="C86" s="1" t="n">
        <v>45827</v>
      </c>
      <c r="D86" t="inlineStr">
        <is>
          <t>NORRBOTTENS LÄN</t>
        </is>
      </c>
      <c r="E86" t="inlineStr">
        <is>
          <t>PAJALA</t>
        </is>
      </c>
      <c r="G86" t="n">
        <v>0.6</v>
      </c>
      <c r="H86" t="n">
        <v>0</v>
      </c>
      <c r="I86" t="n">
        <v>0</v>
      </c>
      <c r="J86" t="n">
        <v>0</v>
      </c>
      <c r="K86" t="n">
        <v>0</v>
      </c>
      <c r="L86" t="n">
        <v>0</v>
      </c>
      <c r="M86" t="n">
        <v>0</v>
      </c>
      <c r="N86" t="n">
        <v>0</v>
      </c>
      <c r="O86" t="n">
        <v>0</v>
      </c>
      <c r="P86" t="n">
        <v>0</v>
      </c>
      <c r="Q86" t="n">
        <v>0</v>
      </c>
      <c r="R86" s="2" t="inlineStr"/>
    </row>
    <row r="87" ht="15" customHeight="1">
      <c r="A87" t="inlineStr">
        <is>
          <t>A 21517-2019</t>
        </is>
      </c>
      <c r="B87" s="1" t="n">
        <v>43580</v>
      </c>
      <c r="C87" s="1" t="n">
        <v>45827</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21510-2019</t>
        </is>
      </c>
      <c r="B88" s="1" t="n">
        <v>43580</v>
      </c>
      <c r="C88" s="1" t="n">
        <v>45827</v>
      </c>
      <c r="D88" t="inlineStr">
        <is>
          <t>NORRBOTTENS LÄN</t>
        </is>
      </c>
      <c r="E88" t="inlineStr">
        <is>
          <t>PAJALA</t>
        </is>
      </c>
      <c r="G88" t="n">
        <v>3.6</v>
      </c>
      <c r="H88" t="n">
        <v>0</v>
      </c>
      <c r="I88" t="n">
        <v>0</v>
      </c>
      <c r="J88" t="n">
        <v>0</v>
      </c>
      <c r="K88" t="n">
        <v>0</v>
      </c>
      <c r="L88" t="n">
        <v>0</v>
      </c>
      <c r="M88" t="n">
        <v>0</v>
      </c>
      <c r="N88" t="n">
        <v>0</v>
      </c>
      <c r="O88" t="n">
        <v>0</v>
      </c>
      <c r="P88" t="n">
        <v>0</v>
      </c>
      <c r="Q88" t="n">
        <v>0</v>
      </c>
      <c r="R88" s="2" t="inlineStr"/>
    </row>
    <row r="89" ht="15" customHeight="1">
      <c r="A89" t="inlineStr">
        <is>
          <t>A 22564-2019</t>
        </is>
      </c>
      <c r="B89" s="1" t="n">
        <v>43587</v>
      </c>
      <c r="C89" s="1" t="n">
        <v>45827</v>
      </c>
      <c r="D89" t="inlineStr">
        <is>
          <t>NORRBOTTENS LÄN</t>
        </is>
      </c>
      <c r="E89" t="inlineStr">
        <is>
          <t>PAJALA</t>
        </is>
      </c>
      <c r="G89" t="n">
        <v>1.7</v>
      </c>
      <c r="H89" t="n">
        <v>0</v>
      </c>
      <c r="I89" t="n">
        <v>0</v>
      </c>
      <c r="J89" t="n">
        <v>0</v>
      </c>
      <c r="K89" t="n">
        <v>0</v>
      </c>
      <c r="L89" t="n">
        <v>0</v>
      </c>
      <c r="M89" t="n">
        <v>0</v>
      </c>
      <c r="N89" t="n">
        <v>0</v>
      </c>
      <c r="O89" t="n">
        <v>0</v>
      </c>
      <c r="P89" t="n">
        <v>0</v>
      </c>
      <c r="Q89" t="n">
        <v>0</v>
      </c>
      <c r="R89" s="2" t="inlineStr"/>
    </row>
    <row r="90" ht="15" customHeight="1">
      <c r="A90" t="inlineStr">
        <is>
          <t>A 22861-2019</t>
        </is>
      </c>
      <c r="B90" s="1" t="n">
        <v>43591</v>
      </c>
      <c r="C90" s="1" t="n">
        <v>45827</v>
      </c>
      <c r="D90" t="inlineStr">
        <is>
          <t>NORRBOTTENS LÄN</t>
        </is>
      </c>
      <c r="E90" t="inlineStr">
        <is>
          <t>PAJALA</t>
        </is>
      </c>
      <c r="G90" t="n">
        <v>2.2</v>
      </c>
      <c r="H90" t="n">
        <v>0</v>
      </c>
      <c r="I90" t="n">
        <v>0</v>
      </c>
      <c r="J90" t="n">
        <v>0</v>
      </c>
      <c r="K90" t="n">
        <v>0</v>
      </c>
      <c r="L90" t="n">
        <v>0</v>
      </c>
      <c r="M90" t="n">
        <v>0</v>
      </c>
      <c r="N90" t="n">
        <v>0</v>
      </c>
      <c r="O90" t="n">
        <v>0</v>
      </c>
      <c r="P90" t="n">
        <v>0</v>
      </c>
      <c r="Q90" t="n">
        <v>0</v>
      </c>
      <c r="R90" s="2" t="inlineStr"/>
    </row>
    <row r="91" ht="15" customHeight="1">
      <c r="A91" t="inlineStr">
        <is>
          <t>A 22859-2019</t>
        </is>
      </c>
      <c r="B91" s="1" t="n">
        <v>43591</v>
      </c>
      <c r="C91" s="1" t="n">
        <v>45827</v>
      </c>
      <c r="D91" t="inlineStr">
        <is>
          <t>NORRBOTTENS LÄN</t>
        </is>
      </c>
      <c r="E91" t="inlineStr">
        <is>
          <t>PAJALA</t>
        </is>
      </c>
      <c r="G91" t="n">
        <v>5.4</v>
      </c>
      <c r="H91" t="n">
        <v>0</v>
      </c>
      <c r="I91" t="n">
        <v>0</v>
      </c>
      <c r="J91" t="n">
        <v>0</v>
      </c>
      <c r="K91" t="n">
        <v>0</v>
      </c>
      <c r="L91" t="n">
        <v>0</v>
      </c>
      <c r="M91" t="n">
        <v>0</v>
      </c>
      <c r="N91" t="n">
        <v>0</v>
      </c>
      <c r="O91" t="n">
        <v>0</v>
      </c>
      <c r="P91" t="n">
        <v>0</v>
      </c>
      <c r="Q91" t="n">
        <v>0</v>
      </c>
      <c r="R91" s="2" t="inlineStr"/>
    </row>
    <row r="92" ht="15" customHeight="1">
      <c r="A92" t="inlineStr">
        <is>
          <t>A 23628-2019</t>
        </is>
      </c>
      <c r="B92" s="1" t="n">
        <v>43594</v>
      </c>
      <c r="C92" s="1" t="n">
        <v>45827</v>
      </c>
      <c r="D92" t="inlineStr">
        <is>
          <t>NORRBOTTENS LÄN</t>
        </is>
      </c>
      <c r="E92" t="inlineStr">
        <is>
          <t>PAJALA</t>
        </is>
      </c>
      <c r="G92" t="n">
        <v>55.9</v>
      </c>
      <c r="H92" t="n">
        <v>0</v>
      </c>
      <c r="I92" t="n">
        <v>0</v>
      </c>
      <c r="J92" t="n">
        <v>0</v>
      </c>
      <c r="K92" t="n">
        <v>0</v>
      </c>
      <c r="L92" t="n">
        <v>0</v>
      </c>
      <c r="M92" t="n">
        <v>0</v>
      </c>
      <c r="N92" t="n">
        <v>0</v>
      </c>
      <c r="O92" t="n">
        <v>0</v>
      </c>
      <c r="P92" t="n">
        <v>0</v>
      </c>
      <c r="Q92" t="n">
        <v>0</v>
      </c>
      <c r="R92" s="2" t="inlineStr"/>
    </row>
    <row r="93" ht="15" customHeight="1">
      <c r="A93" t="inlineStr">
        <is>
          <t>A 24847-2019</t>
        </is>
      </c>
      <c r="B93" s="1" t="n">
        <v>43599</v>
      </c>
      <c r="C93" s="1" t="n">
        <v>45827</v>
      </c>
      <c r="D93" t="inlineStr">
        <is>
          <t>NORRBOTTENS LÄN</t>
        </is>
      </c>
      <c r="E93" t="inlineStr">
        <is>
          <t>PAJALA</t>
        </is>
      </c>
      <c r="G93" t="n">
        <v>7.6</v>
      </c>
      <c r="H93" t="n">
        <v>0</v>
      </c>
      <c r="I93" t="n">
        <v>0</v>
      </c>
      <c r="J93" t="n">
        <v>0</v>
      </c>
      <c r="K93" t="n">
        <v>0</v>
      </c>
      <c r="L93" t="n">
        <v>0</v>
      </c>
      <c r="M93" t="n">
        <v>0</v>
      </c>
      <c r="N93" t="n">
        <v>0</v>
      </c>
      <c r="O93" t="n">
        <v>0</v>
      </c>
      <c r="P93" t="n">
        <v>0</v>
      </c>
      <c r="Q93" t="n">
        <v>0</v>
      </c>
      <c r="R93" s="2" t="inlineStr"/>
    </row>
    <row r="94" ht="15" customHeight="1">
      <c r="A94" t="inlineStr">
        <is>
          <t>A 24901-2019</t>
        </is>
      </c>
      <c r="B94" s="1" t="n">
        <v>43602</v>
      </c>
      <c r="C94" s="1" t="n">
        <v>45827</v>
      </c>
      <c r="D94" t="inlineStr">
        <is>
          <t>NORRBOTTENS LÄN</t>
        </is>
      </c>
      <c r="E94" t="inlineStr">
        <is>
          <t>PAJALA</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25834-2019</t>
        </is>
      </c>
      <c r="B95" s="1" t="n">
        <v>43608</v>
      </c>
      <c r="C95" s="1" t="n">
        <v>45827</v>
      </c>
      <c r="D95" t="inlineStr">
        <is>
          <t>NORRBOTTENS LÄN</t>
        </is>
      </c>
      <c r="E95" t="inlineStr">
        <is>
          <t>PAJALA</t>
        </is>
      </c>
      <c r="F95" t="inlineStr">
        <is>
          <t>Sveaskog</t>
        </is>
      </c>
      <c r="G95" t="n">
        <v>31.2</v>
      </c>
      <c r="H95" t="n">
        <v>0</v>
      </c>
      <c r="I95" t="n">
        <v>0</v>
      </c>
      <c r="J95" t="n">
        <v>0</v>
      </c>
      <c r="K95" t="n">
        <v>0</v>
      </c>
      <c r="L95" t="n">
        <v>0</v>
      </c>
      <c r="M95" t="n">
        <v>0</v>
      </c>
      <c r="N95" t="n">
        <v>0</v>
      </c>
      <c r="O95" t="n">
        <v>0</v>
      </c>
      <c r="P95" t="n">
        <v>0</v>
      </c>
      <c r="Q95" t="n">
        <v>0</v>
      </c>
      <c r="R95" s="2" t="inlineStr"/>
    </row>
    <row r="96" ht="15" customHeight="1">
      <c r="A96" t="inlineStr">
        <is>
          <t>A 26056-2019</t>
        </is>
      </c>
      <c r="B96" s="1" t="n">
        <v>43609</v>
      </c>
      <c r="C96" s="1" t="n">
        <v>45827</v>
      </c>
      <c r="D96" t="inlineStr">
        <is>
          <t>NORRBOTTENS LÄN</t>
        </is>
      </c>
      <c r="E96" t="inlineStr">
        <is>
          <t>PAJALA</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26869-2019</t>
        </is>
      </c>
      <c r="B97" s="1" t="n">
        <v>43609</v>
      </c>
      <c r="C97" s="1" t="n">
        <v>45827</v>
      </c>
      <c r="D97" t="inlineStr">
        <is>
          <t>NORRBOTTENS LÄN</t>
        </is>
      </c>
      <c r="E97" t="inlineStr">
        <is>
          <t>PAJALA</t>
        </is>
      </c>
      <c r="G97" t="n">
        <v>4.4</v>
      </c>
      <c r="H97" t="n">
        <v>0</v>
      </c>
      <c r="I97" t="n">
        <v>0</v>
      </c>
      <c r="J97" t="n">
        <v>0</v>
      </c>
      <c r="K97" t="n">
        <v>0</v>
      </c>
      <c r="L97" t="n">
        <v>0</v>
      </c>
      <c r="M97" t="n">
        <v>0</v>
      </c>
      <c r="N97" t="n">
        <v>0</v>
      </c>
      <c r="O97" t="n">
        <v>0</v>
      </c>
      <c r="P97" t="n">
        <v>0</v>
      </c>
      <c r="Q97" t="n">
        <v>0</v>
      </c>
      <c r="R97" s="2" t="inlineStr"/>
    </row>
    <row r="98" ht="15" customHeight="1">
      <c r="A98" t="inlineStr">
        <is>
          <t>A 28579-2019</t>
        </is>
      </c>
      <c r="B98" s="1" t="n">
        <v>43626</v>
      </c>
      <c r="C98" s="1" t="n">
        <v>45827</v>
      </c>
      <c r="D98" t="inlineStr">
        <is>
          <t>NORRBOTTENS LÄN</t>
        </is>
      </c>
      <c r="E98" t="inlineStr">
        <is>
          <t>PAJALA</t>
        </is>
      </c>
      <c r="G98" t="n">
        <v>3.1</v>
      </c>
      <c r="H98" t="n">
        <v>0</v>
      </c>
      <c r="I98" t="n">
        <v>0</v>
      </c>
      <c r="J98" t="n">
        <v>0</v>
      </c>
      <c r="K98" t="n">
        <v>0</v>
      </c>
      <c r="L98" t="n">
        <v>0</v>
      </c>
      <c r="M98" t="n">
        <v>0</v>
      </c>
      <c r="N98" t="n">
        <v>0</v>
      </c>
      <c r="O98" t="n">
        <v>0</v>
      </c>
      <c r="P98" t="n">
        <v>0</v>
      </c>
      <c r="Q98" t="n">
        <v>0</v>
      </c>
      <c r="R98" s="2" t="inlineStr"/>
    </row>
    <row r="99" ht="15" customHeight="1">
      <c r="A99" t="inlineStr">
        <is>
          <t>A 28581-2019</t>
        </is>
      </c>
      <c r="B99" s="1" t="n">
        <v>43626</v>
      </c>
      <c r="C99" s="1" t="n">
        <v>45827</v>
      </c>
      <c r="D99" t="inlineStr">
        <is>
          <t>NORRBOTTENS LÄN</t>
        </is>
      </c>
      <c r="E99" t="inlineStr">
        <is>
          <t>PAJALA</t>
        </is>
      </c>
      <c r="G99" t="n">
        <v>3.1</v>
      </c>
      <c r="H99" t="n">
        <v>0</v>
      </c>
      <c r="I99" t="n">
        <v>0</v>
      </c>
      <c r="J99" t="n">
        <v>0</v>
      </c>
      <c r="K99" t="n">
        <v>0</v>
      </c>
      <c r="L99" t="n">
        <v>0</v>
      </c>
      <c r="M99" t="n">
        <v>0</v>
      </c>
      <c r="N99" t="n">
        <v>0</v>
      </c>
      <c r="O99" t="n">
        <v>0</v>
      </c>
      <c r="P99" t="n">
        <v>0</v>
      </c>
      <c r="Q99" t="n">
        <v>0</v>
      </c>
      <c r="R99" s="2" t="inlineStr"/>
    </row>
    <row r="100" ht="15" customHeight="1">
      <c r="A100" t="inlineStr">
        <is>
          <t>A 28582-2019</t>
        </is>
      </c>
      <c r="B100" s="1" t="n">
        <v>43626</v>
      </c>
      <c r="C100" s="1" t="n">
        <v>45827</v>
      </c>
      <c r="D100" t="inlineStr">
        <is>
          <t>NORRBOTTENS LÄN</t>
        </is>
      </c>
      <c r="E100" t="inlineStr">
        <is>
          <t>PAJALA</t>
        </is>
      </c>
      <c r="G100" t="n">
        <v>6.6</v>
      </c>
      <c r="H100" t="n">
        <v>0</v>
      </c>
      <c r="I100" t="n">
        <v>0</v>
      </c>
      <c r="J100" t="n">
        <v>0</v>
      </c>
      <c r="K100" t="n">
        <v>0</v>
      </c>
      <c r="L100" t="n">
        <v>0</v>
      </c>
      <c r="M100" t="n">
        <v>0</v>
      </c>
      <c r="N100" t="n">
        <v>0</v>
      </c>
      <c r="O100" t="n">
        <v>0</v>
      </c>
      <c r="P100" t="n">
        <v>0</v>
      </c>
      <c r="Q100" t="n">
        <v>0</v>
      </c>
      <c r="R100" s="2" t="inlineStr"/>
    </row>
    <row r="101" ht="15" customHeight="1">
      <c r="A101" t="inlineStr">
        <is>
          <t>A 30645-2019</t>
        </is>
      </c>
      <c r="B101" s="1" t="n">
        <v>43635</v>
      </c>
      <c r="C101" s="1" t="n">
        <v>45827</v>
      </c>
      <c r="D101" t="inlineStr">
        <is>
          <t>NORRBOTTENS LÄN</t>
        </is>
      </c>
      <c r="E101" t="inlineStr">
        <is>
          <t>PAJALA</t>
        </is>
      </c>
      <c r="G101" t="n">
        <v>58.7</v>
      </c>
      <c r="H101" t="n">
        <v>0</v>
      </c>
      <c r="I101" t="n">
        <v>0</v>
      </c>
      <c r="J101" t="n">
        <v>0</v>
      </c>
      <c r="K101" t="n">
        <v>0</v>
      </c>
      <c r="L101" t="n">
        <v>0</v>
      </c>
      <c r="M101" t="n">
        <v>0</v>
      </c>
      <c r="N101" t="n">
        <v>0</v>
      </c>
      <c r="O101" t="n">
        <v>0</v>
      </c>
      <c r="P101" t="n">
        <v>0</v>
      </c>
      <c r="Q101" t="n">
        <v>0</v>
      </c>
      <c r="R101" s="2" t="inlineStr"/>
    </row>
    <row r="102" ht="15" customHeight="1">
      <c r="A102" t="inlineStr">
        <is>
          <t>A 32747-2019</t>
        </is>
      </c>
      <c r="B102" s="1" t="n">
        <v>43647</v>
      </c>
      <c r="C102" s="1" t="n">
        <v>45827</v>
      </c>
      <c r="D102" t="inlineStr">
        <is>
          <t>NORRBOTTENS LÄN</t>
        </is>
      </c>
      <c r="E102" t="inlineStr">
        <is>
          <t>PAJALA</t>
        </is>
      </c>
      <c r="F102" t="inlineStr">
        <is>
          <t>SCA</t>
        </is>
      </c>
      <c r="G102" t="n">
        <v>20.8</v>
      </c>
      <c r="H102" t="n">
        <v>0</v>
      </c>
      <c r="I102" t="n">
        <v>0</v>
      </c>
      <c r="J102" t="n">
        <v>0</v>
      </c>
      <c r="K102" t="n">
        <v>0</v>
      </c>
      <c r="L102" t="n">
        <v>0</v>
      </c>
      <c r="M102" t="n">
        <v>0</v>
      </c>
      <c r="N102" t="n">
        <v>0</v>
      </c>
      <c r="O102" t="n">
        <v>0</v>
      </c>
      <c r="P102" t="n">
        <v>0</v>
      </c>
      <c r="Q102" t="n">
        <v>0</v>
      </c>
      <c r="R102" s="2" t="inlineStr"/>
    </row>
    <row r="103" ht="15" customHeight="1">
      <c r="A103" t="inlineStr">
        <is>
          <t>A 33259-2019</t>
        </is>
      </c>
      <c r="B103" s="1" t="n">
        <v>43650</v>
      </c>
      <c r="C103" s="1" t="n">
        <v>45827</v>
      </c>
      <c r="D103" t="inlineStr">
        <is>
          <t>NORRBOTTENS LÄN</t>
        </is>
      </c>
      <c r="E103" t="inlineStr">
        <is>
          <t>PAJALA</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33330-2019</t>
        </is>
      </c>
      <c r="B104" s="1" t="n">
        <v>43650</v>
      </c>
      <c r="C104" s="1" t="n">
        <v>45827</v>
      </c>
      <c r="D104" t="inlineStr">
        <is>
          <t>NORRBOTTENS LÄN</t>
        </is>
      </c>
      <c r="E104" t="inlineStr">
        <is>
          <t>PAJALA</t>
        </is>
      </c>
      <c r="F104" t="inlineStr">
        <is>
          <t>Sveaskog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34153-2019</t>
        </is>
      </c>
      <c r="B105" s="1" t="n">
        <v>43655</v>
      </c>
      <c r="C105" s="1" t="n">
        <v>45827</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35698-2019</t>
        </is>
      </c>
      <c r="B106" s="1" t="n">
        <v>43655</v>
      </c>
      <c r="C106" s="1" t="n">
        <v>45827</v>
      </c>
      <c r="D106" t="inlineStr">
        <is>
          <t>NORRBOTTENS LÄN</t>
        </is>
      </c>
      <c r="E106" t="inlineStr">
        <is>
          <t>PAJALA</t>
        </is>
      </c>
      <c r="G106" t="n">
        <v>2.3</v>
      </c>
      <c r="H106" t="n">
        <v>0</v>
      </c>
      <c r="I106" t="n">
        <v>0</v>
      </c>
      <c r="J106" t="n">
        <v>0</v>
      </c>
      <c r="K106" t="n">
        <v>0</v>
      </c>
      <c r="L106" t="n">
        <v>0</v>
      </c>
      <c r="M106" t="n">
        <v>0</v>
      </c>
      <c r="N106" t="n">
        <v>0</v>
      </c>
      <c r="O106" t="n">
        <v>0</v>
      </c>
      <c r="P106" t="n">
        <v>0</v>
      </c>
      <c r="Q106" t="n">
        <v>0</v>
      </c>
      <c r="R106" s="2" t="inlineStr"/>
    </row>
    <row r="107" ht="15" customHeight="1">
      <c r="A107" t="inlineStr">
        <is>
          <t>A 35700-2019</t>
        </is>
      </c>
      <c r="B107" s="1" t="n">
        <v>43655</v>
      </c>
      <c r="C107" s="1" t="n">
        <v>45827</v>
      </c>
      <c r="D107" t="inlineStr">
        <is>
          <t>NORRBOTTENS LÄN</t>
        </is>
      </c>
      <c r="E107" t="inlineStr">
        <is>
          <t>PAJALA</t>
        </is>
      </c>
      <c r="G107" t="n">
        <v>12.2</v>
      </c>
      <c r="H107" t="n">
        <v>0</v>
      </c>
      <c r="I107" t="n">
        <v>0</v>
      </c>
      <c r="J107" t="n">
        <v>0</v>
      </c>
      <c r="K107" t="n">
        <v>0</v>
      </c>
      <c r="L107" t="n">
        <v>0</v>
      </c>
      <c r="M107" t="n">
        <v>0</v>
      </c>
      <c r="N107" t="n">
        <v>0</v>
      </c>
      <c r="O107" t="n">
        <v>0</v>
      </c>
      <c r="P107" t="n">
        <v>0</v>
      </c>
      <c r="Q107" t="n">
        <v>0</v>
      </c>
      <c r="R107" s="2" t="inlineStr"/>
    </row>
    <row r="108" ht="15" customHeight="1">
      <c r="A108" t="inlineStr">
        <is>
          <t>A 35101-2019</t>
        </is>
      </c>
      <c r="B108" s="1" t="n">
        <v>43661</v>
      </c>
      <c r="C108" s="1" t="n">
        <v>45827</v>
      </c>
      <c r="D108" t="inlineStr">
        <is>
          <t>NORRBOTTENS LÄN</t>
        </is>
      </c>
      <c r="E108" t="inlineStr">
        <is>
          <t>PAJALA</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35113-2019</t>
        </is>
      </c>
      <c r="B109" s="1" t="n">
        <v>43661</v>
      </c>
      <c r="C109" s="1" t="n">
        <v>45827</v>
      </c>
      <c r="D109" t="inlineStr">
        <is>
          <t>NORRBOTTENS LÄN</t>
        </is>
      </c>
      <c r="E109" t="inlineStr">
        <is>
          <t>PAJALA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35797-2019</t>
        </is>
      </c>
      <c r="B110" s="1" t="n">
        <v>43665</v>
      </c>
      <c r="C110" s="1" t="n">
        <v>45827</v>
      </c>
      <c r="D110" t="inlineStr">
        <is>
          <t>NORRBOTTENS LÄN</t>
        </is>
      </c>
      <c r="E110" t="inlineStr">
        <is>
          <t>PAJALA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36753-2019</t>
        </is>
      </c>
      <c r="B111" s="1" t="n">
        <v>43672</v>
      </c>
      <c r="C111" s="1" t="n">
        <v>45827</v>
      </c>
      <c r="D111" t="inlineStr">
        <is>
          <t>NORRBOTTENS LÄN</t>
        </is>
      </c>
      <c r="E111" t="inlineStr">
        <is>
          <t>PAJALA</t>
        </is>
      </c>
      <c r="G111" t="n">
        <v>2.2</v>
      </c>
      <c r="H111" t="n">
        <v>0</v>
      </c>
      <c r="I111" t="n">
        <v>0</v>
      </c>
      <c r="J111" t="n">
        <v>0</v>
      </c>
      <c r="K111" t="n">
        <v>0</v>
      </c>
      <c r="L111" t="n">
        <v>0</v>
      </c>
      <c r="M111" t="n">
        <v>0</v>
      </c>
      <c r="N111" t="n">
        <v>0</v>
      </c>
      <c r="O111" t="n">
        <v>0</v>
      </c>
      <c r="P111" t="n">
        <v>0</v>
      </c>
      <c r="Q111" t="n">
        <v>0</v>
      </c>
      <c r="R111" s="2" t="inlineStr"/>
    </row>
    <row r="112" ht="15" customHeight="1">
      <c r="A112" t="inlineStr">
        <is>
          <t>A 37334-2019</t>
        </is>
      </c>
      <c r="B112" s="1" t="n">
        <v>43678</v>
      </c>
      <c r="C112" s="1" t="n">
        <v>45827</v>
      </c>
      <c r="D112" t="inlineStr">
        <is>
          <t>NORRBOTTENS LÄN</t>
        </is>
      </c>
      <c r="E112" t="inlineStr">
        <is>
          <t>PAJALA</t>
        </is>
      </c>
      <c r="G112" t="n">
        <v>2</v>
      </c>
      <c r="H112" t="n">
        <v>0</v>
      </c>
      <c r="I112" t="n">
        <v>0</v>
      </c>
      <c r="J112" t="n">
        <v>0</v>
      </c>
      <c r="K112" t="n">
        <v>0</v>
      </c>
      <c r="L112" t="n">
        <v>0</v>
      </c>
      <c r="M112" t="n">
        <v>0</v>
      </c>
      <c r="N112" t="n">
        <v>0</v>
      </c>
      <c r="O112" t="n">
        <v>0</v>
      </c>
      <c r="P112" t="n">
        <v>0</v>
      </c>
      <c r="Q112" t="n">
        <v>0</v>
      </c>
      <c r="R112" s="2" t="inlineStr"/>
    </row>
    <row r="113" ht="15" customHeight="1">
      <c r="A113" t="inlineStr">
        <is>
          <t>A 38696-2019</t>
        </is>
      </c>
      <c r="B113" s="1" t="n">
        <v>43684</v>
      </c>
      <c r="C113" s="1" t="n">
        <v>45827</v>
      </c>
      <c r="D113" t="inlineStr">
        <is>
          <t>NORRBOTTENS LÄN</t>
        </is>
      </c>
      <c r="E113" t="inlineStr">
        <is>
          <t>PAJALA</t>
        </is>
      </c>
      <c r="G113" t="n">
        <v>14.6</v>
      </c>
      <c r="H113" t="n">
        <v>0</v>
      </c>
      <c r="I113" t="n">
        <v>0</v>
      </c>
      <c r="J113" t="n">
        <v>0</v>
      </c>
      <c r="K113" t="n">
        <v>0</v>
      </c>
      <c r="L113" t="n">
        <v>0</v>
      </c>
      <c r="M113" t="n">
        <v>0</v>
      </c>
      <c r="N113" t="n">
        <v>0</v>
      </c>
      <c r="O113" t="n">
        <v>0</v>
      </c>
      <c r="P113" t="n">
        <v>0</v>
      </c>
      <c r="Q113" t="n">
        <v>0</v>
      </c>
      <c r="R113" s="2" t="inlineStr"/>
    </row>
    <row r="114" ht="15" customHeight="1">
      <c r="A114" t="inlineStr">
        <is>
          <t>A 38692-2019</t>
        </is>
      </c>
      <c r="B114" s="1" t="n">
        <v>43684</v>
      </c>
      <c r="C114" s="1" t="n">
        <v>45827</v>
      </c>
      <c r="D114" t="inlineStr">
        <is>
          <t>NORRBOTTENS LÄN</t>
        </is>
      </c>
      <c r="E114" t="inlineStr">
        <is>
          <t>PAJALA</t>
        </is>
      </c>
      <c r="G114" t="n">
        <v>4</v>
      </c>
      <c r="H114" t="n">
        <v>0</v>
      </c>
      <c r="I114" t="n">
        <v>0</v>
      </c>
      <c r="J114" t="n">
        <v>0</v>
      </c>
      <c r="K114" t="n">
        <v>0</v>
      </c>
      <c r="L114" t="n">
        <v>0</v>
      </c>
      <c r="M114" t="n">
        <v>0</v>
      </c>
      <c r="N114" t="n">
        <v>0</v>
      </c>
      <c r="O114" t="n">
        <v>0</v>
      </c>
      <c r="P114" t="n">
        <v>0</v>
      </c>
      <c r="Q114" t="n">
        <v>0</v>
      </c>
      <c r="R114" s="2" t="inlineStr"/>
    </row>
    <row r="115" ht="15" customHeight="1">
      <c r="A115" t="inlineStr">
        <is>
          <t>A 39268-2019</t>
        </is>
      </c>
      <c r="B115" s="1" t="n">
        <v>43690</v>
      </c>
      <c r="C115" s="1" t="n">
        <v>45827</v>
      </c>
      <c r="D115" t="inlineStr">
        <is>
          <t>NORRBOTTENS LÄN</t>
        </is>
      </c>
      <c r="E115" t="inlineStr">
        <is>
          <t>PAJALA</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39246-2019</t>
        </is>
      </c>
      <c r="B116" s="1" t="n">
        <v>43690</v>
      </c>
      <c r="C116" s="1" t="n">
        <v>45827</v>
      </c>
      <c r="D116" t="inlineStr">
        <is>
          <t>NORRBOTTENS LÄN</t>
        </is>
      </c>
      <c r="E116" t="inlineStr">
        <is>
          <t>PAJALA</t>
        </is>
      </c>
      <c r="F116" t="inlineStr">
        <is>
          <t>Sveaskog</t>
        </is>
      </c>
      <c r="G116" t="n">
        <v>13.2</v>
      </c>
      <c r="H116" t="n">
        <v>0</v>
      </c>
      <c r="I116" t="n">
        <v>0</v>
      </c>
      <c r="J116" t="n">
        <v>0</v>
      </c>
      <c r="K116" t="n">
        <v>0</v>
      </c>
      <c r="L116" t="n">
        <v>0</v>
      </c>
      <c r="M116" t="n">
        <v>0</v>
      </c>
      <c r="N116" t="n">
        <v>0</v>
      </c>
      <c r="O116" t="n">
        <v>0</v>
      </c>
      <c r="P116" t="n">
        <v>0</v>
      </c>
      <c r="Q116" t="n">
        <v>0</v>
      </c>
      <c r="R116" s="2" t="inlineStr"/>
    </row>
    <row r="117" ht="15" customHeight="1">
      <c r="A117" t="inlineStr">
        <is>
          <t>A 39859-2019</t>
        </is>
      </c>
      <c r="B117" s="1" t="n">
        <v>43692</v>
      </c>
      <c r="C117" s="1" t="n">
        <v>45827</v>
      </c>
      <c r="D117" t="inlineStr">
        <is>
          <t>NORRBOTTENS LÄN</t>
        </is>
      </c>
      <c r="E117" t="inlineStr">
        <is>
          <t>PAJALA</t>
        </is>
      </c>
      <c r="F117" t="inlineStr">
        <is>
          <t>Sveaskog</t>
        </is>
      </c>
      <c r="G117" t="n">
        <v>6</v>
      </c>
      <c r="H117" t="n">
        <v>0</v>
      </c>
      <c r="I117" t="n">
        <v>0</v>
      </c>
      <c r="J117" t="n">
        <v>0</v>
      </c>
      <c r="K117" t="n">
        <v>0</v>
      </c>
      <c r="L117" t="n">
        <v>0</v>
      </c>
      <c r="M117" t="n">
        <v>0</v>
      </c>
      <c r="N117" t="n">
        <v>0</v>
      </c>
      <c r="O117" t="n">
        <v>0</v>
      </c>
      <c r="P117" t="n">
        <v>0</v>
      </c>
      <c r="Q117" t="n">
        <v>0</v>
      </c>
      <c r="R117" s="2" t="inlineStr"/>
    </row>
    <row r="118" ht="15" customHeight="1">
      <c r="A118" t="inlineStr">
        <is>
          <t>A 39863-2019</t>
        </is>
      </c>
      <c r="B118" s="1" t="n">
        <v>43692</v>
      </c>
      <c r="C118" s="1" t="n">
        <v>45827</v>
      </c>
      <c r="D118" t="inlineStr">
        <is>
          <t>NORRBOTTENS LÄN</t>
        </is>
      </c>
      <c r="E118" t="inlineStr">
        <is>
          <t>PAJALA</t>
        </is>
      </c>
      <c r="F118" t="inlineStr">
        <is>
          <t>Sveaskog</t>
        </is>
      </c>
      <c r="G118" t="n">
        <v>11.3</v>
      </c>
      <c r="H118" t="n">
        <v>0</v>
      </c>
      <c r="I118" t="n">
        <v>0</v>
      </c>
      <c r="J118" t="n">
        <v>0</v>
      </c>
      <c r="K118" t="n">
        <v>0</v>
      </c>
      <c r="L118" t="n">
        <v>0</v>
      </c>
      <c r="M118" t="n">
        <v>0</v>
      </c>
      <c r="N118" t="n">
        <v>0</v>
      </c>
      <c r="O118" t="n">
        <v>0</v>
      </c>
      <c r="P118" t="n">
        <v>0</v>
      </c>
      <c r="Q118" t="n">
        <v>0</v>
      </c>
      <c r="R118" s="2" t="inlineStr"/>
    </row>
    <row r="119" ht="15" customHeight="1">
      <c r="A119" t="inlineStr">
        <is>
          <t>A 41315-2019</t>
        </is>
      </c>
      <c r="B119" s="1" t="n">
        <v>43696</v>
      </c>
      <c r="C119" s="1" t="n">
        <v>45827</v>
      </c>
      <c r="D119" t="inlineStr">
        <is>
          <t>NORRBOTTENS LÄN</t>
        </is>
      </c>
      <c r="E119" t="inlineStr">
        <is>
          <t>PAJALA</t>
        </is>
      </c>
      <c r="G119" t="n">
        <v>7</v>
      </c>
      <c r="H119" t="n">
        <v>0</v>
      </c>
      <c r="I119" t="n">
        <v>0</v>
      </c>
      <c r="J119" t="n">
        <v>0</v>
      </c>
      <c r="K119" t="n">
        <v>0</v>
      </c>
      <c r="L119" t="n">
        <v>0</v>
      </c>
      <c r="M119" t="n">
        <v>0</v>
      </c>
      <c r="N119" t="n">
        <v>0</v>
      </c>
      <c r="O119" t="n">
        <v>0</v>
      </c>
      <c r="P119" t="n">
        <v>0</v>
      </c>
      <c r="Q119" t="n">
        <v>0</v>
      </c>
      <c r="R119" s="2" t="inlineStr"/>
    </row>
    <row r="120" ht="15" customHeight="1">
      <c r="A120" t="inlineStr">
        <is>
          <t>A 41424-2019</t>
        </is>
      </c>
      <c r="B120" s="1" t="n">
        <v>43698</v>
      </c>
      <c r="C120" s="1" t="n">
        <v>45827</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41426-2019</t>
        </is>
      </c>
      <c r="B121" s="1" t="n">
        <v>43698</v>
      </c>
      <c r="C121" s="1" t="n">
        <v>45827</v>
      </c>
      <c r="D121" t="inlineStr">
        <is>
          <t>NORRBOTTENS LÄN</t>
        </is>
      </c>
      <c r="E121" t="inlineStr">
        <is>
          <t>PAJALA</t>
        </is>
      </c>
      <c r="G121" t="n">
        <v>1.8</v>
      </c>
      <c r="H121" t="n">
        <v>0</v>
      </c>
      <c r="I121" t="n">
        <v>0</v>
      </c>
      <c r="J121" t="n">
        <v>0</v>
      </c>
      <c r="K121" t="n">
        <v>0</v>
      </c>
      <c r="L121" t="n">
        <v>0</v>
      </c>
      <c r="M121" t="n">
        <v>0</v>
      </c>
      <c r="N121" t="n">
        <v>0</v>
      </c>
      <c r="O121" t="n">
        <v>0</v>
      </c>
      <c r="P121" t="n">
        <v>0</v>
      </c>
      <c r="Q121" t="n">
        <v>0</v>
      </c>
      <c r="R121" s="2" t="inlineStr"/>
    </row>
    <row r="122" ht="15" customHeight="1">
      <c r="A122" t="inlineStr">
        <is>
          <t>A 41427-2019</t>
        </is>
      </c>
      <c r="B122" s="1" t="n">
        <v>43698</v>
      </c>
      <c r="C122" s="1" t="n">
        <v>45827</v>
      </c>
      <c r="D122" t="inlineStr">
        <is>
          <t>NORRBOTTENS LÄN</t>
        </is>
      </c>
      <c r="E122" t="inlineStr">
        <is>
          <t>PAJALA</t>
        </is>
      </c>
      <c r="G122" t="n">
        <v>5.8</v>
      </c>
      <c r="H122" t="n">
        <v>0</v>
      </c>
      <c r="I122" t="n">
        <v>0</v>
      </c>
      <c r="J122" t="n">
        <v>0</v>
      </c>
      <c r="K122" t="n">
        <v>0</v>
      </c>
      <c r="L122" t="n">
        <v>0</v>
      </c>
      <c r="M122" t="n">
        <v>0</v>
      </c>
      <c r="N122" t="n">
        <v>0</v>
      </c>
      <c r="O122" t="n">
        <v>0</v>
      </c>
      <c r="P122" t="n">
        <v>0</v>
      </c>
      <c r="Q122" t="n">
        <v>0</v>
      </c>
      <c r="R122" s="2" t="inlineStr"/>
    </row>
    <row r="123" ht="15" customHeight="1">
      <c r="A123" t="inlineStr">
        <is>
          <t>A 42199-2019</t>
        </is>
      </c>
      <c r="B123" s="1" t="n">
        <v>43698</v>
      </c>
      <c r="C123" s="1" t="n">
        <v>45827</v>
      </c>
      <c r="D123" t="inlineStr">
        <is>
          <t>NORRBOTTENS LÄN</t>
        </is>
      </c>
      <c r="E123" t="inlineStr">
        <is>
          <t>PAJALA</t>
        </is>
      </c>
      <c r="G123" t="n">
        <v>2.1</v>
      </c>
      <c r="H123" t="n">
        <v>0</v>
      </c>
      <c r="I123" t="n">
        <v>0</v>
      </c>
      <c r="J123" t="n">
        <v>0</v>
      </c>
      <c r="K123" t="n">
        <v>0</v>
      </c>
      <c r="L123" t="n">
        <v>0</v>
      </c>
      <c r="M123" t="n">
        <v>0</v>
      </c>
      <c r="N123" t="n">
        <v>0</v>
      </c>
      <c r="O123" t="n">
        <v>0</v>
      </c>
      <c r="P123" t="n">
        <v>0</v>
      </c>
      <c r="Q123" t="n">
        <v>0</v>
      </c>
      <c r="R123" s="2" t="inlineStr"/>
    </row>
    <row r="124" ht="15" customHeight="1">
      <c r="A124" t="inlineStr">
        <is>
          <t>A 41791-2019</t>
        </is>
      </c>
      <c r="B124" s="1" t="n">
        <v>43699</v>
      </c>
      <c r="C124" s="1" t="n">
        <v>45827</v>
      </c>
      <c r="D124" t="inlineStr">
        <is>
          <t>NORRBOTTENS LÄN</t>
        </is>
      </c>
      <c r="E124" t="inlineStr">
        <is>
          <t>PAJALA</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41795-2019</t>
        </is>
      </c>
      <c r="B125" s="1" t="n">
        <v>43699</v>
      </c>
      <c r="C125" s="1" t="n">
        <v>45827</v>
      </c>
      <c r="D125" t="inlineStr">
        <is>
          <t>NORRBOTTENS LÄN</t>
        </is>
      </c>
      <c r="E125" t="inlineStr">
        <is>
          <t>PAJALA</t>
        </is>
      </c>
      <c r="F125" t="inlineStr">
        <is>
          <t>SCA</t>
        </is>
      </c>
      <c r="G125" t="n">
        <v>25.4</v>
      </c>
      <c r="H125" t="n">
        <v>0</v>
      </c>
      <c r="I125" t="n">
        <v>0</v>
      </c>
      <c r="J125" t="n">
        <v>0</v>
      </c>
      <c r="K125" t="n">
        <v>0</v>
      </c>
      <c r="L125" t="n">
        <v>0</v>
      </c>
      <c r="M125" t="n">
        <v>0</v>
      </c>
      <c r="N125" t="n">
        <v>0</v>
      </c>
      <c r="O125" t="n">
        <v>0</v>
      </c>
      <c r="P125" t="n">
        <v>0</v>
      </c>
      <c r="Q125" t="n">
        <v>0</v>
      </c>
      <c r="R125" s="2" t="inlineStr"/>
    </row>
    <row r="126" ht="15" customHeight="1">
      <c r="A126" t="inlineStr">
        <is>
          <t>A 41794-2019</t>
        </is>
      </c>
      <c r="B126" s="1" t="n">
        <v>43699</v>
      </c>
      <c r="C126" s="1" t="n">
        <v>45827</v>
      </c>
      <c r="D126" t="inlineStr">
        <is>
          <t>NORRBOTTENS LÄN</t>
        </is>
      </c>
      <c r="E126" t="inlineStr">
        <is>
          <t>PAJALA</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41792-2019</t>
        </is>
      </c>
      <c r="B127" s="1" t="n">
        <v>43699</v>
      </c>
      <c r="C127" s="1" t="n">
        <v>45827</v>
      </c>
      <c r="D127" t="inlineStr">
        <is>
          <t>NORRBOTTENS LÄN</t>
        </is>
      </c>
      <c r="E127" t="inlineStr">
        <is>
          <t>PAJALA</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42538-2019</t>
        </is>
      </c>
      <c r="B128" s="1" t="n">
        <v>43699</v>
      </c>
      <c r="C128" s="1" t="n">
        <v>45827</v>
      </c>
      <c r="D128" t="inlineStr">
        <is>
          <t>NORRBOTTENS LÄN</t>
        </is>
      </c>
      <c r="E128" t="inlineStr">
        <is>
          <t>PAJALA</t>
        </is>
      </c>
      <c r="G128" t="n">
        <v>37.9</v>
      </c>
      <c r="H128" t="n">
        <v>0</v>
      </c>
      <c r="I128" t="n">
        <v>0</v>
      </c>
      <c r="J128" t="n">
        <v>0</v>
      </c>
      <c r="K128" t="n">
        <v>0</v>
      </c>
      <c r="L128" t="n">
        <v>0</v>
      </c>
      <c r="M128" t="n">
        <v>0</v>
      </c>
      <c r="N128" t="n">
        <v>0</v>
      </c>
      <c r="O128" t="n">
        <v>0</v>
      </c>
      <c r="P128" t="n">
        <v>0</v>
      </c>
      <c r="Q128" t="n">
        <v>0</v>
      </c>
      <c r="R128" s="2" t="inlineStr"/>
    </row>
    <row r="129" ht="15" customHeight="1">
      <c r="A129" t="inlineStr">
        <is>
          <t>A 41793-2019</t>
        </is>
      </c>
      <c r="B129" s="1" t="n">
        <v>43699</v>
      </c>
      <c r="C129" s="1" t="n">
        <v>45827</v>
      </c>
      <c r="D129" t="inlineStr">
        <is>
          <t>NORRBOTTENS LÄN</t>
        </is>
      </c>
      <c r="E129" t="inlineStr">
        <is>
          <t>PAJALA</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45058-2019</t>
        </is>
      </c>
      <c r="B130" s="1" t="n">
        <v>43707</v>
      </c>
      <c r="C130" s="1" t="n">
        <v>45827</v>
      </c>
      <c r="D130" t="inlineStr">
        <is>
          <t>NORRBOTTENS LÄN</t>
        </is>
      </c>
      <c r="E130" t="inlineStr">
        <is>
          <t>PAJALA</t>
        </is>
      </c>
      <c r="G130" t="n">
        <v>10.4</v>
      </c>
      <c r="H130" t="n">
        <v>0</v>
      </c>
      <c r="I130" t="n">
        <v>0</v>
      </c>
      <c r="J130" t="n">
        <v>0</v>
      </c>
      <c r="K130" t="n">
        <v>0</v>
      </c>
      <c r="L130" t="n">
        <v>0</v>
      </c>
      <c r="M130" t="n">
        <v>0</v>
      </c>
      <c r="N130" t="n">
        <v>0</v>
      </c>
      <c r="O130" t="n">
        <v>0</v>
      </c>
      <c r="P130" t="n">
        <v>0</v>
      </c>
      <c r="Q130" t="n">
        <v>0</v>
      </c>
      <c r="R130" s="2" t="inlineStr"/>
    </row>
    <row r="131" ht="15" customHeight="1">
      <c r="A131" t="inlineStr">
        <is>
          <t>A 44802-2019</t>
        </is>
      </c>
      <c r="B131" s="1" t="n">
        <v>43707</v>
      </c>
      <c r="C131" s="1" t="n">
        <v>45827</v>
      </c>
      <c r="D131" t="inlineStr">
        <is>
          <t>NORRBOTTENS LÄN</t>
        </is>
      </c>
      <c r="E131" t="inlineStr">
        <is>
          <t>PAJALA</t>
        </is>
      </c>
      <c r="G131" t="n">
        <v>54</v>
      </c>
      <c r="H131" t="n">
        <v>0</v>
      </c>
      <c r="I131" t="n">
        <v>0</v>
      </c>
      <c r="J131" t="n">
        <v>0</v>
      </c>
      <c r="K131" t="n">
        <v>0</v>
      </c>
      <c r="L131" t="n">
        <v>0</v>
      </c>
      <c r="M131" t="n">
        <v>0</v>
      </c>
      <c r="N131" t="n">
        <v>0</v>
      </c>
      <c r="O131" t="n">
        <v>0</v>
      </c>
      <c r="P131" t="n">
        <v>0</v>
      </c>
      <c r="Q131" t="n">
        <v>0</v>
      </c>
      <c r="R131" s="2" t="inlineStr"/>
    </row>
    <row r="132" ht="15" customHeight="1">
      <c r="A132" t="inlineStr">
        <is>
          <t>A 44186-2019</t>
        </is>
      </c>
      <c r="B132" s="1" t="n">
        <v>43710</v>
      </c>
      <c r="C132" s="1" t="n">
        <v>45827</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44195-2019</t>
        </is>
      </c>
      <c r="B133" s="1" t="n">
        <v>43710</v>
      </c>
      <c r="C133" s="1" t="n">
        <v>45827</v>
      </c>
      <c r="D133" t="inlineStr">
        <is>
          <t>NORRBOTTENS LÄN</t>
        </is>
      </c>
      <c r="E133" t="inlineStr">
        <is>
          <t>PAJALA</t>
        </is>
      </c>
      <c r="F133" t="inlineStr">
        <is>
          <t>Sveaskog</t>
        </is>
      </c>
      <c r="G133" t="n">
        <v>28.9</v>
      </c>
      <c r="H133" t="n">
        <v>0</v>
      </c>
      <c r="I133" t="n">
        <v>0</v>
      </c>
      <c r="J133" t="n">
        <v>0</v>
      </c>
      <c r="K133" t="n">
        <v>0</v>
      </c>
      <c r="L133" t="n">
        <v>0</v>
      </c>
      <c r="M133" t="n">
        <v>0</v>
      </c>
      <c r="N133" t="n">
        <v>0</v>
      </c>
      <c r="O133" t="n">
        <v>0</v>
      </c>
      <c r="P133" t="n">
        <v>0</v>
      </c>
      <c r="Q133" t="n">
        <v>0</v>
      </c>
      <c r="R133" s="2" t="inlineStr"/>
    </row>
    <row r="134" ht="15" customHeight="1">
      <c r="A134" t="inlineStr">
        <is>
          <t>A 44483-2019</t>
        </is>
      </c>
      <c r="B134" s="1" t="n">
        <v>43711</v>
      </c>
      <c r="C134" s="1" t="n">
        <v>45827</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45857-2019</t>
        </is>
      </c>
      <c r="B135" s="1" t="n">
        <v>43712</v>
      </c>
      <c r="C135" s="1" t="n">
        <v>45827</v>
      </c>
      <c r="D135" t="inlineStr">
        <is>
          <t>NORRBOTTENS LÄN</t>
        </is>
      </c>
      <c r="E135" t="inlineStr">
        <is>
          <t>PAJALA</t>
        </is>
      </c>
      <c r="G135" t="n">
        <v>14.5</v>
      </c>
      <c r="H135" t="n">
        <v>0</v>
      </c>
      <c r="I135" t="n">
        <v>0</v>
      </c>
      <c r="J135" t="n">
        <v>0</v>
      </c>
      <c r="K135" t="n">
        <v>0</v>
      </c>
      <c r="L135" t="n">
        <v>0</v>
      </c>
      <c r="M135" t="n">
        <v>0</v>
      </c>
      <c r="N135" t="n">
        <v>0</v>
      </c>
      <c r="O135" t="n">
        <v>0</v>
      </c>
      <c r="P135" t="n">
        <v>0</v>
      </c>
      <c r="Q135" t="n">
        <v>0</v>
      </c>
      <c r="R135" s="2" t="inlineStr"/>
    </row>
    <row r="136" ht="15" customHeight="1">
      <c r="A136" t="inlineStr">
        <is>
          <t>A 45630-2019</t>
        </is>
      </c>
      <c r="B136" s="1" t="n">
        <v>43717</v>
      </c>
      <c r="C136" s="1" t="n">
        <v>45827</v>
      </c>
      <c r="D136" t="inlineStr">
        <is>
          <t>NORRBOTTENS LÄN</t>
        </is>
      </c>
      <c r="E136" t="inlineStr">
        <is>
          <t>PAJALA</t>
        </is>
      </c>
      <c r="G136" t="n">
        <v>64</v>
      </c>
      <c r="H136" t="n">
        <v>0</v>
      </c>
      <c r="I136" t="n">
        <v>0</v>
      </c>
      <c r="J136" t="n">
        <v>0</v>
      </c>
      <c r="K136" t="n">
        <v>0</v>
      </c>
      <c r="L136" t="n">
        <v>0</v>
      </c>
      <c r="M136" t="n">
        <v>0</v>
      </c>
      <c r="N136" t="n">
        <v>0</v>
      </c>
      <c r="O136" t="n">
        <v>0</v>
      </c>
      <c r="P136" t="n">
        <v>0</v>
      </c>
      <c r="Q136" t="n">
        <v>0</v>
      </c>
      <c r="R136" s="2" t="inlineStr"/>
    </row>
    <row r="137" ht="15" customHeight="1">
      <c r="A137" t="inlineStr">
        <is>
          <t>A 47912-2019</t>
        </is>
      </c>
      <c r="B137" s="1" t="n">
        <v>43725</v>
      </c>
      <c r="C137" s="1" t="n">
        <v>45827</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49087-2019</t>
        </is>
      </c>
      <c r="B138" s="1" t="n">
        <v>43727</v>
      </c>
      <c r="C138" s="1" t="n">
        <v>45827</v>
      </c>
      <c r="D138" t="inlineStr">
        <is>
          <t>NORRBOTTENS LÄN</t>
        </is>
      </c>
      <c r="E138" t="inlineStr">
        <is>
          <t>PAJALA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50082-2019</t>
        </is>
      </c>
      <c r="B139" s="1" t="n">
        <v>43734</v>
      </c>
      <c r="C139" s="1" t="n">
        <v>45827</v>
      </c>
      <c r="D139" t="inlineStr">
        <is>
          <t>NORRBOTTENS LÄN</t>
        </is>
      </c>
      <c r="E139" t="inlineStr">
        <is>
          <t>PAJALA</t>
        </is>
      </c>
      <c r="G139" t="n">
        <v>2.7</v>
      </c>
      <c r="H139" t="n">
        <v>0</v>
      </c>
      <c r="I139" t="n">
        <v>0</v>
      </c>
      <c r="J139" t="n">
        <v>0</v>
      </c>
      <c r="K139" t="n">
        <v>0</v>
      </c>
      <c r="L139" t="n">
        <v>0</v>
      </c>
      <c r="M139" t="n">
        <v>0</v>
      </c>
      <c r="N139" t="n">
        <v>0</v>
      </c>
      <c r="O139" t="n">
        <v>0</v>
      </c>
      <c r="P139" t="n">
        <v>0</v>
      </c>
      <c r="Q139" t="n">
        <v>0</v>
      </c>
      <c r="R139" s="2" t="inlineStr"/>
    </row>
    <row r="140" ht="15" customHeight="1">
      <c r="A140" t="inlineStr">
        <is>
          <t>A 51232-2019</t>
        </is>
      </c>
      <c r="B140" s="1" t="n">
        <v>43739</v>
      </c>
      <c r="C140" s="1" t="n">
        <v>45827</v>
      </c>
      <c r="D140" t="inlineStr">
        <is>
          <t>NORRBOTTENS LÄN</t>
        </is>
      </c>
      <c r="E140" t="inlineStr">
        <is>
          <t>PAJALA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53708-2019</t>
        </is>
      </c>
      <c r="B141" s="1" t="n">
        <v>43749</v>
      </c>
      <c r="C141" s="1" t="n">
        <v>45827</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53827-2019</t>
        </is>
      </c>
      <c r="B142" s="1" t="n">
        <v>43752</v>
      </c>
      <c r="C142" s="1" t="n">
        <v>45827</v>
      </c>
      <c r="D142" t="inlineStr">
        <is>
          <t>NORRBOTTENS LÄN</t>
        </is>
      </c>
      <c r="E142" t="inlineStr">
        <is>
          <t>PAJALA</t>
        </is>
      </c>
      <c r="G142" t="n">
        <v>3.6</v>
      </c>
      <c r="H142" t="n">
        <v>0</v>
      </c>
      <c r="I142" t="n">
        <v>0</v>
      </c>
      <c r="J142" t="n">
        <v>0</v>
      </c>
      <c r="K142" t="n">
        <v>0</v>
      </c>
      <c r="L142" t="n">
        <v>0</v>
      </c>
      <c r="M142" t="n">
        <v>0</v>
      </c>
      <c r="N142" t="n">
        <v>0</v>
      </c>
      <c r="O142" t="n">
        <v>0</v>
      </c>
      <c r="P142" t="n">
        <v>0</v>
      </c>
      <c r="Q142" t="n">
        <v>0</v>
      </c>
      <c r="R142" s="2" t="inlineStr"/>
    </row>
    <row r="143" ht="15" customHeight="1">
      <c r="A143" t="inlineStr">
        <is>
          <t>A 53835-2019</t>
        </is>
      </c>
      <c r="B143" s="1" t="n">
        <v>43752</v>
      </c>
      <c r="C143" s="1" t="n">
        <v>45827</v>
      </c>
      <c r="D143" t="inlineStr">
        <is>
          <t>NORRBOTTENS LÄN</t>
        </is>
      </c>
      <c r="E143" t="inlineStr">
        <is>
          <t>PAJALA</t>
        </is>
      </c>
      <c r="G143" t="n">
        <v>3.6</v>
      </c>
      <c r="H143" t="n">
        <v>0</v>
      </c>
      <c r="I143" t="n">
        <v>0</v>
      </c>
      <c r="J143" t="n">
        <v>0</v>
      </c>
      <c r="K143" t="n">
        <v>0</v>
      </c>
      <c r="L143" t="n">
        <v>0</v>
      </c>
      <c r="M143" t="n">
        <v>0</v>
      </c>
      <c r="N143" t="n">
        <v>0</v>
      </c>
      <c r="O143" t="n">
        <v>0</v>
      </c>
      <c r="P143" t="n">
        <v>0</v>
      </c>
      <c r="Q143" t="n">
        <v>0</v>
      </c>
      <c r="R143" s="2" t="inlineStr"/>
    </row>
    <row r="144" ht="15" customHeight="1">
      <c r="A144" t="inlineStr">
        <is>
          <t>A 53834-2019</t>
        </is>
      </c>
      <c r="B144" s="1" t="n">
        <v>43752</v>
      </c>
      <c r="C144" s="1" t="n">
        <v>45827</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53825-2019</t>
        </is>
      </c>
      <c r="B145" s="1" t="n">
        <v>43752</v>
      </c>
      <c r="C145" s="1" t="n">
        <v>45827</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53831-2019</t>
        </is>
      </c>
      <c r="B146" s="1" t="n">
        <v>43752</v>
      </c>
      <c r="C146" s="1" t="n">
        <v>45827</v>
      </c>
      <c r="D146" t="inlineStr">
        <is>
          <t>NORRBOTTENS LÄN</t>
        </is>
      </c>
      <c r="E146" t="inlineStr">
        <is>
          <t>PAJALA</t>
        </is>
      </c>
      <c r="G146" t="n">
        <v>1.7</v>
      </c>
      <c r="H146" t="n">
        <v>0</v>
      </c>
      <c r="I146" t="n">
        <v>0</v>
      </c>
      <c r="J146" t="n">
        <v>0</v>
      </c>
      <c r="K146" t="n">
        <v>0</v>
      </c>
      <c r="L146" t="n">
        <v>0</v>
      </c>
      <c r="M146" t="n">
        <v>0</v>
      </c>
      <c r="N146" t="n">
        <v>0</v>
      </c>
      <c r="O146" t="n">
        <v>0</v>
      </c>
      <c r="P146" t="n">
        <v>0</v>
      </c>
      <c r="Q146" t="n">
        <v>0</v>
      </c>
      <c r="R146" s="2" t="inlineStr"/>
    </row>
    <row r="147" ht="15" customHeight="1">
      <c r="A147" t="inlineStr">
        <is>
          <t>A 53950-2019</t>
        </is>
      </c>
      <c r="B147" s="1" t="n">
        <v>43752</v>
      </c>
      <c r="C147" s="1" t="n">
        <v>45827</v>
      </c>
      <c r="D147" t="inlineStr">
        <is>
          <t>NORRBOTTENS LÄN</t>
        </is>
      </c>
      <c r="E147" t="inlineStr">
        <is>
          <t>PAJALA</t>
        </is>
      </c>
      <c r="G147" t="n">
        <v>13.3</v>
      </c>
      <c r="H147" t="n">
        <v>0</v>
      </c>
      <c r="I147" t="n">
        <v>0</v>
      </c>
      <c r="J147" t="n">
        <v>0</v>
      </c>
      <c r="K147" t="n">
        <v>0</v>
      </c>
      <c r="L147" t="n">
        <v>0</v>
      </c>
      <c r="M147" t="n">
        <v>0</v>
      </c>
      <c r="N147" t="n">
        <v>0</v>
      </c>
      <c r="O147" t="n">
        <v>0</v>
      </c>
      <c r="P147" t="n">
        <v>0</v>
      </c>
      <c r="Q147" t="n">
        <v>0</v>
      </c>
      <c r="R147" s="2" t="inlineStr"/>
    </row>
    <row r="148" ht="15" customHeight="1">
      <c r="A148" t="inlineStr">
        <is>
          <t>A 53822-2019</t>
        </is>
      </c>
      <c r="B148" s="1" t="n">
        <v>43752</v>
      </c>
      <c r="C148" s="1" t="n">
        <v>45827</v>
      </c>
      <c r="D148" t="inlineStr">
        <is>
          <t>NORRBOTTENS LÄN</t>
        </is>
      </c>
      <c r="E148" t="inlineStr">
        <is>
          <t>PAJALA</t>
        </is>
      </c>
      <c r="G148" t="n">
        <v>4.9</v>
      </c>
      <c r="H148" t="n">
        <v>0</v>
      </c>
      <c r="I148" t="n">
        <v>0</v>
      </c>
      <c r="J148" t="n">
        <v>0</v>
      </c>
      <c r="K148" t="n">
        <v>0</v>
      </c>
      <c r="L148" t="n">
        <v>0</v>
      </c>
      <c r="M148" t="n">
        <v>0</v>
      </c>
      <c r="N148" t="n">
        <v>0</v>
      </c>
      <c r="O148" t="n">
        <v>0</v>
      </c>
      <c r="P148" t="n">
        <v>0</v>
      </c>
      <c r="Q148" t="n">
        <v>0</v>
      </c>
      <c r="R148" s="2" t="inlineStr"/>
    </row>
    <row r="149" ht="15" customHeight="1">
      <c r="A149" t="inlineStr">
        <is>
          <t>A 55321-2019</t>
        </is>
      </c>
      <c r="B149" s="1" t="n">
        <v>43756</v>
      </c>
      <c r="C149" s="1" t="n">
        <v>45827</v>
      </c>
      <c r="D149" t="inlineStr">
        <is>
          <t>NORRBOTTENS LÄN</t>
        </is>
      </c>
      <c r="E149" t="inlineStr">
        <is>
          <t>PAJALA</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56338-2019</t>
        </is>
      </c>
      <c r="B150" s="1" t="n">
        <v>43762</v>
      </c>
      <c r="C150" s="1" t="n">
        <v>45827</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57910-2019</t>
        </is>
      </c>
      <c r="B151" s="1" t="n">
        <v>43762</v>
      </c>
      <c r="C151" s="1" t="n">
        <v>45827</v>
      </c>
      <c r="D151" t="inlineStr">
        <is>
          <t>NORRBOTTENS LÄN</t>
        </is>
      </c>
      <c r="E151" t="inlineStr">
        <is>
          <t>PAJALA</t>
        </is>
      </c>
      <c r="G151" t="n">
        <v>8.4</v>
      </c>
      <c r="H151" t="n">
        <v>0</v>
      </c>
      <c r="I151" t="n">
        <v>0</v>
      </c>
      <c r="J151" t="n">
        <v>0</v>
      </c>
      <c r="K151" t="n">
        <v>0</v>
      </c>
      <c r="L151" t="n">
        <v>0</v>
      </c>
      <c r="M151" t="n">
        <v>0</v>
      </c>
      <c r="N151" t="n">
        <v>0</v>
      </c>
      <c r="O151" t="n">
        <v>0</v>
      </c>
      <c r="P151" t="n">
        <v>0</v>
      </c>
      <c r="Q151" t="n">
        <v>0</v>
      </c>
      <c r="R151" s="2" t="inlineStr"/>
    </row>
    <row r="152" ht="15" customHeight="1">
      <c r="A152" t="inlineStr">
        <is>
          <t>A 56591-2019</t>
        </is>
      </c>
      <c r="B152" s="1" t="n">
        <v>43763</v>
      </c>
      <c r="C152" s="1" t="n">
        <v>45827</v>
      </c>
      <c r="D152" t="inlineStr">
        <is>
          <t>NORRBOTTENS LÄN</t>
        </is>
      </c>
      <c r="E152" t="inlineStr">
        <is>
          <t>PAJALA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56593-2019</t>
        </is>
      </c>
      <c r="B153" s="1" t="n">
        <v>43763</v>
      </c>
      <c r="C153" s="1" t="n">
        <v>45827</v>
      </c>
      <c r="D153" t="inlineStr">
        <is>
          <t>NORRBOTTENS LÄN</t>
        </is>
      </c>
      <c r="E153" t="inlineStr">
        <is>
          <t>PAJALA</t>
        </is>
      </c>
      <c r="F153" t="inlineStr">
        <is>
          <t>Sveaskog</t>
        </is>
      </c>
      <c r="G153" t="n">
        <v>14.3</v>
      </c>
      <c r="H153" t="n">
        <v>0</v>
      </c>
      <c r="I153" t="n">
        <v>0</v>
      </c>
      <c r="J153" t="n">
        <v>0</v>
      </c>
      <c r="K153" t="n">
        <v>0</v>
      </c>
      <c r="L153" t="n">
        <v>0</v>
      </c>
      <c r="M153" t="n">
        <v>0</v>
      </c>
      <c r="N153" t="n">
        <v>0</v>
      </c>
      <c r="O153" t="n">
        <v>0</v>
      </c>
      <c r="P153" t="n">
        <v>0</v>
      </c>
      <c r="Q153" t="n">
        <v>0</v>
      </c>
      <c r="R153" s="2" t="inlineStr"/>
    </row>
    <row r="154" ht="15" customHeight="1">
      <c r="A154" t="inlineStr">
        <is>
          <t>A 56619-2019</t>
        </is>
      </c>
      <c r="B154" s="1" t="n">
        <v>43763</v>
      </c>
      <c r="C154" s="1" t="n">
        <v>45827</v>
      </c>
      <c r="D154" t="inlineStr">
        <is>
          <t>NORRBOTTENS LÄN</t>
        </is>
      </c>
      <c r="E154" t="inlineStr">
        <is>
          <t>PAJALA</t>
        </is>
      </c>
      <c r="F154" t="inlineStr">
        <is>
          <t>Sveaskog</t>
        </is>
      </c>
      <c r="G154" t="n">
        <v>10</v>
      </c>
      <c r="H154" t="n">
        <v>0</v>
      </c>
      <c r="I154" t="n">
        <v>0</v>
      </c>
      <c r="J154" t="n">
        <v>0</v>
      </c>
      <c r="K154" t="n">
        <v>0</v>
      </c>
      <c r="L154" t="n">
        <v>0</v>
      </c>
      <c r="M154" t="n">
        <v>0</v>
      </c>
      <c r="N154" t="n">
        <v>0</v>
      </c>
      <c r="O154" t="n">
        <v>0</v>
      </c>
      <c r="P154" t="n">
        <v>0</v>
      </c>
      <c r="Q154" t="n">
        <v>0</v>
      </c>
      <c r="R154" s="2" t="inlineStr"/>
    </row>
    <row r="155" ht="15" customHeight="1">
      <c r="A155" t="inlineStr">
        <is>
          <t>A 56615-2019</t>
        </is>
      </c>
      <c r="B155" s="1" t="n">
        <v>43763</v>
      </c>
      <c r="C155" s="1" t="n">
        <v>45827</v>
      </c>
      <c r="D155" t="inlineStr">
        <is>
          <t>NORRBOTTENS LÄN</t>
        </is>
      </c>
      <c r="E155" t="inlineStr">
        <is>
          <t>PAJALA</t>
        </is>
      </c>
      <c r="F155" t="inlineStr">
        <is>
          <t>Sveaskog</t>
        </is>
      </c>
      <c r="G155" t="n">
        <v>10.4</v>
      </c>
      <c r="H155" t="n">
        <v>0</v>
      </c>
      <c r="I155" t="n">
        <v>0</v>
      </c>
      <c r="J155" t="n">
        <v>0</v>
      </c>
      <c r="K155" t="n">
        <v>0</v>
      </c>
      <c r="L155" t="n">
        <v>0</v>
      </c>
      <c r="M155" t="n">
        <v>0</v>
      </c>
      <c r="N155" t="n">
        <v>0</v>
      </c>
      <c r="O155" t="n">
        <v>0</v>
      </c>
      <c r="P155" t="n">
        <v>0</v>
      </c>
      <c r="Q155" t="n">
        <v>0</v>
      </c>
      <c r="R155" s="2" t="inlineStr"/>
    </row>
    <row r="156" ht="15" customHeight="1">
      <c r="A156" t="inlineStr">
        <is>
          <t>A 57580-2019</t>
        </is>
      </c>
      <c r="B156" s="1" t="n">
        <v>43768</v>
      </c>
      <c r="C156" s="1" t="n">
        <v>45827</v>
      </c>
      <c r="D156" t="inlineStr">
        <is>
          <t>NORRBOTTENS LÄN</t>
        </is>
      </c>
      <c r="E156" t="inlineStr">
        <is>
          <t>PAJALA</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57622-2019</t>
        </is>
      </c>
      <c r="B157" s="1" t="n">
        <v>43768</v>
      </c>
      <c r="C157" s="1" t="n">
        <v>45827</v>
      </c>
      <c r="D157" t="inlineStr">
        <is>
          <t>NORRBOTTENS LÄN</t>
        </is>
      </c>
      <c r="E157" t="inlineStr">
        <is>
          <t>PAJALA</t>
        </is>
      </c>
      <c r="F157" t="inlineStr">
        <is>
          <t>Sveaskog</t>
        </is>
      </c>
      <c r="G157" t="n">
        <v>8.9</v>
      </c>
      <c r="H157" t="n">
        <v>0</v>
      </c>
      <c r="I157" t="n">
        <v>0</v>
      </c>
      <c r="J157" t="n">
        <v>0</v>
      </c>
      <c r="K157" t="n">
        <v>0</v>
      </c>
      <c r="L157" t="n">
        <v>0</v>
      </c>
      <c r="M157" t="n">
        <v>0</v>
      </c>
      <c r="N157" t="n">
        <v>0</v>
      </c>
      <c r="O157" t="n">
        <v>0</v>
      </c>
      <c r="P157" t="n">
        <v>0</v>
      </c>
      <c r="Q157" t="n">
        <v>0</v>
      </c>
      <c r="R157" s="2" t="inlineStr"/>
    </row>
    <row r="158" ht="15" customHeight="1">
      <c r="A158" t="inlineStr">
        <is>
          <t>A 57574-2019</t>
        </is>
      </c>
      <c r="B158" s="1" t="n">
        <v>43768</v>
      </c>
      <c r="C158" s="1" t="n">
        <v>45827</v>
      </c>
      <c r="D158" t="inlineStr">
        <is>
          <t>NORRBOTTENS LÄN</t>
        </is>
      </c>
      <c r="E158" t="inlineStr">
        <is>
          <t>PAJALA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58313-2019</t>
        </is>
      </c>
      <c r="B159" s="1" t="n">
        <v>43770</v>
      </c>
      <c r="C159" s="1" t="n">
        <v>45827</v>
      </c>
      <c r="D159" t="inlineStr">
        <is>
          <t>NORRBOTTENS LÄN</t>
        </is>
      </c>
      <c r="E159" t="inlineStr">
        <is>
          <t>PAJALA</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58584-2019</t>
        </is>
      </c>
      <c r="B160" s="1" t="n">
        <v>43773</v>
      </c>
      <c r="C160" s="1" t="n">
        <v>45827</v>
      </c>
      <c r="D160" t="inlineStr">
        <is>
          <t>NORRBOTTENS LÄN</t>
        </is>
      </c>
      <c r="E160" t="inlineStr">
        <is>
          <t>PAJALA</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58494-2019</t>
        </is>
      </c>
      <c r="B161" s="1" t="n">
        <v>43773</v>
      </c>
      <c r="C161" s="1" t="n">
        <v>45827</v>
      </c>
      <c r="D161" t="inlineStr">
        <is>
          <t>NORRBOTTENS LÄN</t>
        </is>
      </c>
      <c r="E161" t="inlineStr">
        <is>
          <t>PAJALA</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59693-2019</t>
        </is>
      </c>
      <c r="B162" s="1" t="n">
        <v>43776</v>
      </c>
      <c r="C162" s="1" t="n">
        <v>45827</v>
      </c>
      <c r="D162" t="inlineStr">
        <is>
          <t>NORRBOTTENS LÄN</t>
        </is>
      </c>
      <c r="E162" t="inlineStr">
        <is>
          <t>PAJALA</t>
        </is>
      </c>
      <c r="F162" t="inlineStr">
        <is>
          <t>Sveaskog</t>
        </is>
      </c>
      <c r="G162" t="n">
        <v>47.2</v>
      </c>
      <c r="H162" t="n">
        <v>0</v>
      </c>
      <c r="I162" t="n">
        <v>0</v>
      </c>
      <c r="J162" t="n">
        <v>0</v>
      </c>
      <c r="K162" t="n">
        <v>0</v>
      </c>
      <c r="L162" t="n">
        <v>0</v>
      </c>
      <c r="M162" t="n">
        <v>0</v>
      </c>
      <c r="N162" t="n">
        <v>0</v>
      </c>
      <c r="O162" t="n">
        <v>0</v>
      </c>
      <c r="P162" t="n">
        <v>0</v>
      </c>
      <c r="Q162" t="n">
        <v>0</v>
      </c>
      <c r="R162" s="2" t="inlineStr"/>
    </row>
    <row r="163" ht="15" customHeight="1">
      <c r="A163" t="inlineStr">
        <is>
          <t>A 60368-2019</t>
        </is>
      </c>
      <c r="B163" s="1" t="n">
        <v>43780</v>
      </c>
      <c r="C163" s="1" t="n">
        <v>45827</v>
      </c>
      <c r="D163" t="inlineStr">
        <is>
          <t>NORRBOTTENS LÄN</t>
        </is>
      </c>
      <c r="E163" t="inlineStr">
        <is>
          <t>PAJALA</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62054-2019</t>
        </is>
      </c>
      <c r="B164" s="1" t="n">
        <v>43782</v>
      </c>
      <c r="C164" s="1" t="n">
        <v>45827</v>
      </c>
      <c r="D164" t="inlineStr">
        <is>
          <t>NORRBOTTENS LÄN</t>
        </is>
      </c>
      <c r="E164" t="inlineStr">
        <is>
          <t>PAJALA</t>
        </is>
      </c>
      <c r="G164" t="n">
        <v>12.1</v>
      </c>
      <c r="H164" t="n">
        <v>0</v>
      </c>
      <c r="I164" t="n">
        <v>0</v>
      </c>
      <c r="J164" t="n">
        <v>0</v>
      </c>
      <c r="K164" t="n">
        <v>0</v>
      </c>
      <c r="L164" t="n">
        <v>0</v>
      </c>
      <c r="M164" t="n">
        <v>0</v>
      </c>
      <c r="N164" t="n">
        <v>0</v>
      </c>
      <c r="O164" t="n">
        <v>0</v>
      </c>
      <c r="P164" t="n">
        <v>0</v>
      </c>
      <c r="Q164" t="n">
        <v>0</v>
      </c>
      <c r="R164" s="2" t="inlineStr"/>
    </row>
    <row r="165" ht="15" customHeight="1">
      <c r="A165" t="inlineStr">
        <is>
          <t>A 64018-2019</t>
        </is>
      </c>
      <c r="B165" s="1" t="n">
        <v>43791</v>
      </c>
      <c r="C165" s="1" t="n">
        <v>45827</v>
      </c>
      <c r="D165" t="inlineStr">
        <is>
          <t>NORRBOTTENS LÄN</t>
        </is>
      </c>
      <c r="E165" t="inlineStr">
        <is>
          <t>PAJALA</t>
        </is>
      </c>
      <c r="G165" t="n">
        <v>27.1</v>
      </c>
      <c r="H165" t="n">
        <v>0</v>
      </c>
      <c r="I165" t="n">
        <v>0</v>
      </c>
      <c r="J165" t="n">
        <v>0</v>
      </c>
      <c r="K165" t="n">
        <v>0</v>
      </c>
      <c r="L165" t="n">
        <v>0</v>
      </c>
      <c r="M165" t="n">
        <v>0</v>
      </c>
      <c r="N165" t="n">
        <v>0</v>
      </c>
      <c r="O165" t="n">
        <v>0</v>
      </c>
      <c r="P165" t="n">
        <v>0</v>
      </c>
      <c r="Q165" t="n">
        <v>0</v>
      </c>
      <c r="R165" s="2" t="inlineStr"/>
    </row>
    <row r="166" ht="15" customHeight="1">
      <c r="A166" t="inlineStr">
        <is>
          <t>A 67830-2019</t>
        </is>
      </c>
      <c r="B166" s="1" t="n">
        <v>43815</v>
      </c>
      <c r="C166" s="1" t="n">
        <v>45827</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320-2020</t>
        </is>
      </c>
      <c r="B167" s="1" t="n">
        <v>43816</v>
      </c>
      <c r="C167" s="1" t="n">
        <v>45827</v>
      </c>
      <c r="D167" t="inlineStr">
        <is>
          <t>NORRBOTTENS LÄN</t>
        </is>
      </c>
      <c r="E167" t="inlineStr">
        <is>
          <t>PAJALA</t>
        </is>
      </c>
      <c r="G167" t="n">
        <v>16.8</v>
      </c>
      <c r="H167" t="n">
        <v>0</v>
      </c>
      <c r="I167" t="n">
        <v>0</v>
      </c>
      <c r="J167" t="n">
        <v>0</v>
      </c>
      <c r="K167" t="n">
        <v>0</v>
      </c>
      <c r="L167" t="n">
        <v>0</v>
      </c>
      <c r="M167" t="n">
        <v>0</v>
      </c>
      <c r="N167" t="n">
        <v>0</v>
      </c>
      <c r="O167" t="n">
        <v>0</v>
      </c>
      <c r="P167" t="n">
        <v>0</v>
      </c>
      <c r="Q167" t="n">
        <v>0</v>
      </c>
      <c r="R167" s="2" t="inlineStr"/>
    </row>
    <row r="168" ht="15" customHeight="1">
      <c r="A168" t="inlineStr">
        <is>
          <t>A 413-2020</t>
        </is>
      </c>
      <c r="B168" s="1" t="n">
        <v>43816</v>
      </c>
      <c r="C168" s="1" t="n">
        <v>45827</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2375-2020</t>
        </is>
      </c>
      <c r="B169" s="1" t="n">
        <v>43846</v>
      </c>
      <c r="C169" s="1" t="n">
        <v>45827</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2719-2020</t>
        </is>
      </c>
      <c r="B170" s="1" t="n">
        <v>43850</v>
      </c>
      <c r="C170" s="1" t="n">
        <v>45827</v>
      </c>
      <c r="D170" t="inlineStr">
        <is>
          <t>NORRBOTTENS LÄN</t>
        </is>
      </c>
      <c r="E170" t="inlineStr">
        <is>
          <t>PAJALA</t>
        </is>
      </c>
      <c r="G170" t="n">
        <v>7.2</v>
      </c>
      <c r="H170" t="n">
        <v>0</v>
      </c>
      <c r="I170" t="n">
        <v>0</v>
      </c>
      <c r="J170" t="n">
        <v>0</v>
      </c>
      <c r="K170" t="n">
        <v>0</v>
      </c>
      <c r="L170" t="n">
        <v>0</v>
      </c>
      <c r="M170" t="n">
        <v>0</v>
      </c>
      <c r="N170" t="n">
        <v>0</v>
      </c>
      <c r="O170" t="n">
        <v>0</v>
      </c>
      <c r="P170" t="n">
        <v>0</v>
      </c>
      <c r="Q170" t="n">
        <v>0</v>
      </c>
      <c r="R170" s="2" t="inlineStr"/>
    </row>
    <row r="171" ht="15" customHeight="1">
      <c r="A171" t="inlineStr">
        <is>
          <t>A 5010-2020</t>
        </is>
      </c>
      <c r="B171" s="1" t="n">
        <v>43853</v>
      </c>
      <c r="C171" s="1" t="n">
        <v>45827</v>
      </c>
      <c r="D171" t="inlineStr">
        <is>
          <t>NORRBOTTENS LÄN</t>
        </is>
      </c>
      <c r="E171" t="inlineStr">
        <is>
          <t>PAJALA</t>
        </is>
      </c>
      <c r="G171" t="n">
        <v>1.8</v>
      </c>
      <c r="H171" t="n">
        <v>0</v>
      </c>
      <c r="I171" t="n">
        <v>0</v>
      </c>
      <c r="J171" t="n">
        <v>0</v>
      </c>
      <c r="K171" t="n">
        <v>0</v>
      </c>
      <c r="L171" t="n">
        <v>0</v>
      </c>
      <c r="M171" t="n">
        <v>0</v>
      </c>
      <c r="N171" t="n">
        <v>0</v>
      </c>
      <c r="O171" t="n">
        <v>0</v>
      </c>
      <c r="P171" t="n">
        <v>0</v>
      </c>
      <c r="Q171" t="n">
        <v>0</v>
      </c>
      <c r="R171" s="2" t="inlineStr"/>
    </row>
    <row r="172" ht="15" customHeight="1">
      <c r="A172" t="inlineStr">
        <is>
          <t>A 4997-2020</t>
        </is>
      </c>
      <c r="B172" s="1" t="n">
        <v>43853</v>
      </c>
      <c r="C172" s="1" t="n">
        <v>45827</v>
      </c>
      <c r="D172" t="inlineStr">
        <is>
          <t>NORRBOTTENS LÄN</t>
        </is>
      </c>
      <c r="E172" t="inlineStr">
        <is>
          <t>PAJALA</t>
        </is>
      </c>
      <c r="G172" t="n">
        <v>0.9</v>
      </c>
      <c r="H172" t="n">
        <v>0</v>
      </c>
      <c r="I172" t="n">
        <v>0</v>
      </c>
      <c r="J172" t="n">
        <v>0</v>
      </c>
      <c r="K172" t="n">
        <v>0</v>
      </c>
      <c r="L172" t="n">
        <v>0</v>
      </c>
      <c r="M172" t="n">
        <v>0</v>
      </c>
      <c r="N172" t="n">
        <v>0</v>
      </c>
      <c r="O172" t="n">
        <v>0</v>
      </c>
      <c r="P172" t="n">
        <v>0</v>
      </c>
      <c r="Q172" t="n">
        <v>0</v>
      </c>
      <c r="R172" s="2" t="inlineStr"/>
    </row>
    <row r="173" ht="15" customHeight="1">
      <c r="A173" t="inlineStr">
        <is>
          <t>A 5853-2020</t>
        </is>
      </c>
      <c r="B173" s="1" t="n">
        <v>43861</v>
      </c>
      <c r="C173" s="1" t="n">
        <v>45827</v>
      </c>
      <c r="D173" t="inlineStr">
        <is>
          <t>NORRBOTTENS LÄN</t>
        </is>
      </c>
      <c r="E173" t="inlineStr">
        <is>
          <t>PAJALA</t>
        </is>
      </c>
      <c r="G173" t="n">
        <v>13.9</v>
      </c>
      <c r="H173" t="n">
        <v>0</v>
      </c>
      <c r="I173" t="n">
        <v>0</v>
      </c>
      <c r="J173" t="n">
        <v>0</v>
      </c>
      <c r="K173" t="n">
        <v>0</v>
      </c>
      <c r="L173" t="n">
        <v>0</v>
      </c>
      <c r="M173" t="n">
        <v>0</v>
      </c>
      <c r="N173" t="n">
        <v>0</v>
      </c>
      <c r="O173" t="n">
        <v>0</v>
      </c>
      <c r="P173" t="n">
        <v>0</v>
      </c>
      <c r="Q173" t="n">
        <v>0</v>
      </c>
      <c r="R173" s="2" t="inlineStr"/>
    </row>
    <row r="174" ht="15" customHeight="1">
      <c r="A174" t="inlineStr">
        <is>
          <t>A 18460-2020</t>
        </is>
      </c>
      <c r="B174" s="1" t="n">
        <v>43861</v>
      </c>
      <c r="C174" s="1" t="n">
        <v>45827</v>
      </c>
      <c r="D174" t="inlineStr">
        <is>
          <t>NORRBOTTENS LÄN</t>
        </is>
      </c>
      <c r="E174" t="inlineStr">
        <is>
          <t>PAJALA</t>
        </is>
      </c>
      <c r="G174" t="n">
        <v>32.9</v>
      </c>
      <c r="H174" t="n">
        <v>0</v>
      </c>
      <c r="I174" t="n">
        <v>0</v>
      </c>
      <c r="J174" t="n">
        <v>0</v>
      </c>
      <c r="K174" t="n">
        <v>0</v>
      </c>
      <c r="L174" t="n">
        <v>0</v>
      </c>
      <c r="M174" t="n">
        <v>0</v>
      </c>
      <c r="N174" t="n">
        <v>0</v>
      </c>
      <c r="O174" t="n">
        <v>0</v>
      </c>
      <c r="P174" t="n">
        <v>0</v>
      </c>
      <c r="Q174" t="n">
        <v>0</v>
      </c>
      <c r="R174" s="2" t="inlineStr"/>
    </row>
    <row r="175" ht="15" customHeight="1">
      <c r="A175" t="inlineStr">
        <is>
          <t>A 7015-2020</t>
        </is>
      </c>
      <c r="B175" s="1" t="n">
        <v>43867</v>
      </c>
      <c r="C175" s="1" t="n">
        <v>45827</v>
      </c>
      <c r="D175" t="inlineStr">
        <is>
          <t>NORRBOTTENS LÄN</t>
        </is>
      </c>
      <c r="E175" t="inlineStr">
        <is>
          <t>PAJALA</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12480-2020</t>
        </is>
      </c>
      <c r="B176" s="1" t="n">
        <v>43892</v>
      </c>
      <c r="C176" s="1" t="n">
        <v>45827</v>
      </c>
      <c r="D176" t="inlineStr">
        <is>
          <t>NORRBOTTENS LÄN</t>
        </is>
      </c>
      <c r="E176" t="inlineStr">
        <is>
          <t>PAJALA</t>
        </is>
      </c>
      <c r="G176" t="n">
        <v>10.1</v>
      </c>
      <c r="H176" t="n">
        <v>0</v>
      </c>
      <c r="I176" t="n">
        <v>0</v>
      </c>
      <c r="J176" t="n">
        <v>0</v>
      </c>
      <c r="K176" t="n">
        <v>0</v>
      </c>
      <c r="L176" t="n">
        <v>0</v>
      </c>
      <c r="M176" t="n">
        <v>0</v>
      </c>
      <c r="N176" t="n">
        <v>0</v>
      </c>
      <c r="O176" t="n">
        <v>0</v>
      </c>
      <c r="P176" t="n">
        <v>0</v>
      </c>
      <c r="Q176" t="n">
        <v>0</v>
      </c>
      <c r="R176" s="2" t="inlineStr"/>
    </row>
    <row r="177" ht="15" customHeight="1">
      <c r="A177" t="inlineStr">
        <is>
          <t>A 12118-2020</t>
        </is>
      </c>
      <c r="B177" s="1" t="n">
        <v>43895</v>
      </c>
      <c r="C177" s="1" t="n">
        <v>45827</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12111-2020</t>
        </is>
      </c>
      <c r="B178" s="1" t="n">
        <v>43895</v>
      </c>
      <c r="C178" s="1" t="n">
        <v>45827</v>
      </c>
      <c r="D178" t="inlineStr">
        <is>
          <t>NORRBOTTENS LÄN</t>
        </is>
      </c>
      <c r="E178" t="inlineStr">
        <is>
          <t>PAJALA</t>
        </is>
      </c>
      <c r="G178" t="n">
        <v>12.1</v>
      </c>
      <c r="H178" t="n">
        <v>0</v>
      </c>
      <c r="I178" t="n">
        <v>0</v>
      </c>
      <c r="J178" t="n">
        <v>0</v>
      </c>
      <c r="K178" t="n">
        <v>0</v>
      </c>
      <c r="L178" t="n">
        <v>0</v>
      </c>
      <c r="M178" t="n">
        <v>0</v>
      </c>
      <c r="N178" t="n">
        <v>0</v>
      </c>
      <c r="O178" t="n">
        <v>0</v>
      </c>
      <c r="P178" t="n">
        <v>0</v>
      </c>
      <c r="Q178" t="n">
        <v>0</v>
      </c>
      <c r="R178" s="2" t="inlineStr"/>
    </row>
    <row r="179" ht="15" customHeight="1">
      <c r="A179" t="inlineStr">
        <is>
          <t>A 16644-2020</t>
        </is>
      </c>
      <c r="B179" s="1" t="n">
        <v>43910</v>
      </c>
      <c r="C179" s="1" t="n">
        <v>45827</v>
      </c>
      <c r="D179" t="inlineStr">
        <is>
          <t>NORRBOTTENS LÄN</t>
        </is>
      </c>
      <c r="E179" t="inlineStr">
        <is>
          <t>PAJALA</t>
        </is>
      </c>
      <c r="G179" t="n">
        <v>2</v>
      </c>
      <c r="H179" t="n">
        <v>0</v>
      </c>
      <c r="I179" t="n">
        <v>0</v>
      </c>
      <c r="J179" t="n">
        <v>0</v>
      </c>
      <c r="K179" t="n">
        <v>0</v>
      </c>
      <c r="L179" t="n">
        <v>0</v>
      </c>
      <c r="M179" t="n">
        <v>0</v>
      </c>
      <c r="N179" t="n">
        <v>0</v>
      </c>
      <c r="O179" t="n">
        <v>0</v>
      </c>
      <c r="P179" t="n">
        <v>0</v>
      </c>
      <c r="Q179" t="n">
        <v>0</v>
      </c>
      <c r="R179" s="2" t="inlineStr"/>
    </row>
    <row r="180" ht="15" customHeight="1">
      <c r="A180" t="inlineStr">
        <is>
          <t>A 19298-2020</t>
        </is>
      </c>
      <c r="B180" s="1" t="n">
        <v>43937</v>
      </c>
      <c r="C180" s="1" t="n">
        <v>45827</v>
      </c>
      <c r="D180" t="inlineStr">
        <is>
          <t>NORRBOTTENS LÄN</t>
        </is>
      </c>
      <c r="E180" t="inlineStr">
        <is>
          <t>PAJALA</t>
        </is>
      </c>
      <c r="G180" t="n">
        <v>0.2</v>
      </c>
      <c r="H180" t="n">
        <v>0</v>
      </c>
      <c r="I180" t="n">
        <v>0</v>
      </c>
      <c r="J180" t="n">
        <v>0</v>
      </c>
      <c r="K180" t="n">
        <v>0</v>
      </c>
      <c r="L180" t="n">
        <v>0</v>
      </c>
      <c r="M180" t="n">
        <v>0</v>
      </c>
      <c r="N180" t="n">
        <v>0</v>
      </c>
      <c r="O180" t="n">
        <v>0</v>
      </c>
      <c r="P180" t="n">
        <v>0</v>
      </c>
      <c r="Q180" t="n">
        <v>0</v>
      </c>
      <c r="R180" s="2" t="inlineStr"/>
    </row>
    <row r="181" ht="15" customHeight="1">
      <c r="A181" t="inlineStr">
        <is>
          <t>A 19704-2020</t>
        </is>
      </c>
      <c r="B181" s="1" t="n">
        <v>43937</v>
      </c>
      <c r="C181" s="1" t="n">
        <v>45827</v>
      </c>
      <c r="D181" t="inlineStr">
        <is>
          <t>NORRBOTTENS LÄN</t>
        </is>
      </c>
      <c r="E181" t="inlineStr">
        <is>
          <t>PAJALA</t>
        </is>
      </c>
      <c r="G181" t="n">
        <v>26</v>
      </c>
      <c r="H181" t="n">
        <v>0</v>
      </c>
      <c r="I181" t="n">
        <v>0</v>
      </c>
      <c r="J181" t="n">
        <v>0</v>
      </c>
      <c r="K181" t="n">
        <v>0</v>
      </c>
      <c r="L181" t="n">
        <v>0</v>
      </c>
      <c r="M181" t="n">
        <v>0</v>
      </c>
      <c r="N181" t="n">
        <v>0</v>
      </c>
      <c r="O181" t="n">
        <v>0</v>
      </c>
      <c r="P181" t="n">
        <v>0</v>
      </c>
      <c r="Q181" t="n">
        <v>0</v>
      </c>
      <c r="R181" s="2" t="inlineStr"/>
    </row>
    <row r="182" ht="15" customHeight="1">
      <c r="A182" t="inlineStr">
        <is>
          <t>A 19348-2020</t>
        </is>
      </c>
      <c r="B182" s="1" t="n">
        <v>43938</v>
      </c>
      <c r="C182" s="1" t="n">
        <v>45827</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19853-2020</t>
        </is>
      </c>
      <c r="B183" s="1" t="n">
        <v>43941</v>
      </c>
      <c r="C183" s="1" t="n">
        <v>45827</v>
      </c>
      <c r="D183" t="inlineStr">
        <is>
          <t>NORRBOTTENS LÄN</t>
        </is>
      </c>
      <c r="E183" t="inlineStr">
        <is>
          <t>PAJALA</t>
        </is>
      </c>
      <c r="G183" t="n">
        <v>0.8</v>
      </c>
      <c r="H183" t="n">
        <v>0</v>
      </c>
      <c r="I183" t="n">
        <v>0</v>
      </c>
      <c r="J183" t="n">
        <v>0</v>
      </c>
      <c r="K183" t="n">
        <v>0</v>
      </c>
      <c r="L183" t="n">
        <v>0</v>
      </c>
      <c r="M183" t="n">
        <v>0</v>
      </c>
      <c r="N183" t="n">
        <v>0</v>
      </c>
      <c r="O183" t="n">
        <v>0</v>
      </c>
      <c r="P183" t="n">
        <v>0</v>
      </c>
      <c r="Q183" t="n">
        <v>0</v>
      </c>
      <c r="R183" s="2" t="inlineStr"/>
    </row>
    <row r="184" ht="15" customHeight="1">
      <c r="A184" t="inlineStr">
        <is>
          <t>A 19755-2020</t>
        </is>
      </c>
      <c r="B184" s="1" t="n">
        <v>43941</v>
      </c>
      <c r="C184" s="1" t="n">
        <v>45827</v>
      </c>
      <c r="D184" t="inlineStr">
        <is>
          <t>NORRBOTTENS LÄN</t>
        </is>
      </c>
      <c r="E184" t="inlineStr">
        <is>
          <t>PAJALA</t>
        </is>
      </c>
      <c r="G184" t="n">
        <v>4.5</v>
      </c>
      <c r="H184" t="n">
        <v>0</v>
      </c>
      <c r="I184" t="n">
        <v>0</v>
      </c>
      <c r="J184" t="n">
        <v>0</v>
      </c>
      <c r="K184" t="n">
        <v>0</v>
      </c>
      <c r="L184" t="n">
        <v>0</v>
      </c>
      <c r="M184" t="n">
        <v>0</v>
      </c>
      <c r="N184" t="n">
        <v>0</v>
      </c>
      <c r="O184" t="n">
        <v>0</v>
      </c>
      <c r="P184" t="n">
        <v>0</v>
      </c>
      <c r="Q184" t="n">
        <v>0</v>
      </c>
      <c r="R184" s="2" t="inlineStr"/>
    </row>
    <row r="185" ht="15" customHeight="1">
      <c r="A185" t="inlineStr">
        <is>
          <t>A 23192-2020</t>
        </is>
      </c>
      <c r="B185" s="1" t="n">
        <v>43966</v>
      </c>
      <c r="C185" s="1" t="n">
        <v>45827</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23399-2020</t>
        </is>
      </c>
      <c r="B186" s="1" t="n">
        <v>43968</v>
      </c>
      <c r="C186" s="1" t="n">
        <v>45827</v>
      </c>
      <c r="D186" t="inlineStr">
        <is>
          <t>NORRBOTTENS LÄN</t>
        </is>
      </c>
      <c r="E186" t="inlineStr">
        <is>
          <t>PAJALA</t>
        </is>
      </c>
      <c r="G186" t="n">
        <v>0.5</v>
      </c>
      <c r="H186" t="n">
        <v>0</v>
      </c>
      <c r="I186" t="n">
        <v>0</v>
      </c>
      <c r="J186" t="n">
        <v>0</v>
      </c>
      <c r="K186" t="n">
        <v>0</v>
      </c>
      <c r="L186" t="n">
        <v>0</v>
      </c>
      <c r="M186" t="n">
        <v>0</v>
      </c>
      <c r="N186" t="n">
        <v>0</v>
      </c>
      <c r="O186" t="n">
        <v>0</v>
      </c>
      <c r="P186" t="n">
        <v>0</v>
      </c>
      <c r="Q186" t="n">
        <v>0</v>
      </c>
      <c r="R186" s="2" t="inlineStr"/>
    </row>
    <row r="187" ht="15" customHeight="1">
      <c r="A187" t="inlineStr">
        <is>
          <t>A 23602-2020</t>
        </is>
      </c>
      <c r="B187" s="1" t="n">
        <v>43969</v>
      </c>
      <c r="C187" s="1" t="n">
        <v>45827</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23630-2020</t>
        </is>
      </c>
      <c r="B188" s="1" t="n">
        <v>43969</v>
      </c>
      <c r="C188" s="1" t="n">
        <v>45827</v>
      </c>
      <c r="D188" t="inlineStr">
        <is>
          <t>NORRBOTTENS LÄN</t>
        </is>
      </c>
      <c r="E188" t="inlineStr">
        <is>
          <t>PAJALA</t>
        </is>
      </c>
      <c r="G188" t="n">
        <v>1</v>
      </c>
      <c r="H188" t="n">
        <v>0</v>
      </c>
      <c r="I188" t="n">
        <v>0</v>
      </c>
      <c r="J188" t="n">
        <v>0</v>
      </c>
      <c r="K188" t="n">
        <v>0</v>
      </c>
      <c r="L188" t="n">
        <v>0</v>
      </c>
      <c r="M188" t="n">
        <v>0</v>
      </c>
      <c r="N188" t="n">
        <v>0</v>
      </c>
      <c r="O188" t="n">
        <v>0</v>
      </c>
      <c r="P188" t="n">
        <v>0</v>
      </c>
      <c r="Q188" t="n">
        <v>0</v>
      </c>
      <c r="R188" s="2" t="inlineStr"/>
    </row>
    <row r="189" ht="15" customHeight="1">
      <c r="A189" t="inlineStr">
        <is>
          <t>A 24368-2020</t>
        </is>
      </c>
      <c r="B189" s="1" t="n">
        <v>43976</v>
      </c>
      <c r="C189" s="1" t="n">
        <v>45827</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24358-2020</t>
        </is>
      </c>
      <c r="B190" s="1" t="n">
        <v>43976</v>
      </c>
      <c r="C190" s="1" t="n">
        <v>45827</v>
      </c>
      <c r="D190" t="inlineStr">
        <is>
          <t>NORRBOTTENS LÄN</t>
        </is>
      </c>
      <c r="E190" t="inlineStr">
        <is>
          <t>PAJALA</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24790-2020</t>
        </is>
      </c>
      <c r="B191" s="1" t="n">
        <v>43978</v>
      </c>
      <c r="C191" s="1" t="n">
        <v>45827</v>
      </c>
      <c r="D191" t="inlineStr">
        <is>
          <t>NORRBOTTENS LÄN</t>
        </is>
      </c>
      <c r="E191" t="inlineStr">
        <is>
          <t>PAJALA</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25277-2020</t>
        </is>
      </c>
      <c r="B192" s="1" t="n">
        <v>43979</v>
      </c>
      <c r="C192" s="1" t="n">
        <v>45827</v>
      </c>
      <c r="D192" t="inlineStr">
        <is>
          <t>NORRBOTTENS LÄN</t>
        </is>
      </c>
      <c r="E192" t="inlineStr">
        <is>
          <t>PAJALA</t>
        </is>
      </c>
      <c r="F192" t="inlineStr">
        <is>
          <t>Allmännings- och besparingsskogar</t>
        </is>
      </c>
      <c r="G192" t="n">
        <v>17.1</v>
      </c>
      <c r="H192" t="n">
        <v>0</v>
      </c>
      <c r="I192" t="n">
        <v>0</v>
      </c>
      <c r="J192" t="n">
        <v>0</v>
      </c>
      <c r="K192" t="n">
        <v>0</v>
      </c>
      <c r="L192" t="n">
        <v>0</v>
      </c>
      <c r="M192" t="n">
        <v>0</v>
      </c>
      <c r="N192" t="n">
        <v>0</v>
      </c>
      <c r="O192" t="n">
        <v>0</v>
      </c>
      <c r="P192" t="n">
        <v>0</v>
      </c>
      <c r="Q192" t="n">
        <v>0</v>
      </c>
      <c r="R192" s="2" t="inlineStr"/>
    </row>
    <row r="193" ht="15" customHeight="1">
      <c r="A193" t="inlineStr">
        <is>
          <t>A 25319-2020</t>
        </is>
      </c>
      <c r="B193" s="1" t="n">
        <v>43980</v>
      </c>
      <c r="C193" s="1" t="n">
        <v>45827</v>
      </c>
      <c r="D193" t="inlineStr">
        <is>
          <t>NORRBOTTENS LÄN</t>
        </is>
      </c>
      <c r="E193" t="inlineStr">
        <is>
          <t>PAJALA</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25323-2020</t>
        </is>
      </c>
      <c r="B194" s="1" t="n">
        <v>43980</v>
      </c>
      <c r="C194" s="1" t="n">
        <v>45827</v>
      </c>
      <c r="D194" t="inlineStr">
        <is>
          <t>NORRBOTTENS LÄN</t>
        </is>
      </c>
      <c r="E194" t="inlineStr">
        <is>
          <t>PAJALA</t>
        </is>
      </c>
      <c r="F194" t="inlineStr">
        <is>
          <t>Sveaskog</t>
        </is>
      </c>
      <c r="G194" t="n">
        <v>16.7</v>
      </c>
      <c r="H194" t="n">
        <v>0</v>
      </c>
      <c r="I194" t="n">
        <v>0</v>
      </c>
      <c r="J194" t="n">
        <v>0</v>
      </c>
      <c r="K194" t="n">
        <v>0</v>
      </c>
      <c r="L194" t="n">
        <v>0</v>
      </c>
      <c r="M194" t="n">
        <v>0</v>
      </c>
      <c r="N194" t="n">
        <v>0</v>
      </c>
      <c r="O194" t="n">
        <v>0</v>
      </c>
      <c r="P194" t="n">
        <v>0</v>
      </c>
      <c r="Q194" t="n">
        <v>0</v>
      </c>
      <c r="R194" s="2" t="inlineStr"/>
    </row>
    <row r="195" ht="15" customHeight="1">
      <c r="A195" t="inlineStr">
        <is>
          <t>A 25346-2020</t>
        </is>
      </c>
      <c r="B195" s="1" t="n">
        <v>43980</v>
      </c>
      <c r="C195" s="1" t="n">
        <v>45827</v>
      </c>
      <c r="D195" t="inlineStr">
        <is>
          <t>NORRBOTTENS LÄN</t>
        </is>
      </c>
      <c r="E195" t="inlineStr">
        <is>
          <t>PAJALA</t>
        </is>
      </c>
      <c r="F195" t="inlineStr">
        <is>
          <t>Allmännings- och besparingsskogar</t>
        </is>
      </c>
      <c r="G195" t="n">
        <v>3.2</v>
      </c>
      <c r="H195" t="n">
        <v>0</v>
      </c>
      <c r="I195" t="n">
        <v>0</v>
      </c>
      <c r="J195" t="n">
        <v>0</v>
      </c>
      <c r="K195" t="n">
        <v>0</v>
      </c>
      <c r="L195" t="n">
        <v>0</v>
      </c>
      <c r="M195" t="n">
        <v>0</v>
      </c>
      <c r="N195" t="n">
        <v>0</v>
      </c>
      <c r="O195" t="n">
        <v>0</v>
      </c>
      <c r="P195" t="n">
        <v>0</v>
      </c>
      <c r="Q195" t="n">
        <v>0</v>
      </c>
      <c r="R195" s="2" t="inlineStr"/>
    </row>
    <row r="196" ht="15" customHeight="1">
      <c r="A196" t="inlineStr">
        <is>
          <t>A 26846-2020</t>
        </is>
      </c>
      <c r="B196" s="1" t="n">
        <v>43987</v>
      </c>
      <c r="C196" s="1" t="n">
        <v>45827</v>
      </c>
      <c r="D196" t="inlineStr">
        <is>
          <t>NORRBOTTENS LÄN</t>
        </is>
      </c>
      <c r="E196" t="inlineStr">
        <is>
          <t>PAJALA</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27137-2020</t>
        </is>
      </c>
      <c r="B197" s="1" t="n">
        <v>43991</v>
      </c>
      <c r="C197" s="1" t="n">
        <v>45827</v>
      </c>
      <c r="D197" t="inlineStr">
        <is>
          <t>NORRBOTTENS LÄN</t>
        </is>
      </c>
      <c r="E197" t="inlineStr">
        <is>
          <t>PAJALA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27148-2020</t>
        </is>
      </c>
      <c r="B198" s="1" t="n">
        <v>43991</v>
      </c>
      <c r="C198" s="1" t="n">
        <v>45827</v>
      </c>
      <c r="D198" t="inlineStr">
        <is>
          <t>NORRBOTTENS LÄN</t>
        </is>
      </c>
      <c r="E198" t="inlineStr">
        <is>
          <t>PAJALA</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27143-2020</t>
        </is>
      </c>
      <c r="B199" s="1" t="n">
        <v>43991</v>
      </c>
      <c r="C199" s="1" t="n">
        <v>45827</v>
      </c>
      <c r="D199" t="inlineStr">
        <is>
          <t>NORRBOTTENS LÄN</t>
        </is>
      </c>
      <c r="E199" t="inlineStr">
        <is>
          <t>PAJALA</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27153-2020</t>
        </is>
      </c>
      <c r="B200" s="1" t="n">
        <v>43991</v>
      </c>
      <c r="C200" s="1" t="n">
        <v>45827</v>
      </c>
      <c r="D200" t="inlineStr">
        <is>
          <t>NORRBOTTENS LÄN</t>
        </is>
      </c>
      <c r="E200" t="inlineStr">
        <is>
          <t>PAJALA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27135-2020</t>
        </is>
      </c>
      <c r="B201" s="1" t="n">
        <v>43991</v>
      </c>
      <c r="C201" s="1" t="n">
        <v>45827</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27913-2020</t>
        </is>
      </c>
      <c r="B202" s="1" t="n">
        <v>43997</v>
      </c>
      <c r="C202" s="1" t="n">
        <v>45827</v>
      </c>
      <c r="D202" t="inlineStr">
        <is>
          <t>NORRBOTTENS LÄN</t>
        </is>
      </c>
      <c r="E202" t="inlineStr">
        <is>
          <t>PAJALA</t>
        </is>
      </c>
      <c r="G202" t="n">
        <v>17.6</v>
      </c>
      <c r="H202" t="n">
        <v>0</v>
      </c>
      <c r="I202" t="n">
        <v>0</v>
      </c>
      <c r="J202" t="n">
        <v>0</v>
      </c>
      <c r="K202" t="n">
        <v>0</v>
      </c>
      <c r="L202" t="n">
        <v>0</v>
      </c>
      <c r="M202" t="n">
        <v>0</v>
      </c>
      <c r="N202" t="n">
        <v>0</v>
      </c>
      <c r="O202" t="n">
        <v>0</v>
      </c>
      <c r="P202" t="n">
        <v>0</v>
      </c>
      <c r="Q202" t="n">
        <v>0</v>
      </c>
      <c r="R202" s="2" t="inlineStr"/>
    </row>
    <row r="203" ht="15" customHeight="1">
      <c r="A203" t="inlineStr">
        <is>
          <t>A 27914-2020</t>
        </is>
      </c>
      <c r="B203" s="1" t="n">
        <v>43997</v>
      </c>
      <c r="C203" s="1" t="n">
        <v>45827</v>
      </c>
      <c r="D203" t="inlineStr">
        <is>
          <t>NORRBOTTENS LÄN</t>
        </is>
      </c>
      <c r="E203" t="inlineStr">
        <is>
          <t>PAJALA</t>
        </is>
      </c>
      <c r="G203" t="n">
        <v>2.1</v>
      </c>
      <c r="H203" t="n">
        <v>0</v>
      </c>
      <c r="I203" t="n">
        <v>0</v>
      </c>
      <c r="J203" t="n">
        <v>0</v>
      </c>
      <c r="K203" t="n">
        <v>0</v>
      </c>
      <c r="L203" t="n">
        <v>0</v>
      </c>
      <c r="M203" t="n">
        <v>0</v>
      </c>
      <c r="N203" t="n">
        <v>0</v>
      </c>
      <c r="O203" t="n">
        <v>0</v>
      </c>
      <c r="P203" t="n">
        <v>0</v>
      </c>
      <c r="Q203" t="n">
        <v>0</v>
      </c>
      <c r="R203" s="2" t="inlineStr"/>
    </row>
    <row r="204" ht="15" customHeight="1">
      <c r="A204" t="inlineStr">
        <is>
          <t>A 31218-2020</t>
        </is>
      </c>
      <c r="B204" s="1" t="n">
        <v>44012</v>
      </c>
      <c r="C204" s="1" t="n">
        <v>45827</v>
      </c>
      <c r="D204" t="inlineStr">
        <is>
          <t>NORRBOTTENS LÄN</t>
        </is>
      </c>
      <c r="E204" t="inlineStr">
        <is>
          <t>PAJALA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31178-2020</t>
        </is>
      </c>
      <c r="B205" s="1" t="n">
        <v>44012</v>
      </c>
      <c r="C205" s="1" t="n">
        <v>45827</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31177-2020</t>
        </is>
      </c>
      <c r="B206" s="1" t="n">
        <v>44012</v>
      </c>
      <c r="C206" s="1" t="n">
        <v>45827</v>
      </c>
      <c r="D206" t="inlineStr">
        <is>
          <t>NORRBOTTENS LÄN</t>
        </is>
      </c>
      <c r="E206" t="inlineStr">
        <is>
          <t>PAJALA</t>
        </is>
      </c>
      <c r="G206" t="n">
        <v>3.1</v>
      </c>
      <c r="H206" t="n">
        <v>0</v>
      </c>
      <c r="I206" t="n">
        <v>0</v>
      </c>
      <c r="J206" t="n">
        <v>0</v>
      </c>
      <c r="K206" t="n">
        <v>0</v>
      </c>
      <c r="L206" t="n">
        <v>0</v>
      </c>
      <c r="M206" t="n">
        <v>0</v>
      </c>
      <c r="N206" t="n">
        <v>0</v>
      </c>
      <c r="O206" t="n">
        <v>0</v>
      </c>
      <c r="P206" t="n">
        <v>0</v>
      </c>
      <c r="Q206" t="n">
        <v>0</v>
      </c>
      <c r="R206" s="2" t="inlineStr"/>
    </row>
    <row r="207" ht="15" customHeight="1">
      <c r="A207" t="inlineStr">
        <is>
          <t>A 32141-2020</t>
        </is>
      </c>
      <c r="B207" s="1" t="n">
        <v>44015</v>
      </c>
      <c r="C207" s="1" t="n">
        <v>45827</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32700-2020</t>
        </is>
      </c>
      <c r="B208" s="1" t="n">
        <v>44018</v>
      </c>
      <c r="C208" s="1" t="n">
        <v>45827</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32777-2020</t>
        </is>
      </c>
      <c r="B209" s="1" t="n">
        <v>44020</v>
      </c>
      <c r="C209" s="1" t="n">
        <v>45827</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33130-2020</t>
        </is>
      </c>
      <c r="B210" s="1" t="n">
        <v>44021</v>
      </c>
      <c r="C210" s="1" t="n">
        <v>45827</v>
      </c>
      <c r="D210" t="inlineStr">
        <is>
          <t>NORRBOTTENS LÄN</t>
        </is>
      </c>
      <c r="E210" t="inlineStr">
        <is>
          <t>PAJALA</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33605-2020</t>
        </is>
      </c>
      <c r="B211" s="1" t="n">
        <v>44025</v>
      </c>
      <c r="C211" s="1" t="n">
        <v>45827</v>
      </c>
      <c r="D211" t="inlineStr">
        <is>
          <t>NORRBOTTENS LÄN</t>
        </is>
      </c>
      <c r="E211" t="inlineStr">
        <is>
          <t>PAJALA</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33601-2020</t>
        </is>
      </c>
      <c r="B212" s="1" t="n">
        <v>44025</v>
      </c>
      <c r="C212" s="1" t="n">
        <v>45827</v>
      </c>
      <c r="D212" t="inlineStr">
        <is>
          <t>NORRBOTTENS LÄN</t>
        </is>
      </c>
      <c r="E212" t="inlineStr">
        <is>
          <t>PAJALA</t>
        </is>
      </c>
      <c r="F212" t="inlineStr">
        <is>
          <t>Sveaskog</t>
        </is>
      </c>
      <c r="G212" t="n">
        <v>32.2</v>
      </c>
      <c r="H212" t="n">
        <v>0</v>
      </c>
      <c r="I212" t="n">
        <v>0</v>
      </c>
      <c r="J212" t="n">
        <v>0</v>
      </c>
      <c r="K212" t="n">
        <v>0</v>
      </c>
      <c r="L212" t="n">
        <v>0</v>
      </c>
      <c r="M212" t="n">
        <v>0</v>
      </c>
      <c r="N212" t="n">
        <v>0</v>
      </c>
      <c r="O212" t="n">
        <v>0</v>
      </c>
      <c r="P212" t="n">
        <v>0</v>
      </c>
      <c r="Q212" t="n">
        <v>0</v>
      </c>
      <c r="R212" s="2" t="inlineStr"/>
    </row>
    <row r="213" ht="15" customHeight="1">
      <c r="A213" t="inlineStr">
        <is>
          <t>A 33603-2020</t>
        </is>
      </c>
      <c r="B213" s="1" t="n">
        <v>44025</v>
      </c>
      <c r="C213" s="1" t="n">
        <v>45827</v>
      </c>
      <c r="D213" t="inlineStr">
        <is>
          <t>NORRBOTTENS LÄN</t>
        </is>
      </c>
      <c r="E213" t="inlineStr">
        <is>
          <t>PAJALA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33604-2020</t>
        </is>
      </c>
      <c r="B214" s="1" t="n">
        <v>44025</v>
      </c>
      <c r="C214" s="1" t="n">
        <v>45827</v>
      </c>
      <c r="D214" t="inlineStr">
        <is>
          <t>NORRBOTTENS LÄN</t>
        </is>
      </c>
      <c r="E214" t="inlineStr">
        <is>
          <t>PAJALA</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33813-2020</t>
        </is>
      </c>
      <c r="B215" s="1" t="n">
        <v>44025</v>
      </c>
      <c r="C215" s="1" t="n">
        <v>45827</v>
      </c>
      <c r="D215" t="inlineStr">
        <is>
          <t>NORRBOTTENS LÄN</t>
        </is>
      </c>
      <c r="E215" t="inlineStr">
        <is>
          <t>PAJALA</t>
        </is>
      </c>
      <c r="G215" t="n">
        <v>11.8</v>
      </c>
      <c r="H215" t="n">
        <v>0</v>
      </c>
      <c r="I215" t="n">
        <v>0</v>
      </c>
      <c r="J215" t="n">
        <v>0</v>
      </c>
      <c r="K215" t="n">
        <v>0</v>
      </c>
      <c r="L215" t="n">
        <v>0</v>
      </c>
      <c r="M215" t="n">
        <v>0</v>
      </c>
      <c r="N215" t="n">
        <v>0</v>
      </c>
      <c r="O215" t="n">
        <v>0</v>
      </c>
      <c r="P215" t="n">
        <v>0</v>
      </c>
      <c r="Q215" t="n">
        <v>0</v>
      </c>
      <c r="R215" s="2" t="inlineStr"/>
    </row>
    <row r="216" ht="15" customHeight="1">
      <c r="A216" t="inlineStr">
        <is>
          <t>A 34348-2020</t>
        </is>
      </c>
      <c r="B216" s="1" t="n">
        <v>44028</v>
      </c>
      <c r="C216" s="1" t="n">
        <v>45827</v>
      </c>
      <c r="D216" t="inlineStr">
        <is>
          <t>NORRBOTTENS LÄN</t>
        </is>
      </c>
      <c r="E216" t="inlineStr">
        <is>
          <t>PAJALA</t>
        </is>
      </c>
      <c r="F216" t="inlineStr">
        <is>
          <t>Allmännings- och besparingsskogar</t>
        </is>
      </c>
      <c r="G216" t="n">
        <v>38.1</v>
      </c>
      <c r="H216" t="n">
        <v>0</v>
      </c>
      <c r="I216" t="n">
        <v>0</v>
      </c>
      <c r="J216" t="n">
        <v>0</v>
      </c>
      <c r="K216" t="n">
        <v>0</v>
      </c>
      <c r="L216" t="n">
        <v>0</v>
      </c>
      <c r="M216" t="n">
        <v>0</v>
      </c>
      <c r="N216" t="n">
        <v>0</v>
      </c>
      <c r="O216" t="n">
        <v>0</v>
      </c>
      <c r="P216" t="n">
        <v>0</v>
      </c>
      <c r="Q216" t="n">
        <v>0</v>
      </c>
      <c r="R216" s="2" t="inlineStr"/>
    </row>
    <row r="217" ht="15" customHeight="1">
      <c r="A217" t="inlineStr">
        <is>
          <t>A 34645-2020</t>
        </is>
      </c>
      <c r="B217" s="1" t="n">
        <v>44034</v>
      </c>
      <c r="C217" s="1" t="n">
        <v>45827</v>
      </c>
      <c r="D217" t="inlineStr">
        <is>
          <t>NORRBOTTENS LÄN</t>
        </is>
      </c>
      <c r="E217" t="inlineStr">
        <is>
          <t>PAJALA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34649-2020</t>
        </is>
      </c>
      <c r="B218" s="1" t="n">
        <v>44034</v>
      </c>
      <c r="C218" s="1" t="n">
        <v>45827</v>
      </c>
      <c r="D218" t="inlineStr">
        <is>
          <t>NORRBOTTENS LÄN</t>
        </is>
      </c>
      <c r="E218" t="inlineStr">
        <is>
          <t>PAJALA</t>
        </is>
      </c>
      <c r="F218" t="inlineStr">
        <is>
          <t>Allmännings- och besparingsskogar</t>
        </is>
      </c>
      <c r="G218" t="n">
        <v>1.8</v>
      </c>
      <c r="H218" t="n">
        <v>0</v>
      </c>
      <c r="I218" t="n">
        <v>0</v>
      </c>
      <c r="J218" t="n">
        <v>0</v>
      </c>
      <c r="K218" t="n">
        <v>0</v>
      </c>
      <c r="L218" t="n">
        <v>0</v>
      </c>
      <c r="M218" t="n">
        <v>0</v>
      </c>
      <c r="N218" t="n">
        <v>0</v>
      </c>
      <c r="O218" t="n">
        <v>0</v>
      </c>
      <c r="P218" t="n">
        <v>0</v>
      </c>
      <c r="Q218" t="n">
        <v>0</v>
      </c>
      <c r="R218" s="2" t="inlineStr"/>
    </row>
    <row r="219" ht="15" customHeight="1">
      <c r="A219" t="inlineStr">
        <is>
          <t>A 34643-2020</t>
        </is>
      </c>
      <c r="B219" s="1" t="n">
        <v>44034</v>
      </c>
      <c r="C219" s="1" t="n">
        <v>45827</v>
      </c>
      <c r="D219" t="inlineStr">
        <is>
          <t>NORRBOTTENS LÄN</t>
        </is>
      </c>
      <c r="E219" t="inlineStr">
        <is>
          <t>PAJALA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34647-2020</t>
        </is>
      </c>
      <c r="B220" s="1" t="n">
        <v>44034</v>
      </c>
      <c r="C220" s="1" t="n">
        <v>45827</v>
      </c>
      <c r="D220" t="inlineStr">
        <is>
          <t>NORRBOTTENS LÄN</t>
        </is>
      </c>
      <c r="E220" t="inlineStr">
        <is>
          <t>PAJALA</t>
        </is>
      </c>
      <c r="F220" t="inlineStr">
        <is>
          <t>Allmännings- och besparingsskogar</t>
        </is>
      </c>
      <c r="G220" t="n">
        <v>30</v>
      </c>
      <c r="H220" t="n">
        <v>0</v>
      </c>
      <c r="I220" t="n">
        <v>0</v>
      </c>
      <c r="J220" t="n">
        <v>0</v>
      </c>
      <c r="K220" t="n">
        <v>0</v>
      </c>
      <c r="L220" t="n">
        <v>0</v>
      </c>
      <c r="M220" t="n">
        <v>0</v>
      </c>
      <c r="N220" t="n">
        <v>0</v>
      </c>
      <c r="O220" t="n">
        <v>0</v>
      </c>
      <c r="P220" t="n">
        <v>0</v>
      </c>
      <c r="Q220" t="n">
        <v>0</v>
      </c>
      <c r="R220" s="2" t="inlineStr"/>
    </row>
    <row r="221" ht="15" customHeight="1">
      <c r="A221" t="inlineStr">
        <is>
          <t>A 35013-2020</t>
        </is>
      </c>
      <c r="B221" s="1" t="n">
        <v>44039</v>
      </c>
      <c r="C221" s="1" t="n">
        <v>45827</v>
      </c>
      <c r="D221" t="inlineStr">
        <is>
          <t>NORRBOTTENS LÄN</t>
        </is>
      </c>
      <c r="E221" t="inlineStr">
        <is>
          <t>PAJALA</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36084-2020</t>
        </is>
      </c>
      <c r="B222" s="1" t="n">
        <v>44048</v>
      </c>
      <c r="C222" s="1" t="n">
        <v>45827</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36211-2020</t>
        </is>
      </c>
      <c r="B223" s="1" t="n">
        <v>44048</v>
      </c>
      <c r="C223" s="1" t="n">
        <v>45827</v>
      </c>
      <c r="D223" t="inlineStr">
        <is>
          <t>NORRBOTTENS LÄN</t>
        </is>
      </c>
      <c r="E223" t="inlineStr">
        <is>
          <t>PAJALA</t>
        </is>
      </c>
      <c r="G223" t="n">
        <v>3</v>
      </c>
      <c r="H223" t="n">
        <v>0</v>
      </c>
      <c r="I223" t="n">
        <v>0</v>
      </c>
      <c r="J223" t="n">
        <v>0</v>
      </c>
      <c r="K223" t="n">
        <v>0</v>
      </c>
      <c r="L223" t="n">
        <v>0</v>
      </c>
      <c r="M223" t="n">
        <v>0</v>
      </c>
      <c r="N223" t="n">
        <v>0</v>
      </c>
      <c r="O223" t="n">
        <v>0</v>
      </c>
      <c r="P223" t="n">
        <v>0</v>
      </c>
      <c r="Q223" t="n">
        <v>0</v>
      </c>
      <c r="R223" s="2" t="inlineStr"/>
    </row>
    <row r="224" ht="15" customHeight="1">
      <c r="A224" t="inlineStr">
        <is>
          <t>A 38337-2020</t>
        </is>
      </c>
      <c r="B224" s="1" t="n">
        <v>44060</v>
      </c>
      <c r="C224" s="1" t="n">
        <v>45827</v>
      </c>
      <c r="D224" t="inlineStr">
        <is>
          <t>NORRBOTTENS LÄN</t>
        </is>
      </c>
      <c r="E224" t="inlineStr">
        <is>
          <t>PAJALA</t>
        </is>
      </c>
      <c r="G224" t="n">
        <v>9.1</v>
      </c>
      <c r="H224" t="n">
        <v>0</v>
      </c>
      <c r="I224" t="n">
        <v>0</v>
      </c>
      <c r="J224" t="n">
        <v>0</v>
      </c>
      <c r="K224" t="n">
        <v>0</v>
      </c>
      <c r="L224" t="n">
        <v>0</v>
      </c>
      <c r="M224" t="n">
        <v>0</v>
      </c>
      <c r="N224" t="n">
        <v>0</v>
      </c>
      <c r="O224" t="n">
        <v>0</v>
      </c>
      <c r="P224" t="n">
        <v>0</v>
      </c>
      <c r="Q224" t="n">
        <v>0</v>
      </c>
      <c r="R224" s="2" t="inlineStr"/>
    </row>
    <row r="225" ht="15" customHeight="1">
      <c r="A225" t="inlineStr">
        <is>
          <t>A 39020-2020</t>
        </is>
      </c>
      <c r="B225" s="1" t="n">
        <v>44062</v>
      </c>
      <c r="C225" s="1" t="n">
        <v>45827</v>
      </c>
      <c r="D225" t="inlineStr">
        <is>
          <t>NORRBOTTENS LÄN</t>
        </is>
      </c>
      <c r="E225" t="inlineStr">
        <is>
          <t>PAJALA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38878-2020</t>
        </is>
      </c>
      <c r="B226" s="1" t="n">
        <v>44062</v>
      </c>
      <c r="C226" s="1" t="n">
        <v>45827</v>
      </c>
      <c r="D226" t="inlineStr">
        <is>
          <t>NORRBOTTENS LÄN</t>
        </is>
      </c>
      <c r="E226" t="inlineStr">
        <is>
          <t>PAJALA</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39099-2020</t>
        </is>
      </c>
      <c r="B227" s="1" t="n">
        <v>44063</v>
      </c>
      <c r="C227" s="1" t="n">
        <v>45827</v>
      </c>
      <c r="D227" t="inlineStr">
        <is>
          <t>NORRBOTTENS LÄN</t>
        </is>
      </c>
      <c r="E227" t="inlineStr">
        <is>
          <t>PAJALA</t>
        </is>
      </c>
      <c r="G227" t="n">
        <v>14</v>
      </c>
      <c r="H227" t="n">
        <v>0</v>
      </c>
      <c r="I227" t="n">
        <v>0</v>
      </c>
      <c r="J227" t="n">
        <v>0</v>
      </c>
      <c r="K227" t="n">
        <v>0</v>
      </c>
      <c r="L227" t="n">
        <v>0</v>
      </c>
      <c r="M227" t="n">
        <v>0</v>
      </c>
      <c r="N227" t="n">
        <v>0</v>
      </c>
      <c r="O227" t="n">
        <v>0</v>
      </c>
      <c r="P227" t="n">
        <v>0</v>
      </c>
      <c r="Q227" t="n">
        <v>0</v>
      </c>
      <c r="R227" s="2" t="inlineStr"/>
    </row>
    <row r="228" ht="15" customHeight="1">
      <c r="A228" t="inlineStr">
        <is>
          <t>A 41796-2020</t>
        </is>
      </c>
      <c r="B228" s="1" t="n">
        <v>44071</v>
      </c>
      <c r="C228" s="1" t="n">
        <v>45827</v>
      </c>
      <c r="D228" t="inlineStr">
        <is>
          <t>NORRBOTTENS LÄN</t>
        </is>
      </c>
      <c r="E228" t="inlineStr">
        <is>
          <t>PAJALA</t>
        </is>
      </c>
      <c r="F228" t="inlineStr">
        <is>
          <t>Allmännings- och besparingsskogar</t>
        </is>
      </c>
      <c r="G228" t="n">
        <v>5</v>
      </c>
      <c r="H228" t="n">
        <v>0</v>
      </c>
      <c r="I228" t="n">
        <v>0</v>
      </c>
      <c r="J228" t="n">
        <v>0</v>
      </c>
      <c r="K228" t="n">
        <v>0</v>
      </c>
      <c r="L228" t="n">
        <v>0</v>
      </c>
      <c r="M228" t="n">
        <v>0</v>
      </c>
      <c r="N228" t="n">
        <v>0</v>
      </c>
      <c r="O228" t="n">
        <v>0</v>
      </c>
      <c r="P228" t="n">
        <v>0</v>
      </c>
      <c r="Q228" t="n">
        <v>0</v>
      </c>
      <c r="R228" s="2" t="inlineStr"/>
    </row>
    <row r="229" ht="15" customHeight="1">
      <c r="A229" t="inlineStr">
        <is>
          <t>A 41787-2020</t>
        </is>
      </c>
      <c r="B229" s="1" t="n">
        <v>44074</v>
      </c>
      <c r="C229" s="1" t="n">
        <v>45827</v>
      </c>
      <c r="D229" t="inlineStr">
        <is>
          <t>NORRBOTTENS LÄN</t>
        </is>
      </c>
      <c r="E229" t="inlineStr">
        <is>
          <t>PAJALA</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43121-2020</t>
        </is>
      </c>
      <c r="B230" s="1" t="n">
        <v>44079</v>
      </c>
      <c r="C230" s="1" t="n">
        <v>45827</v>
      </c>
      <c r="D230" t="inlineStr">
        <is>
          <t>NORRBOTTENS LÄN</t>
        </is>
      </c>
      <c r="E230" t="inlineStr">
        <is>
          <t>PAJALA</t>
        </is>
      </c>
      <c r="G230" t="n">
        <v>3.5</v>
      </c>
      <c r="H230" t="n">
        <v>0</v>
      </c>
      <c r="I230" t="n">
        <v>0</v>
      </c>
      <c r="J230" t="n">
        <v>0</v>
      </c>
      <c r="K230" t="n">
        <v>0</v>
      </c>
      <c r="L230" t="n">
        <v>0</v>
      </c>
      <c r="M230" t="n">
        <v>0</v>
      </c>
      <c r="N230" t="n">
        <v>0</v>
      </c>
      <c r="O230" t="n">
        <v>0</v>
      </c>
      <c r="P230" t="n">
        <v>0</v>
      </c>
      <c r="Q230" t="n">
        <v>0</v>
      </c>
      <c r="R230" s="2" t="inlineStr"/>
    </row>
    <row r="231" ht="15" customHeight="1">
      <c r="A231" t="inlineStr">
        <is>
          <t>A 43125-2020</t>
        </is>
      </c>
      <c r="B231" s="1" t="n">
        <v>44079</v>
      </c>
      <c r="C231" s="1" t="n">
        <v>45827</v>
      </c>
      <c r="D231" t="inlineStr">
        <is>
          <t>NORRBOTTENS LÄN</t>
        </is>
      </c>
      <c r="E231" t="inlineStr">
        <is>
          <t>PAJALA</t>
        </is>
      </c>
      <c r="G231" t="n">
        <v>7.5</v>
      </c>
      <c r="H231" t="n">
        <v>0</v>
      </c>
      <c r="I231" t="n">
        <v>0</v>
      </c>
      <c r="J231" t="n">
        <v>0</v>
      </c>
      <c r="K231" t="n">
        <v>0</v>
      </c>
      <c r="L231" t="n">
        <v>0</v>
      </c>
      <c r="M231" t="n">
        <v>0</v>
      </c>
      <c r="N231" t="n">
        <v>0</v>
      </c>
      <c r="O231" t="n">
        <v>0</v>
      </c>
      <c r="P231" t="n">
        <v>0</v>
      </c>
      <c r="Q231" t="n">
        <v>0</v>
      </c>
      <c r="R231" s="2" t="inlineStr"/>
    </row>
    <row r="232" ht="15" customHeight="1">
      <c r="A232" t="inlineStr">
        <is>
          <t>A 43123-2020</t>
        </is>
      </c>
      <c r="B232" s="1" t="n">
        <v>44079</v>
      </c>
      <c r="C232" s="1" t="n">
        <v>45827</v>
      </c>
      <c r="D232" t="inlineStr">
        <is>
          <t>NORRBOTTENS LÄN</t>
        </is>
      </c>
      <c r="E232" t="inlineStr">
        <is>
          <t>PAJALA</t>
        </is>
      </c>
      <c r="G232" t="n">
        <v>14.3</v>
      </c>
      <c r="H232" t="n">
        <v>0</v>
      </c>
      <c r="I232" t="n">
        <v>0</v>
      </c>
      <c r="J232" t="n">
        <v>0</v>
      </c>
      <c r="K232" t="n">
        <v>0</v>
      </c>
      <c r="L232" t="n">
        <v>0</v>
      </c>
      <c r="M232" t="n">
        <v>0</v>
      </c>
      <c r="N232" t="n">
        <v>0</v>
      </c>
      <c r="O232" t="n">
        <v>0</v>
      </c>
      <c r="P232" t="n">
        <v>0</v>
      </c>
      <c r="Q232" t="n">
        <v>0</v>
      </c>
      <c r="R232" s="2" t="inlineStr"/>
    </row>
    <row r="233" ht="15" customHeight="1">
      <c r="A233" t="inlineStr">
        <is>
          <t>A 43120-2020</t>
        </is>
      </c>
      <c r="B233" s="1" t="n">
        <v>44079</v>
      </c>
      <c r="C233" s="1" t="n">
        <v>45827</v>
      </c>
      <c r="D233" t="inlineStr">
        <is>
          <t>NORRBOTTENS LÄN</t>
        </is>
      </c>
      <c r="E233" t="inlineStr">
        <is>
          <t>PAJALA</t>
        </is>
      </c>
      <c r="G233" t="n">
        <v>14.5</v>
      </c>
      <c r="H233" t="n">
        <v>0</v>
      </c>
      <c r="I233" t="n">
        <v>0</v>
      </c>
      <c r="J233" t="n">
        <v>0</v>
      </c>
      <c r="K233" t="n">
        <v>0</v>
      </c>
      <c r="L233" t="n">
        <v>0</v>
      </c>
      <c r="M233" t="n">
        <v>0</v>
      </c>
      <c r="N233" t="n">
        <v>0</v>
      </c>
      <c r="O233" t="n">
        <v>0</v>
      </c>
      <c r="P233" t="n">
        <v>0</v>
      </c>
      <c r="Q233" t="n">
        <v>0</v>
      </c>
      <c r="R233" s="2" t="inlineStr"/>
    </row>
    <row r="234" ht="15" customHeight="1">
      <c r="A234" t="inlineStr">
        <is>
          <t>A 43124-2020</t>
        </is>
      </c>
      <c r="B234" s="1" t="n">
        <v>44079</v>
      </c>
      <c r="C234" s="1" t="n">
        <v>45827</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43122-2020</t>
        </is>
      </c>
      <c r="B235" s="1" t="n">
        <v>44079</v>
      </c>
      <c r="C235" s="1" t="n">
        <v>45827</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43437-2020</t>
        </is>
      </c>
      <c r="B236" s="1" t="n">
        <v>44081</v>
      </c>
      <c r="C236" s="1" t="n">
        <v>45827</v>
      </c>
      <c r="D236" t="inlineStr">
        <is>
          <t>NORRBOTTENS LÄN</t>
        </is>
      </c>
      <c r="E236" t="inlineStr">
        <is>
          <t>PAJALA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43771-2020</t>
        </is>
      </c>
      <c r="B237" s="1" t="n">
        <v>44082</v>
      </c>
      <c r="C237" s="1" t="n">
        <v>45827</v>
      </c>
      <c r="D237" t="inlineStr">
        <is>
          <t>NORRBOTTENS LÄN</t>
        </is>
      </c>
      <c r="E237" t="inlineStr">
        <is>
          <t>PAJALA</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45002-2020</t>
        </is>
      </c>
      <c r="B238" s="1" t="n">
        <v>44083</v>
      </c>
      <c r="C238" s="1" t="n">
        <v>45827</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44942-2020</t>
        </is>
      </c>
      <c r="B239" s="1" t="n">
        <v>44088</v>
      </c>
      <c r="C239" s="1" t="n">
        <v>45827</v>
      </c>
      <c r="D239" t="inlineStr">
        <is>
          <t>NORRBOTTENS LÄN</t>
        </is>
      </c>
      <c r="E239" t="inlineStr">
        <is>
          <t>PAJALA</t>
        </is>
      </c>
      <c r="G239" t="n">
        <v>21.5</v>
      </c>
      <c r="H239" t="n">
        <v>0</v>
      </c>
      <c r="I239" t="n">
        <v>0</v>
      </c>
      <c r="J239" t="n">
        <v>0</v>
      </c>
      <c r="K239" t="n">
        <v>0</v>
      </c>
      <c r="L239" t="n">
        <v>0</v>
      </c>
      <c r="M239" t="n">
        <v>0</v>
      </c>
      <c r="N239" t="n">
        <v>0</v>
      </c>
      <c r="O239" t="n">
        <v>0</v>
      </c>
      <c r="P239" t="n">
        <v>0</v>
      </c>
      <c r="Q239" t="n">
        <v>0</v>
      </c>
      <c r="R239" s="2" t="inlineStr"/>
    </row>
    <row r="240" ht="15" customHeight="1">
      <c r="A240" t="inlineStr">
        <is>
          <t>A 45860-2020</t>
        </is>
      </c>
      <c r="B240" s="1" t="n">
        <v>44091</v>
      </c>
      <c r="C240" s="1" t="n">
        <v>45827</v>
      </c>
      <c r="D240" t="inlineStr">
        <is>
          <t>NORRBOTTENS LÄN</t>
        </is>
      </c>
      <c r="E240" t="inlineStr">
        <is>
          <t>PAJALA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46781-2020</t>
        </is>
      </c>
      <c r="B241" s="1" t="n">
        <v>44096</v>
      </c>
      <c r="C241" s="1" t="n">
        <v>45827</v>
      </c>
      <c r="D241" t="inlineStr">
        <is>
          <t>NORRBOTTENS LÄN</t>
        </is>
      </c>
      <c r="E241" t="inlineStr">
        <is>
          <t>PAJALA</t>
        </is>
      </c>
      <c r="G241" t="n">
        <v>9</v>
      </c>
      <c r="H241" t="n">
        <v>0</v>
      </c>
      <c r="I241" t="n">
        <v>0</v>
      </c>
      <c r="J241" t="n">
        <v>0</v>
      </c>
      <c r="K241" t="n">
        <v>0</v>
      </c>
      <c r="L241" t="n">
        <v>0</v>
      </c>
      <c r="M241" t="n">
        <v>0</v>
      </c>
      <c r="N241" t="n">
        <v>0</v>
      </c>
      <c r="O241" t="n">
        <v>0</v>
      </c>
      <c r="P241" t="n">
        <v>0</v>
      </c>
      <c r="Q241" t="n">
        <v>0</v>
      </c>
      <c r="R241" s="2" t="inlineStr"/>
    </row>
    <row r="242" ht="15" customHeight="1">
      <c r="A242" t="inlineStr">
        <is>
          <t>A 48215-2020</t>
        </is>
      </c>
      <c r="B242" s="1" t="n">
        <v>44097</v>
      </c>
      <c r="C242" s="1" t="n">
        <v>45827</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50678-2020</t>
        </is>
      </c>
      <c r="B243" s="1" t="n">
        <v>44111</v>
      </c>
      <c r="C243" s="1" t="n">
        <v>45827</v>
      </c>
      <c r="D243" t="inlineStr">
        <is>
          <t>NORRBOTTENS LÄN</t>
        </is>
      </c>
      <c r="E243" t="inlineStr">
        <is>
          <t>PAJALA</t>
        </is>
      </c>
      <c r="G243" t="n">
        <v>6.2</v>
      </c>
      <c r="H243" t="n">
        <v>0</v>
      </c>
      <c r="I243" t="n">
        <v>0</v>
      </c>
      <c r="J243" t="n">
        <v>0</v>
      </c>
      <c r="K243" t="n">
        <v>0</v>
      </c>
      <c r="L243" t="n">
        <v>0</v>
      </c>
      <c r="M243" t="n">
        <v>0</v>
      </c>
      <c r="N243" t="n">
        <v>0</v>
      </c>
      <c r="O243" t="n">
        <v>0</v>
      </c>
      <c r="P243" t="n">
        <v>0</v>
      </c>
      <c r="Q243" t="n">
        <v>0</v>
      </c>
      <c r="R243" s="2" t="inlineStr"/>
    </row>
    <row r="244" ht="15" customHeight="1">
      <c r="A244" t="inlineStr">
        <is>
          <t>A 52728-2020</t>
        </is>
      </c>
      <c r="B244" s="1" t="n">
        <v>44117</v>
      </c>
      <c r="C244" s="1" t="n">
        <v>45827</v>
      </c>
      <c r="D244" t="inlineStr">
        <is>
          <t>NORRBOTTENS LÄN</t>
        </is>
      </c>
      <c r="E244" t="inlineStr">
        <is>
          <t>PAJALA</t>
        </is>
      </c>
      <c r="G244" t="n">
        <v>4</v>
      </c>
      <c r="H244" t="n">
        <v>0</v>
      </c>
      <c r="I244" t="n">
        <v>0</v>
      </c>
      <c r="J244" t="n">
        <v>0</v>
      </c>
      <c r="K244" t="n">
        <v>0</v>
      </c>
      <c r="L244" t="n">
        <v>0</v>
      </c>
      <c r="M244" t="n">
        <v>0</v>
      </c>
      <c r="N244" t="n">
        <v>0</v>
      </c>
      <c r="O244" t="n">
        <v>0</v>
      </c>
      <c r="P244" t="n">
        <v>0</v>
      </c>
      <c r="Q244" t="n">
        <v>0</v>
      </c>
      <c r="R244" s="2" t="inlineStr"/>
    </row>
    <row r="245" ht="15" customHeight="1">
      <c r="A245" t="inlineStr">
        <is>
          <t>A 53699-2020</t>
        </is>
      </c>
      <c r="B245" s="1" t="n">
        <v>44123</v>
      </c>
      <c r="C245" s="1" t="n">
        <v>45827</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54177-2020</t>
        </is>
      </c>
      <c r="B246" s="1" t="n">
        <v>44125</v>
      </c>
      <c r="C246" s="1" t="n">
        <v>45827</v>
      </c>
      <c r="D246" t="inlineStr">
        <is>
          <t>NORRBOTTENS LÄN</t>
        </is>
      </c>
      <c r="E246" t="inlineStr">
        <is>
          <t>PAJALA</t>
        </is>
      </c>
      <c r="G246" t="n">
        <v>5.9</v>
      </c>
      <c r="H246" t="n">
        <v>0</v>
      </c>
      <c r="I246" t="n">
        <v>0</v>
      </c>
      <c r="J246" t="n">
        <v>0</v>
      </c>
      <c r="K246" t="n">
        <v>0</v>
      </c>
      <c r="L246" t="n">
        <v>0</v>
      </c>
      <c r="M246" t="n">
        <v>0</v>
      </c>
      <c r="N246" t="n">
        <v>0</v>
      </c>
      <c r="O246" t="n">
        <v>0</v>
      </c>
      <c r="P246" t="n">
        <v>0</v>
      </c>
      <c r="Q246" t="n">
        <v>0</v>
      </c>
      <c r="R246" s="2" t="inlineStr"/>
    </row>
    <row r="247" ht="15" customHeight="1">
      <c r="A247" t="inlineStr">
        <is>
          <t>A 54172-2020</t>
        </is>
      </c>
      <c r="B247" s="1" t="n">
        <v>44125</v>
      </c>
      <c r="C247" s="1" t="n">
        <v>45827</v>
      </c>
      <c r="D247" t="inlineStr">
        <is>
          <t>NORRBOTTENS LÄN</t>
        </is>
      </c>
      <c r="E247" t="inlineStr">
        <is>
          <t>PAJALA</t>
        </is>
      </c>
      <c r="G247" t="n">
        <v>3.1</v>
      </c>
      <c r="H247" t="n">
        <v>0</v>
      </c>
      <c r="I247" t="n">
        <v>0</v>
      </c>
      <c r="J247" t="n">
        <v>0</v>
      </c>
      <c r="K247" t="n">
        <v>0</v>
      </c>
      <c r="L247" t="n">
        <v>0</v>
      </c>
      <c r="M247" t="n">
        <v>0</v>
      </c>
      <c r="N247" t="n">
        <v>0</v>
      </c>
      <c r="O247" t="n">
        <v>0</v>
      </c>
      <c r="P247" t="n">
        <v>0</v>
      </c>
      <c r="Q247" t="n">
        <v>0</v>
      </c>
      <c r="R247" s="2" t="inlineStr"/>
    </row>
    <row r="248" ht="15" customHeight="1">
      <c r="A248" t="inlineStr">
        <is>
          <t>A 54173-2020</t>
        </is>
      </c>
      <c r="B248" s="1" t="n">
        <v>44125</v>
      </c>
      <c r="C248" s="1" t="n">
        <v>45827</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54175-2020</t>
        </is>
      </c>
      <c r="B249" s="1" t="n">
        <v>44125</v>
      </c>
      <c r="C249" s="1" t="n">
        <v>45827</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54303-2020</t>
        </is>
      </c>
      <c r="B250" s="1" t="n">
        <v>44126</v>
      </c>
      <c r="C250" s="1" t="n">
        <v>45827</v>
      </c>
      <c r="D250" t="inlineStr">
        <is>
          <t>NORRBOTTENS LÄN</t>
        </is>
      </c>
      <c r="E250" t="inlineStr">
        <is>
          <t>PAJALA</t>
        </is>
      </c>
      <c r="G250" t="n">
        <v>26.2</v>
      </c>
      <c r="H250" t="n">
        <v>0</v>
      </c>
      <c r="I250" t="n">
        <v>0</v>
      </c>
      <c r="J250" t="n">
        <v>0</v>
      </c>
      <c r="K250" t="n">
        <v>0</v>
      </c>
      <c r="L250" t="n">
        <v>0</v>
      </c>
      <c r="M250" t="n">
        <v>0</v>
      </c>
      <c r="N250" t="n">
        <v>0</v>
      </c>
      <c r="O250" t="n">
        <v>0</v>
      </c>
      <c r="P250" t="n">
        <v>0</v>
      </c>
      <c r="Q250" t="n">
        <v>0</v>
      </c>
      <c r="R250" s="2" t="inlineStr"/>
    </row>
    <row r="251" ht="15" customHeight="1">
      <c r="A251" t="inlineStr">
        <is>
          <t>A 55545-2020</t>
        </is>
      </c>
      <c r="B251" s="1" t="n">
        <v>44131</v>
      </c>
      <c r="C251" s="1" t="n">
        <v>45827</v>
      </c>
      <c r="D251" t="inlineStr">
        <is>
          <t>NORRBOTTENS LÄN</t>
        </is>
      </c>
      <c r="E251" t="inlineStr">
        <is>
          <t>PAJALA</t>
        </is>
      </c>
      <c r="G251" t="n">
        <v>12.4</v>
      </c>
      <c r="H251" t="n">
        <v>0</v>
      </c>
      <c r="I251" t="n">
        <v>0</v>
      </c>
      <c r="J251" t="n">
        <v>0</v>
      </c>
      <c r="K251" t="n">
        <v>0</v>
      </c>
      <c r="L251" t="n">
        <v>0</v>
      </c>
      <c r="M251" t="n">
        <v>0</v>
      </c>
      <c r="N251" t="n">
        <v>0</v>
      </c>
      <c r="O251" t="n">
        <v>0</v>
      </c>
      <c r="P251" t="n">
        <v>0</v>
      </c>
      <c r="Q251" t="n">
        <v>0</v>
      </c>
      <c r="R251" s="2" t="inlineStr"/>
    </row>
    <row r="252" ht="15" customHeight="1">
      <c r="A252" t="inlineStr">
        <is>
          <t>A 55785-2020</t>
        </is>
      </c>
      <c r="B252" s="1" t="n">
        <v>44131</v>
      </c>
      <c r="C252" s="1" t="n">
        <v>45827</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3735-2021</t>
        </is>
      </c>
      <c r="B253" s="1" t="n">
        <v>44132</v>
      </c>
      <c r="C253" s="1" t="n">
        <v>45827</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59122-2020</t>
        </is>
      </c>
      <c r="B254" s="1" t="n">
        <v>44147</v>
      </c>
      <c r="C254" s="1" t="n">
        <v>45827</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59128-2020</t>
        </is>
      </c>
      <c r="B255" s="1" t="n">
        <v>44147</v>
      </c>
      <c r="C255" s="1" t="n">
        <v>45827</v>
      </c>
      <c r="D255" t="inlineStr">
        <is>
          <t>NORRBOTTENS LÄN</t>
        </is>
      </c>
      <c r="E255" t="inlineStr">
        <is>
          <t>PAJALA</t>
        </is>
      </c>
      <c r="G255" t="n">
        <v>8.4</v>
      </c>
      <c r="H255" t="n">
        <v>0</v>
      </c>
      <c r="I255" t="n">
        <v>0</v>
      </c>
      <c r="J255" t="n">
        <v>0</v>
      </c>
      <c r="K255" t="n">
        <v>0</v>
      </c>
      <c r="L255" t="n">
        <v>0</v>
      </c>
      <c r="M255" t="n">
        <v>0</v>
      </c>
      <c r="N255" t="n">
        <v>0</v>
      </c>
      <c r="O255" t="n">
        <v>0</v>
      </c>
      <c r="P255" t="n">
        <v>0</v>
      </c>
      <c r="Q255" t="n">
        <v>0</v>
      </c>
      <c r="R255" s="2" t="inlineStr"/>
    </row>
    <row r="256" ht="15" customHeight="1">
      <c r="A256" t="inlineStr">
        <is>
          <t>A 59126-2020</t>
        </is>
      </c>
      <c r="B256" s="1" t="n">
        <v>44147</v>
      </c>
      <c r="C256" s="1" t="n">
        <v>45827</v>
      </c>
      <c r="D256" t="inlineStr">
        <is>
          <t>NORRBOTTENS LÄN</t>
        </is>
      </c>
      <c r="E256" t="inlineStr">
        <is>
          <t>PAJALA</t>
        </is>
      </c>
      <c r="G256" t="n">
        <v>5.7</v>
      </c>
      <c r="H256" t="n">
        <v>0</v>
      </c>
      <c r="I256" t="n">
        <v>0</v>
      </c>
      <c r="J256" t="n">
        <v>0</v>
      </c>
      <c r="K256" t="n">
        <v>0</v>
      </c>
      <c r="L256" t="n">
        <v>0</v>
      </c>
      <c r="M256" t="n">
        <v>0</v>
      </c>
      <c r="N256" t="n">
        <v>0</v>
      </c>
      <c r="O256" t="n">
        <v>0</v>
      </c>
      <c r="P256" t="n">
        <v>0</v>
      </c>
      <c r="Q256" t="n">
        <v>0</v>
      </c>
      <c r="R256" s="2" t="inlineStr"/>
    </row>
    <row r="257" ht="15" customHeight="1">
      <c r="A257" t="inlineStr">
        <is>
          <t>A 59282-2020</t>
        </is>
      </c>
      <c r="B257" s="1" t="n">
        <v>44147</v>
      </c>
      <c r="C257" s="1" t="n">
        <v>45827</v>
      </c>
      <c r="D257" t="inlineStr">
        <is>
          <t>NORRBOTTENS LÄN</t>
        </is>
      </c>
      <c r="E257" t="inlineStr">
        <is>
          <t>PAJALA</t>
        </is>
      </c>
      <c r="G257" t="n">
        <v>19.1</v>
      </c>
      <c r="H257" t="n">
        <v>0</v>
      </c>
      <c r="I257" t="n">
        <v>0</v>
      </c>
      <c r="J257" t="n">
        <v>0</v>
      </c>
      <c r="K257" t="n">
        <v>0</v>
      </c>
      <c r="L257" t="n">
        <v>0</v>
      </c>
      <c r="M257" t="n">
        <v>0</v>
      </c>
      <c r="N257" t="n">
        <v>0</v>
      </c>
      <c r="O257" t="n">
        <v>0</v>
      </c>
      <c r="P257" t="n">
        <v>0</v>
      </c>
      <c r="Q257" t="n">
        <v>0</v>
      </c>
      <c r="R257" s="2" t="inlineStr"/>
    </row>
    <row r="258" ht="15" customHeight="1">
      <c r="A258" t="inlineStr">
        <is>
          <t>A 60121-2020</t>
        </is>
      </c>
      <c r="B258" s="1" t="n">
        <v>44151</v>
      </c>
      <c r="C258" s="1" t="n">
        <v>45827</v>
      </c>
      <c r="D258" t="inlineStr">
        <is>
          <t>NORRBOTTENS LÄN</t>
        </is>
      </c>
      <c r="E258" t="inlineStr">
        <is>
          <t>PAJALA</t>
        </is>
      </c>
      <c r="G258" t="n">
        <v>5.5</v>
      </c>
      <c r="H258" t="n">
        <v>0</v>
      </c>
      <c r="I258" t="n">
        <v>0</v>
      </c>
      <c r="J258" t="n">
        <v>0</v>
      </c>
      <c r="K258" t="n">
        <v>0</v>
      </c>
      <c r="L258" t="n">
        <v>0</v>
      </c>
      <c r="M258" t="n">
        <v>0</v>
      </c>
      <c r="N258" t="n">
        <v>0</v>
      </c>
      <c r="O258" t="n">
        <v>0</v>
      </c>
      <c r="P258" t="n">
        <v>0</v>
      </c>
      <c r="Q258" t="n">
        <v>0</v>
      </c>
      <c r="R258" s="2" t="inlineStr"/>
    </row>
    <row r="259" ht="15" customHeight="1">
      <c r="A259" t="inlineStr">
        <is>
          <t>A 60106-2020</t>
        </is>
      </c>
      <c r="B259" s="1" t="n">
        <v>44151</v>
      </c>
      <c r="C259" s="1" t="n">
        <v>45827</v>
      </c>
      <c r="D259" t="inlineStr">
        <is>
          <t>NORRBOTTENS LÄN</t>
        </is>
      </c>
      <c r="E259" t="inlineStr">
        <is>
          <t>PAJALA</t>
        </is>
      </c>
      <c r="G259" t="n">
        <v>3</v>
      </c>
      <c r="H259" t="n">
        <v>0</v>
      </c>
      <c r="I259" t="n">
        <v>0</v>
      </c>
      <c r="J259" t="n">
        <v>0</v>
      </c>
      <c r="K259" t="n">
        <v>0</v>
      </c>
      <c r="L259" t="n">
        <v>0</v>
      </c>
      <c r="M259" t="n">
        <v>0</v>
      </c>
      <c r="N259" t="n">
        <v>0</v>
      </c>
      <c r="O259" t="n">
        <v>0</v>
      </c>
      <c r="P259" t="n">
        <v>0</v>
      </c>
      <c r="Q259" t="n">
        <v>0</v>
      </c>
      <c r="R259" s="2" t="inlineStr"/>
    </row>
    <row r="260" ht="15" customHeight="1">
      <c r="A260" t="inlineStr">
        <is>
          <t>A 60115-2020</t>
        </is>
      </c>
      <c r="B260" s="1" t="n">
        <v>44151</v>
      </c>
      <c r="C260" s="1" t="n">
        <v>45827</v>
      </c>
      <c r="D260" t="inlineStr">
        <is>
          <t>NORRBOTTENS LÄN</t>
        </is>
      </c>
      <c r="E260" t="inlineStr">
        <is>
          <t>PAJALA</t>
        </is>
      </c>
      <c r="G260" t="n">
        <v>1.4</v>
      </c>
      <c r="H260" t="n">
        <v>0</v>
      </c>
      <c r="I260" t="n">
        <v>0</v>
      </c>
      <c r="J260" t="n">
        <v>0</v>
      </c>
      <c r="K260" t="n">
        <v>0</v>
      </c>
      <c r="L260" t="n">
        <v>0</v>
      </c>
      <c r="M260" t="n">
        <v>0</v>
      </c>
      <c r="N260" t="n">
        <v>0</v>
      </c>
      <c r="O260" t="n">
        <v>0</v>
      </c>
      <c r="P260" t="n">
        <v>0</v>
      </c>
      <c r="Q260" t="n">
        <v>0</v>
      </c>
      <c r="R260" s="2" t="inlineStr"/>
    </row>
    <row r="261" ht="15" customHeight="1">
      <c r="A261" t="inlineStr">
        <is>
          <t>A 61895-2020</t>
        </is>
      </c>
      <c r="B261" s="1" t="n">
        <v>44155</v>
      </c>
      <c r="C261" s="1" t="n">
        <v>45827</v>
      </c>
      <c r="D261" t="inlineStr">
        <is>
          <t>NORRBOTTENS LÄN</t>
        </is>
      </c>
      <c r="E261" t="inlineStr">
        <is>
          <t>PAJALA</t>
        </is>
      </c>
      <c r="G261" t="n">
        <v>20.1</v>
      </c>
      <c r="H261" t="n">
        <v>0</v>
      </c>
      <c r="I261" t="n">
        <v>0</v>
      </c>
      <c r="J261" t="n">
        <v>0</v>
      </c>
      <c r="K261" t="n">
        <v>0</v>
      </c>
      <c r="L261" t="n">
        <v>0</v>
      </c>
      <c r="M261" t="n">
        <v>0</v>
      </c>
      <c r="N261" t="n">
        <v>0</v>
      </c>
      <c r="O261" t="n">
        <v>0</v>
      </c>
      <c r="P261" t="n">
        <v>0</v>
      </c>
      <c r="Q261" t="n">
        <v>0</v>
      </c>
      <c r="R261" s="2" t="inlineStr"/>
    </row>
    <row r="262" ht="15" customHeight="1">
      <c r="A262" t="inlineStr">
        <is>
          <t>A 61831-2020</t>
        </is>
      </c>
      <c r="B262" s="1" t="n">
        <v>44158</v>
      </c>
      <c r="C262" s="1" t="n">
        <v>45827</v>
      </c>
      <c r="D262" t="inlineStr">
        <is>
          <t>NORRBOTTENS LÄN</t>
        </is>
      </c>
      <c r="E262" t="inlineStr">
        <is>
          <t>PAJALA</t>
        </is>
      </c>
      <c r="G262" t="n">
        <v>22.2</v>
      </c>
      <c r="H262" t="n">
        <v>0</v>
      </c>
      <c r="I262" t="n">
        <v>0</v>
      </c>
      <c r="J262" t="n">
        <v>0</v>
      </c>
      <c r="K262" t="n">
        <v>0</v>
      </c>
      <c r="L262" t="n">
        <v>0</v>
      </c>
      <c r="M262" t="n">
        <v>0</v>
      </c>
      <c r="N262" t="n">
        <v>0</v>
      </c>
      <c r="O262" t="n">
        <v>0</v>
      </c>
      <c r="P262" t="n">
        <v>0</v>
      </c>
      <c r="Q262" t="n">
        <v>0</v>
      </c>
      <c r="R262" s="2" t="inlineStr"/>
    </row>
    <row r="263" ht="15" customHeight="1">
      <c r="A263" t="inlineStr">
        <is>
          <t>A 64639-2020</t>
        </is>
      </c>
      <c r="B263" s="1" t="n">
        <v>44169</v>
      </c>
      <c r="C263" s="1" t="n">
        <v>45827</v>
      </c>
      <c r="D263" t="inlineStr">
        <is>
          <t>NORRBOTTENS LÄN</t>
        </is>
      </c>
      <c r="E263" t="inlineStr">
        <is>
          <t>PAJALA</t>
        </is>
      </c>
      <c r="G263" t="n">
        <v>1.9</v>
      </c>
      <c r="H263" t="n">
        <v>0</v>
      </c>
      <c r="I263" t="n">
        <v>0</v>
      </c>
      <c r="J263" t="n">
        <v>0</v>
      </c>
      <c r="K263" t="n">
        <v>0</v>
      </c>
      <c r="L263" t="n">
        <v>0</v>
      </c>
      <c r="M263" t="n">
        <v>0</v>
      </c>
      <c r="N263" t="n">
        <v>0</v>
      </c>
      <c r="O263" t="n">
        <v>0</v>
      </c>
      <c r="P263" t="n">
        <v>0</v>
      </c>
      <c r="Q263" t="n">
        <v>0</v>
      </c>
      <c r="R263" s="2" t="inlineStr"/>
    </row>
    <row r="264" ht="15" customHeight="1">
      <c r="A264" t="inlineStr">
        <is>
          <t>A 65543-2020</t>
        </is>
      </c>
      <c r="B264" s="1" t="n">
        <v>44172</v>
      </c>
      <c r="C264" s="1" t="n">
        <v>45827</v>
      </c>
      <c r="D264" t="inlineStr">
        <is>
          <t>NORRBOTTENS LÄN</t>
        </is>
      </c>
      <c r="E264" t="inlineStr">
        <is>
          <t>PAJALA</t>
        </is>
      </c>
      <c r="G264" t="n">
        <v>5.1</v>
      </c>
      <c r="H264" t="n">
        <v>0</v>
      </c>
      <c r="I264" t="n">
        <v>0</v>
      </c>
      <c r="J264" t="n">
        <v>0</v>
      </c>
      <c r="K264" t="n">
        <v>0</v>
      </c>
      <c r="L264" t="n">
        <v>0</v>
      </c>
      <c r="M264" t="n">
        <v>0</v>
      </c>
      <c r="N264" t="n">
        <v>0</v>
      </c>
      <c r="O264" t="n">
        <v>0</v>
      </c>
      <c r="P264" t="n">
        <v>0</v>
      </c>
      <c r="Q264" t="n">
        <v>0</v>
      </c>
      <c r="R264" s="2" t="inlineStr"/>
    </row>
    <row r="265" ht="15" customHeight="1">
      <c r="A265" t="inlineStr">
        <is>
          <t>A 65636-2020</t>
        </is>
      </c>
      <c r="B265" s="1" t="n">
        <v>44173</v>
      </c>
      <c r="C265" s="1" t="n">
        <v>45827</v>
      </c>
      <c r="D265" t="inlineStr">
        <is>
          <t>NORRBOTTENS LÄN</t>
        </is>
      </c>
      <c r="E265" t="inlineStr">
        <is>
          <t>PAJALA</t>
        </is>
      </c>
      <c r="G265" t="n">
        <v>12.3</v>
      </c>
      <c r="H265" t="n">
        <v>0</v>
      </c>
      <c r="I265" t="n">
        <v>0</v>
      </c>
      <c r="J265" t="n">
        <v>0</v>
      </c>
      <c r="K265" t="n">
        <v>0</v>
      </c>
      <c r="L265" t="n">
        <v>0</v>
      </c>
      <c r="M265" t="n">
        <v>0</v>
      </c>
      <c r="N265" t="n">
        <v>0</v>
      </c>
      <c r="O265" t="n">
        <v>0</v>
      </c>
      <c r="P265" t="n">
        <v>0</v>
      </c>
      <c r="Q265" t="n">
        <v>0</v>
      </c>
      <c r="R265" s="2" t="inlineStr"/>
    </row>
    <row r="266" ht="15" customHeight="1">
      <c r="A266" t="inlineStr">
        <is>
          <t>A 65756-2020</t>
        </is>
      </c>
      <c r="B266" s="1" t="n">
        <v>44174</v>
      </c>
      <c r="C266" s="1" t="n">
        <v>45827</v>
      </c>
      <c r="D266" t="inlineStr">
        <is>
          <t>NORRBOTTENS LÄN</t>
        </is>
      </c>
      <c r="E266" t="inlineStr">
        <is>
          <t>PAJALA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67524-2020</t>
        </is>
      </c>
      <c r="B267" s="1" t="n">
        <v>44180</v>
      </c>
      <c r="C267" s="1" t="n">
        <v>45827</v>
      </c>
      <c r="D267" t="inlineStr">
        <is>
          <t>NORRBOTTENS LÄN</t>
        </is>
      </c>
      <c r="E267" t="inlineStr">
        <is>
          <t>PAJALA</t>
        </is>
      </c>
      <c r="G267" t="n">
        <v>13.7</v>
      </c>
      <c r="H267" t="n">
        <v>0</v>
      </c>
      <c r="I267" t="n">
        <v>0</v>
      </c>
      <c r="J267" t="n">
        <v>0</v>
      </c>
      <c r="K267" t="n">
        <v>0</v>
      </c>
      <c r="L267" t="n">
        <v>0</v>
      </c>
      <c r="M267" t="n">
        <v>0</v>
      </c>
      <c r="N267" t="n">
        <v>0</v>
      </c>
      <c r="O267" t="n">
        <v>0</v>
      </c>
      <c r="P267" t="n">
        <v>0</v>
      </c>
      <c r="Q267" t="n">
        <v>0</v>
      </c>
      <c r="R267" s="2" t="inlineStr"/>
    </row>
    <row r="268" ht="15" customHeight="1">
      <c r="A268" t="inlineStr">
        <is>
          <t>A 1925-2021</t>
        </is>
      </c>
      <c r="B268" s="1" t="n">
        <v>44210</v>
      </c>
      <c r="C268" s="1" t="n">
        <v>45827</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3584-2021</t>
        </is>
      </c>
      <c r="B269" s="1" t="n">
        <v>44218</v>
      </c>
      <c r="C269" s="1" t="n">
        <v>45827</v>
      </c>
      <c r="D269" t="inlineStr">
        <is>
          <t>NORRBOTTENS LÄN</t>
        </is>
      </c>
      <c r="E269" t="inlineStr">
        <is>
          <t>PAJALA</t>
        </is>
      </c>
      <c r="G269" t="n">
        <v>3.6</v>
      </c>
      <c r="H269" t="n">
        <v>0</v>
      </c>
      <c r="I269" t="n">
        <v>0</v>
      </c>
      <c r="J269" t="n">
        <v>0</v>
      </c>
      <c r="K269" t="n">
        <v>0</v>
      </c>
      <c r="L269" t="n">
        <v>0</v>
      </c>
      <c r="M269" t="n">
        <v>0</v>
      </c>
      <c r="N269" t="n">
        <v>0</v>
      </c>
      <c r="O269" t="n">
        <v>0</v>
      </c>
      <c r="P269" t="n">
        <v>0</v>
      </c>
      <c r="Q269" t="n">
        <v>0</v>
      </c>
      <c r="R269" s="2" t="inlineStr"/>
    </row>
    <row r="270" ht="15" customHeight="1">
      <c r="A270" t="inlineStr">
        <is>
          <t>A 4856-2021</t>
        </is>
      </c>
      <c r="B270" s="1" t="n">
        <v>44223</v>
      </c>
      <c r="C270" s="1" t="n">
        <v>45827</v>
      </c>
      <c r="D270" t="inlineStr">
        <is>
          <t>NORRBOTTENS LÄN</t>
        </is>
      </c>
      <c r="E270" t="inlineStr">
        <is>
          <t>PAJALA</t>
        </is>
      </c>
      <c r="G270" t="n">
        <v>1.7</v>
      </c>
      <c r="H270" t="n">
        <v>0</v>
      </c>
      <c r="I270" t="n">
        <v>0</v>
      </c>
      <c r="J270" t="n">
        <v>0</v>
      </c>
      <c r="K270" t="n">
        <v>0</v>
      </c>
      <c r="L270" t="n">
        <v>0</v>
      </c>
      <c r="M270" t="n">
        <v>0</v>
      </c>
      <c r="N270" t="n">
        <v>0</v>
      </c>
      <c r="O270" t="n">
        <v>0</v>
      </c>
      <c r="P270" t="n">
        <v>0</v>
      </c>
      <c r="Q270" t="n">
        <v>0</v>
      </c>
      <c r="R270" s="2" t="inlineStr"/>
    </row>
    <row r="271" ht="15" customHeight="1">
      <c r="A271" t="inlineStr">
        <is>
          <t>A 4822-2021</t>
        </is>
      </c>
      <c r="B271" s="1" t="n">
        <v>44223</v>
      </c>
      <c r="C271" s="1" t="n">
        <v>45827</v>
      </c>
      <c r="D271" t="inlineStr">
        <is>
          <t>NORRBOTTENS LÄN</t>
        </is>
      </c>
      <c r="E271" t="inlineStr">
        <is>
          <t>PAJALA</t>
        </is>
      </c>
      <c r="G271" t="n">
        <v>0.7</v>
      </c>
      <c r="H271" t="n">
        <v>0</v>
      </c>
      <c r="I271" t="n">
        <v>0</v>
      </c>
      <c r="J271" t="n">
        <v>0</v>
      </c>
      <c r="K271" t="n">
        <v>0</v>
      </c>
      <c r="L271" t="n">
        <v>0</v>
      </c>
      <c r="M271" t="n">
        <v>0</v>
      </c>
      <c r="N271" t="n">
        <v>0</v>
      </c>
      <c r="O271" t="n">
        <v>0</v>
      </c>
      <c r="P271" t="n">
        <v>0</v>
      </c>
      <c r="Q271" t="n">
        <v>0</v>
      </c>
      <c r="R271" s="2" t="inlineStr"/>
    </row>
    <row r="272" ht="15" customHeight="1">
      <c r="A272" t="inlineStr">
        <is>
          <t>A 5938-2021</t>
        </is>
      </c>
      <c r="B272" s="1" t="n">
        <v>44231</v>
      </c>
      <c r="C272" s="1" t="n">
        <v>45827</v>
      </c>
      <c r="D272" t="inlineStr">
        <is>
          <t>NORRBOTTENS LÄN</t>
        </is>
      </c>
      <c r="E272" t="inlineStr">
        <is>
          <t>PAJALA</t>
        </is>
      </c>
      <c r="G272" t="n">
        <v>24.5</v>
      </c>
      <c r="H272" t="n">
        <v>0</v>
      </c>
      <c r="I272" t="n">
        <v>0</v>
      </c>
      <c r="J272" t="n">
        <v>0</v>
      </c>
      <c r="K272" t="n">
        <v>0</v>
      </c>
      <c r="L272" t="n">
        <v>0</v>
      </c>
      <c r="M272" t="n">
        <v>0</v>
      </c>
      <c r="N272" t="n">
        <v>0</v>
      </c>
      <c r="O272" t="n">
        <v>0</v>
      </c>
      <c r="P272" t="n">
        <v>0</v>
      </c>
      <c r="Q272" t="n">
        <v>0</v>
      </c>
      <c r="R272" s="2" t="inlineStr"/>
    </row>
    <row r="273" ht="15" customHeight="1">
      <c r="A273" t="inlineStr">
        <is>
          <t>A 6918-2021</t>
        </is>
      </c>
      <c r="B273" s="1" t="n">
        <v>44237</v>
      </c>
      <c r="C273" s="1" t="n">
        <v>45827</v>
      </c>
      <c r="D273" t="inlineStr">
        <is>
          <t>NORRBOTTENS LÄN</t>
        </is>
      </c>
      <c r="E273" t="inlineStr">
        <is>
          <t>PAJALA</t>
        </is>
      </c>
      <c r="F273" t="inlineStr">
        <is>
          <t>Allmännings- och besparingsskogar</t>
        </is>
      </c>
      <c r="G273" t="n">
        <v>18.1</v>
      </c>
      <c r="H273" t="n">
        <v>0</v>
      </c>
      <c r="I273" t="n">
        <v>0</v>
      </c>
      <c r="J273" t="n">
        <v>0</v>
      </c>
      <c r="K273" t="n">
        <v>0</v>
      </c>
      <c r="L273" t="n">
        <v>0</v>
      </c>
      <c r="M273" t="n">
        <v>0</v>
      </c>
      <c r="N273" t="n">
        <v>0</v>
      </c>
      <c r="O273" t="n">
        <v>0</v>
      </c>
      <c r="P273" t="n">
        <v>0</v>
      </c>
      <c r="Q273" t="n">
        <v>0</v>
      </c>
      <c r="R273" s="2" t="inlineStr"/>
    </row>
    <row r="274" ht="15" customHeight="1">
      <c r="A274" t="inlineStr">
        <is>
          <t>A 13919-2021</t>
        </is>
      </c>
      <c r="B274" s="1" t="n">
        <v>44277</v>
      </c>
      <c r="C274" s="1" t="n">
        <v>45827</v>
      </c>
      <c r="D274" t="inlineStr">
        <is>
          <t>NORRBOTTENS LÄN</t>
        </is>
      </c>
      <c r="E274" t="inlineStr">
        <is>
          <t>PAJALA</t>
        </is>
      </c>
      <c r="F274" t="inlineStr">
        <is>
          <t>Allmännings- och besparingsskogar</t>
        </is>
      </c>
      <c r="G274" t="n">
        <v>10.2</v>
      </c>
      <c r="H274" t="n">
        <v>0</v>
      </c>
      <c r="I274" t="n">
        <v>0</v>
      </c>
      <c r="J274" t="n">
        <v>0</v>
      </c>
      <c r="K274" t="n">
        <v>0</v>
      </c>
      <c r="L274" t="n">
        <v>0</v>
      </c>
      <c r="M274" t="n">
        <v>0</v>
      </c>
      <c r="N274" t="n">
        <v>0</v>
      </c>
      <c r="O274" t="n">
        <v>0</v>
      </c>
      <c r="P274" t="n">
        <v>0</v>
      </c>
      <c r="Q274" t="n">
        <v>0</v>
      </c>
      <c r="R274" s="2" t="inlineStr"/>
    </row>
    <row r="275" ht="15" customHeight="1">
      <c r="A275" t="inlineStr">
        <is>
          <t>A 14309-2021</t>
        </is>
      </c>
      <c r="B275" s="1" t="n">
        <v>44278</v>
      </c>
      <c r="C275" s="1" t="n">
        <v>45827</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14562-2021</t>
        </is>
      </c>
      <c r="B276" s="1" t="n">
        <v>44279</v>
      </c>
      <c r="C276" s="1" t="n">
        <v>45827</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14513-2021</t>
        </is>
      </c>
      <c r="B277" s="1" t="n">
        <v>44279</v>
      </c>
      <c r="C277" s="1" t="n">
        <v>45827</v>
      </c>
      <c r="D277" t="inlineStr">
        <is>
          <t>NORRBOTTENS LÄN</t>
        </is>
      </c>
      <c r="E277" t="inlineStr">
        <is>
          <t>PAJALA</t>
        </is>
      </c>
      <c r="G277" t="n">
        <v>25.5</v>
      </c>
      <c r="H277" t="n">
        <v>0</v>
      </c>
      <c r="I277" t="n">
        <v>0</v>
      </c>
      <c r="J277" t="n">
        <v>0</v>
      </c>
      <c r="K277" t="n">
        <v>0</v>
      </c>
      <c r="L277" t="n">
        <v>0</v>
      </c>
      <c r="M277" t="n">
        <v>0</v>
      </c>
      <c r="N277" t="n">
        <v>0</v>
      </c>
      <c r="O277" t="n">
        <v>0</v>
      </c>
      <c r="P277" t="n">
        <v>0</v>
      </c>
      <c r="Q277" t="n">
        <v>0</v>
      </c>
      <c r="R277" s="2" t="inlineStr"/>
    </row>
    <row r="278" ht="15" customHeight="1">
      <c r="A278" t="inlineStr">
        <is>
          <t>A 14634-2021</t>
        </is>
      </c>
      <c r="B278" s="1" t="n">
        <v>44279</v>
      </c>
      <c r="C278" s="1" t="n">
        <v>45827</v>
      </c>
      <c r="D278" t="inlineStr">
        <is>
          <t>NORRBOTTENS LÄN</t>
        </is>
      </c>
      <c r="E278" t="inlineStr">
        <is>
          <t>PAJALA</t>
        </is>
      </c>
      <c r="G278" t="n">
        <v>3</v>
      </c>
      <c r="H278" t="n">
        <v>0</v>
      </c>
      <c r="I278" t="n">
        <v>0</v>
      </c>
      <c r="J278" t="n">
        <v>0</v>
      </c>
      <c r="K278" t="n">
        <v>0</v>
      </c>
      <c r="L278" t="n">
        <v>0</v>
      </c>
      <c r="M278" t="n">
        <v>0</v>
      </c>
      <c r="N278" t="n">
        <v>0</v>
      </c>
      <c r="O278" t="n">
        <v>0</v>
      </c>
      <c r="P278" t="n">
        <v>0</v>
      </c>
      <c r="Q278" t="n">
        <v>0</v>
      </c>
      <c r="R278" s="2" t="inlineStr"/>
    </row>
    <row r="279" ht="15" customHeight="1">
      <c r="A279" t="inlineStr">
        <is>
          <t>A 19172-2021</t>
        </is>
      </c>
      <c r="B279" s="1" t="n">
        <v>44308</v>
      </c>
      <c r="C279" s="1" t="n">
        <v>45827</v>
      </c>
      <c r="D279" t="inlineStr">
        <is>
          <t>NORRBOTTENS LÄN</t>
        </is>
      </c>
      <c r="E279" t="inlineStr">
        <is>
          <t>PAJALA</t>
        </is>
      </c>
      <c r="G279" t="n">
        <v>21.9</v>
      </c>
      <c r="H279" t="n">
        <v>0</v>
      </c>
      <c r="I279" t="n">
        <v>0</v>
      </c>
      <c r="J279" t="n">
        <v>0</v>
      </c>
      <c r="K279" t="n">
        <v>0</v>
      </c>
      <c r="L279" t="n">
        <v>0</v>
      </c>
      <c r="M279" t="n">
        <v>0</v>
      </c>
      <c r="N279" t="n">
        <v>0</v>
      </c>
      <c r="O279" t="n">
        <v>0</v>
      </c>
      <c r="P279" t="n">
        <v>0</v>
      </c>
      <c r="Q279" t="n">
        <v>0</v>
      </c>
      <c r="R279" s="2" t="inlineStr"/>
    </row>
    <row r="280" ht="15" customHeight="1">
      <c r="A280" t="inlineStr">
        <is>
          <t>A 21048-2021</t>
        </is>
      </c>
      <c r="B280" s="1" t="n">
        <v>44319</v>
      </c>
      <c r="C280" s="1" t="n">
        <v>45827</v>
      </c>
      <c r="D280" t="inlineStr">
        <is>
          <t>NORRBOTTENS LÄN</t>
        </is>
      </c>
      <c r="E280" t="inlineStr">
        <is>
          <t>PAJALA</t>
        </is>
      </c>
      <c r="F280" t="inlineStr">
        <is>
          <t>Allmännings- och besparingsskogar</t>
        </is>
      </c>
      <c r="G280" t="n">
        <v>26.5</v>
      </c>
      <c r="H280" t="n">
        <v>0</v>
      </c>
      <c r="I280" t="n">
        <v>0</v>
      </c>
      <c r="J280" t="n">
        <v>0</v>
      </c>
      <c r="K280" t="n">
        <v>0</v>
      </c>
      <c r="L280" t="n">
        <v>0</v>
      </c>
      <c r="M280" t="n">
        <v>0</v>
      </c>
      <c r="N280" t="n">
        <v>0</v>
      </c>
      <c r="O280" t="n">
        <v>0</v>
      </c>
      <c r="P280" t="n">
        <v>0</v>
      </c>
      <c r="Q280" t="n">
        <v>0</v>
      </c>
      <c r="R280" s="2" t="inlineStr"/>
    </row>
    <row r="281" ht="15" customHeight="1">
      <c r="A281" t="inlineStr">
        <is>
          <t>A 21196-2021</t>
        </is>
      </c>
      <c r="B281" s="1" t="n">
        <v>44319</v>
      </c>
      <c r="C281" s="1" t="n">
        <v>45827</v>
      </c>
      <c r="D281" t="inlineStr">
        <is>
          <t>NORRBOTTENS LÄN</t>
        </is>
      </c>
      <c r="E281" t="inlineStr">
        <is>
          <t>PAJALA</t>
        </is>
      </c>
      <c r="F281" t="inlineStr">
        <is>
          <t>Allmännings- och besparingsskogar</t>
        </is>
      </c>
      <c r="G281" t="n">
        <v>3.9</v>
      </c>
      <c r="H281" t="n">
        <v>0</v>
      </c>
      <c r="I281" t="n">
        <v>0</v>
      </c>
      <c r="J281" t="n">
        <v>0</v>
      </c>
      <c r="K281" t="n">
        <v>0</v>
      </c>
      <c r="L281" t="n">
        <v>0</v>
      </c>
      <c r="M281" t="n">
        <v>0</v>
      </c>
      <c r="N281" t="n">
        <v>0</v>
      </c>
      <c r="O281" t="n">
        <v>0</v>
      </c>
      <c r="P281" t="n">
        <v>0</v>
      </c>
      <c r="Q281" t="n">
        <v>0</v>
      </c>
      <c r="R281" s="2" t="inlineStr"/>
    </row>
    <row r="282" ht="15" customHeight="1">
      <c r="A282" t="inlineStr">
        <is>
          <t>A 21174-2021</t>
        </is>
      </c>
      <c r="B282" s="1" t="n">
        <v>44319</v>
      </c>
      <c r="C282" s="1" t="n">
        <v>45827</v>
      </c>
      <c r="D282" t="inlineStr">
        <is>
          <t>NORRBOTTENS LÄN</t>
        </is>
      </c>
      <c r="E282" t="inlineStr">
        <is>
          <t>PAJALA</t>
        </is>
      </c>
      <c r="F282" t="inlineStr">
        <is>
          <t>Allmännings- och besparingsskogar</t>
        </is>
      </c>
      <c r="G282" t="n">
        <v>32.1</v>
      </c>
      <c r="H282" t="n">
        <v>0</v>
      </c>
      <c r="I282" t="n">
        <v>0</v>
      </c>
      <c r="J282" t="n">
        <v>0</v>
      </c>
      <c r="K282" t="n">
        <v>0</v>
      </c>
      <c r="L282" t="n">
        <v>0</v>
      </c>
      <c r="M282" t="n">
        <v>0</v>
      </c>
      <c r="N282" t="n">
        <v>0</v>
      </c>
      <c r="O282" t="n">
        <v>0</v>
      </c>
      <c r="P282" t="n">
        <v>0</v>
      </c>
      <c r="Q282" t="n">
        <v>0</v>
      </c>
      <c r="R282" s="2" t="inlineStr"/>
    </row>
    <row r="283" ht="15" customHeight="1">
      <c r="A283" t="inlineStr">
        <is>
          <t>A 21230-2021</t>
        </is>
      </c>
      <c r="B283" s="1" t="n">
        <v>44320</v>
      </c>
      <c r="C283" s="1" t="n">
        <v>45827</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21226-2021</t>
        </is>
      </c>
      <c r="B284" s="1" t="n">
        <v>44320</v>
      </c>
      <c r="C284" s="1" t="n">
        <v>45827</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21657-2021</t>
        </is>
      </c>
      <c r="B285" s="1" t="n">
        <v>44322</v>
      </c>
      <c r="C285" s="1" t="n">
        <v>45827</v>
      </c>
      <c r="D285" t="inlineStr">
        <is>
          <t>NORRBOTTENS LÄN</t>
        </is>
      </c>
      <c r="E285" t="inlineStr">
        <is>
          <t>PAJALA</t>
        </is>
      </c>
      <c r="G285" t="n">
        <v>1.9</v>
      </c>
      <c r="H285" t="n">
        <v>0</v>
      </c>
      <c r="I285" t="n">
        <v>0</v>
      </c>
      <c r="J285" t="n">
        <v>0</v>
      </c>
      <c r="K285" t="n">
        <v>0</v>
      </c>
      <c r="L285" t="n">
        <v>0</v>
      </c>
      <c r="M285" t="n">
        <v>0</v>
      </c>
      <c r="N285" t="n">
        <v>0</v>
      </c>
      <c r="O285" t="n">
        <v>0</v>
      </c>
      <c r="P285" t="n">
        <v>0</v>
      </c>
      <c r="Q285" t="n">
        <v>0</v>
      </c>
      <c r="R285" s="2" t="inlineStr"/>
    </row>
    <row r="286" ht="15" customHeight="1">
      <c r="A286" t="inlineStr">
        <is>
          <t>A 23112-2021</t>
        </is>
      </c>
      <c r="B286" s="1" t="n">
        <v>44330</v>
      </c>
      <c r="C286" s="1" t="n">
        <v>45827</v>
      </c>
      <c r="D286" t="inlineStr">
        <is>
          <t>NORRBOTTENS LÄN</t>
        </is>
      </c>
      <c r="E286" t="inlineStr">
        <is>
          <t>PAJALA</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28478-2021</t>
        </is>
      </c>
      <c r="B287" s="1" t="n">
        <v>44356</v>
      </c>
      <c r="C287" s="1" t="n">
        <v>45827</v>
      </c>
      <c r="D287" t="inlineStr">
        <is>
          <t>NORRBOTTENS LÄN</t>
        </is>
      </c>
      <c r="E287" t="inlineStr">
        <is>
          <t>PAJALA</t>
        </is>
      </c>
      <c r="G287" t="n">
        <v>14.8</v>
      </c>
      <c r="H287" t="n">
        <v>0</v>
      </c>
      <c r="I287" t="n">
        <v>0</v>
      </c>
      <c r="J287" t="n">
        <v>0</v>
      </c>
      <c r="K287" t="n">
        <v>0</v>
      </c>
      <c r="L287" t="n">
        <v>0</v>
      </c>
      <c r="M287" t="n">
        <v>0</v>
      </c>
      <c r="N287" t="n">
        <v>0</v>
      </c>
      <c r="O287" t="n">
        <v>0</v>
      </c>
      <c r="P287" t="n">
        <v>0</v>
      </c>
      <c r="Q287" t="n">
        <v>0</v>
      </c>
      <c r="R287" s="2" t="inlineStr"/>
    </row>
    <row r="288" ht="15" customHeight="1">
      <c r="A288" t="inlineStr">
        <is>
          <t>A 28591-2021</t>
        </is>
      </c>
      <c r="B288" s="1" t="n">
        <v>44356</v>
      </c>
      <c r="C288" s="1" t="n">
        <v>45827</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29590-2021</t>
        </is>
      </c>
      <c r="B289" s="1" t="n">
        <v>44362</v>
      </c>
      <c r="C289" s="1" t="n">
        <v>45827</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30551-2021</t>
        </is>
      </c>
      <c r="B290" s="1" t="n">
        <v>44364</v>
      </c>
      <c r="C290" s="1" t="n">
        <v>45827</v>
      </c>
      <c r="D290" t="inlineStr">
        <is>
          <t>NORRBOTTENS LÄN</t>
        </is>
      </c>
      <c r="E290" t="inlineStr">
        <is>
          <t>PAJALA</t>
        </is>
      </c>
      <c r="G290" t="n">
        <v>15.8</v>
      </c>
      <c r="H290" t="n">
        <v>0</v>
      </c>
      <c r="I290" t="n">
        <v>0</v>
      </c>
      <c r="J290" t="n">
        <v>0</v>
      </c>
      <c r="K290" t="n">
        <v>0</v>
      </c>
      <c r="L290" t="n">
        <v>0</v>
      </c>
      <c r="M290" t="n">
        <v>0</v>
      </c>
      <c r="N290" t="n">
        <v>0</v>
      </c>
      <c r="O290" t="n">
        <v>0</v>
      </c>
      <c r="P290" t="n">
        <v>0</v>
      </c>
      <c r="Q290" t="n">
        <v>0</v>
      </c>
      <c r="R290" s="2" t="inlineStr"/>
    </row>
    <row r="291" ht="15" customHeight="1">
      <c r="A291" t="inlineStr">
        <is>
          <t>A 30542-2021</t>
        </is>
      </c>
      <c r="B291" s="1" t="n">
        <v>44364</v>
      </c>
      <c r="C291" s="1" t="n">
        <v>45827</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31686-2021</t>
        </is>
      </c>
      <c r="B292" s="1" t="n">
        <v>44369</v>
      </c>
      <c r="C292" s="1" t="n">
        <v>45827</v>
      </c>
      <c r="D292" t="inlineStr">
        <is>
          <t>NORRBOTTENS LÄN</t>
        </is>
      </c>
      <c r="E292" t="inlineStr">
        <is>
          <t>PAJALA</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31703-2021</t>
        </is>
      </c>
      <c r="B293" s="1" t="n">
        <v>44369</v>
      </c>
      <c r="C293" s="1" t="n">
        <v>45827</v>
      </c>
      <c r="D293" t="inlineStr">
        <is>
          <t>NORRBOTTENS LÄN</t>
        </is>
      </c>
      <c r="E293" t="inlineStr">
        <is>
          <t>PAJALA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31812-2021</t>
        </is>
      </c>
      <c r="B294" s="1" t="n">
        <v>44370</v>
      </c>
      <c r="C294" s="1" t="n">
        <v>45827</v>
      </c>
      <c r="D294" t="inlineStr">
        <is>
          <t>NORRBOTTENS LÄN</t>
        </is>
      </c>
      <c r="E294" t="inlineStr">
        <is>
          <t>PAJALA</t>
        </is>
      </c>
      <c r="G294" t="n">
        <v>13.7</v>
      </c>
      <c r="H294" t="n">
        <v>0</v>
      </c>
      <c r="I294" t="n">
        <v>0</v>
      </c>
      <c r="J294" t="n">
        <v>0</v>
      </c>
      <c r="K294" t="n">
        <v>0</v>
      </c>
      <c r="L294" t="n">
        <v>0</v>
      </c>
      <c r="M294" t="n">
        <v>0</v>
      </c>
      <c r="N294" t="n">
        <v>0</v>
      </c>
      <c r="O294" t="n">
        <v>0</v>
      </c>
      <c r="P294" t="n">
        <v>0</v>
      </c>
      <c r="Q294" t="n">
        <v>0</v>
      </c>
      <c r="R294" s="2" t="inlineStr"/>
    </row>
    <row r="295" ht="15" customHeight="1">
      <c r="A295" t="inlineStr">
        <is>
          <t>A 33176-2021</t>
        </is>
      </c>
      <c r="B295" s="1" t="n">
        <v>44376</v>
      </c>
      <c r="C295" s="1" t="n">
        <v>45827</v>
      </c>
      <c r="D295" t="inlineStr">
        <is>
          <t>NORRBOTTENS LÄN</t>
        </is>
      </c>
      <c r="E295" t="inlineStr">
        <is>
          <t>PAJALA</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34085-2021</t>
        </is>
      </c>
      <c r="B296" s="1" t="n">
        <v>44379</v>
      </c>
      <c r="C296" s="1" t="n">
        <v>45827</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34934-2021</t>
        </is>
      </c>
      <c r="B297" s="1" t="n">
        <v>44383</v>
      </c>
      <c r="C297" s="1" t="n">
        <v>45827</v>
      </c>
      <c r="D297" t="inlineStr">
        <is>
          <t>NORRBOTTENS LÄN</t>
        </is>
      </c>
      <c r="E297" t="inlineStr">
        <is>
          <t>PAJALA</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34944-2021</t>
        </is>
      </c>
      <c r="B298" s="1" t="n">
        <v>44383</v>
      </c>
      <c r="C298" s="1" t="n">
        <v>45827</v>
      </c>
      <c r="D298" t="inlineStr">
        <is>
          <t>NORRBOTTENS LÄN</t>
        </is>
      </c>
      <c r="E298" t="inlineStr">
        <is>
          <t>PAJALA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34929-2021</t>
        </is>
      </c>
      <c r="B299" s="1" t="n">
        <v>44383</v>
      </c>
      <c r="C299" s="1" t="n">
        <v>45827</v>
      </c>
      <c r="D299" t="inlineStr">
        <is>
          <t>NORRBOTTENS LÄN</t>
        </is>
      </c>
      <c r="E299" t="inlineStr">
        <is>
          <t>PAJALA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34938-2021</t>
        </is>
      </c>
      <c r="B300" s="1" t="n">
        <v>44383</v>
      </c>
      <c r="C300" s="1" t="n">
        <v>45827</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34950-2021</t>
        </is>
      </c>
      <c r="B301" s="1" t="n">
        <v>44383</v>
      </c>
      <c r="C301" s="1" t="n">
        <v>45827</v>
      </c>
      <c r="D301" t="inlineStr">
        <is>
          <t>NORRBOTTENS LÄN</t>
        </is>
      </c>
      <c r="E301" t="inlineStr">
        <is>
          <t>PAJALA</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35718-2021</t>
        </is>
      </c>
      <c r="B302" s="1" t="n">
        <v>44385</v>
      </c>
      <c r="C302" s="1" t="n">
        <v>45827</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35908-2021</t>
        </is>
      </c>
      <c r="B303" s="1" t="n">
        <v>44387</v>
      </c>
      <c r="C303" s="1" t="n">
        <v>45827</v>
      </c>
      <c r="D303" t="inlineStr">
        <is>
          <t>NORRBOTTENS LÄN</t>
        </is>
      </c>
      <c r="E303" t="inlineStr">
        <is>
          <t>PAJALA</t>
        </is>
      </c>
      <c r="G303" t="n">
        <v>0.3</v>
      </c>
      <c r="H303" t="n">
        <v>0</v>
      </c>
      <c r="I303" t="n">
        <v>0</v>
      </c>
      <c r="J303" t="n">
        <v>0</v>
      </c>
      <c r="K303" t="n">
        <v>0</v>
      </c>
      <c r="L303" t="n">
        <v>0</v>
      </c>
      <c r="M303" t="n">
        <v>0</v>
      </c>
      <c r="N303" t="n">
        <v>0</v>
      </c>
      <c r="O303" t="n">
        <v>0</v>
      </c>
      <c r="P303" t="n">
        <v>0</v>
      </c>
      <c r="Q303" t="n">
        <v>0</v>
      </c>
      <c r="R303" s="2" t="inlineStr"/>
    </row>
    <row r="304" ht="15" customHeight="1">
      <c r="A304" t="inlineStr">
        <is>
          <t>A 36225-2021</t>
        </is>
      </c>
      <c r="B304" s="1" t="n">
        <v>44389</v>
      </c>
      <c r="C304" s="1" t="n">
        <v>45827</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36231-2021</t>
        </is>
      </c>
      <c r="B305" s="1" t="n">
        <v>44389</v>
      </c>
      <c r="C305" s="1" t="n">
        <v>45827</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36612-2021</t>
        </is>
      </c>
      <c r="B306" s="1" t="n">
        <v>44391</v>
      </c>
      <c r="C306" s="1" t="n">
        <v>45827</v>
      </c>
      <c r="D306" t="inlineStr">
        <is>
          <t>NORRBOTTENS LÄN</t>
        </is>
      </c>
      <c r="E306" t="inlineStr">
        <is>
          <t>PAJALA</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36768-2021</t>
        </is>
      </c>
      <c r="B307" s="1" t="n">
        <v>44392</v>
      </c>
      <c r="C307" s="1" t="n">
        <v>45827</v>
      </c>
      <c r="D307" t="inlineStr">
        <is>
          <t>NORRBOTTENS LÄN</t>
        </is>
      </c>
      <c r="E307" t="inlineStr">
        <is>
          <t>PAJALA</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36715-2021</t>
        </is>
      </c>
      <c r="B308" s="1" t="n">
        <v>44392</v>
      </c>
      <c r="C308" s="1" t="n">
        <v>45827</v>
      </c>
      <c r="D308" t="inlineStr">
        <is>
          <t>NORRBOTTENS LÄN</t>
        </is>
      </c>
      <c r="E308" t="inlineStr">
        <is>
          <t>PAJALA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v>
      </c>
      <c r="C309" s="1" t="n">
        <v>45827</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37001-2021</t>
        </is>
      </c>
      <c r="B310" s="1" t="n">
        <v>44393</v>
      </c>
      <c r="C310" s="1" t="n">
        <v>45827</v>
      </c>
      <c r="D310" t="inlineStr">
        <is>
          <t>NORRBOTTENS LÄN</t>
        </is>
      </c>
      <c r="E310" t="inlineStr">
        <is>
          <t>PAJALA</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36991-2021</t>
        </is>
      </c>
      <c r="B311" s="1" t="n">
        <v>44393</v>
      </c>
      <c r="C311" s="1" t="n">
        <v>45827</v>
      </c>
      <c r="D311" t="inlineStr">
        <is>
          <t>NORRBOTTENS LÄN</t>
        </is>
      </c>
      <c r="E311" t="inlineStr">
        <is>
          <t>PAJALA</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39025-2021</t>
        </is>
      </c>
      <c r="B312" s="1" t="n">
        <v>44412</v>
      </c>
      <c r="C312" s="1" t="n">
        <v>45827</v>
      </c>
      <c r="D312" t="inlineStr">
        <is>
          <t>NORRBOTTENS LÄN</t>
        </is>
      </c>
      <c r="E312" t="inlineStr">
        <is>
          <t>PAJALA</t>
        </is>
      </c>
      <c r="G312" t="n">
        <v>20.2</v>
      </c>
      <c r="H312" t="n">
        <v>0</v>
      </c>
      <c r="I312" t="n">
        <v>0</v>
      </c>
      <c r="J312" t="n">
        <v>0</v>
      </c>
      <c r="K312" t="n">
        <v>0</v>
      </c>
      <c r="L312" t="n">
        <v>0</v>
      </c>
      <c r="M312" t="n">
        <v>0</v>
      </c>
      <c r="N312" t="n">
        <v>0</v>
      </c>
      <c r="O312" t="n">
        <v>0</v>
      </c>
      <c r="P312" t="n">
        <v>0</v>
      </c>
      <c r="Q312" t="n">
        <v>0</v>
      </c>
      <c r="R312" s="2" t="inlineStr"/>
    </row>
    <row r="313" ht="15" customHeight="1">
      <c r="A313" t="inlineStr">
        <is>
          <t>A 39023-2021</t>
        </is>
      </c>
      <c r="B313" s="1" t="n">
        <v>44412</v>
      </c>
      <c r="C313" s="1" t="n">
        <v>45827</v>
      </c>
      <c r="D313" t="inlineStr">
        <is>
          <t>NORRBOTTENS LÄN</t>
        </is>
      </c>
      <c r="E313" t="inlineStr">
        <is>
          <t>PAJALA</t>
        </is>
      </c>
      <c r="G313" t="n">
        <v>16.6</v>
      </c>
      <c r="H313" t="n">
        <v>0</v>
      </c>
      <c r="I313" t="n">
        <v>0</v>
      </c>
      <c r="J313" t="n">
        <v>0</v>
      </c>
      <c r="K313" t="n">
        <v>0</v>
      </c>
      <c r="L313" t="n">
        <v>0</v>
      </c>
      <c r="M313" t="n">
        <v>0</v>
      </c>
      <c r="N313" t="n">
        <v>0</v>
      </c>
      <c r="O313" t="n">
        <v>0</v>
      </c>
      <c r="P313" t="n">
        <v>0</v>
      </c>
      <c r="Q313" t="n">
        <v>0</v>
      </c>
      <c r="R313" s="2" t="inlineStr"/>
    </row>
    <row r="314" ht="15" customHeight="1">
      <c r="A314" t="inlineStr">
        <is>
          <t>A 39286-2021</t>
        </is>
      </c>
      <c r="B314" s="1" t="n">
        <v>44413</v>
      </c>
      <c r="C314" s="1" t="n">
        <v>45827</v>
      </c>
      <c r="D314" t="inlineStr">
        <is>
          <t>NORRBOTTENS LÄN</t>
        </is>
      </c>
      <c r="E314" t="inlineStr">
        <is>
          <t>PAJALA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39658-2021</t>
        </is>
      </c>
      <c r="B315" s="1" t="n">
        <v>44417</v>
      </c>
      <c r="C315" s="1" t="n">
        <v>45827</v>
      </c>
      <c r="D315" t="inlineStr">
        <is>
          <t>NORRBOTTENS LÄN</t>
        </is>
      </c>
      <c r="E315" t="inlineStr">
        <is>
          <t>PAJALA</t>
        </is>
      </c>
      <c r="F315" t="inlineStr">
        <is>
          <t>Sveaskog</t>
        </is>
      </c>
      <c r="G315" t="n">
        <v>62.9</v>
      </c>
      <c r="H315" t="n">
        <v>0</v>
      </c>
      <c r="I315" t="n">
        <v>0</v>
      </c>
      <c r="J315" t="n">
        <v>0</v>
      </c>
      <c r="K315" t="n">
        <v>0</v>
      </c>
      <c r="L315" t="n">
        <v>0</v>
      </c>
      <c r="M315" t="n">
        <v>0</v>
      </c>
      <c r="N315" t="n">
        <v>0</v>
      </c>
      <c r="O315" t="n">
        <v>0</v>
      </c>
      <c r="P315" t="n">
        <v>0</v>
      </c>
      <c r="Q315" t="n">
        <v>0</v>
      </c>
      <c r="R315" s="2" t="inlineStr"/>
    </row>
    <row r="316" ht="15" customHeight="1">
      <c r="A316" t="inlineStr">
        <is>
          <t>A 39894-2021</t>
        </is>
      </c>
      <c r="B316" s="1" t="n">
        <v>44417</v>
      </c>
      <c r="C316" s="1" t="n">
        <v>45827</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39902-2021</t>
        </is>
      </c>
      <c r="B317" s="1" t="n">
        <v>44417</v>
      </c>
      <c r="C317" s="1" t="n">
        <v>45827</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39897-2021</t>
        </is>
      </c>
      <c r="B318" s="1" t="n">
        <v>44417</v>
      </c>
      <c r="C318" s="1" t="n">
        <v>45827</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39907-2021</t>
        </is>
      </c>
      <c r="B319" s="1" t="n">
        <v>44417</v>
      </c>
      <c r="C319" s="1" t="n">
        <v>45827</v>
      </c>
      <c r="D319" t="inlineStr">
        <is>
          <t>NORRBOTTENS LÄN</t>
        </is>
      </c>
      <c r="E319" t="inlineStr">
        <is>
          <t>PAJALA</t>
        </is>
      </c>
      <c r="G319" t="n">
        <v>20.5</v>
      </c>
      <c r="H319" t="n">
        <v>0</v>
      </c>
      <c r="I319" t="n">
        <v>0</v>
      </c>
      <c r="J319" t="n">
        <v>0</v>
      </c>
      <c r="K319" t="n">
        <v>0</v>
      </c>
      <c r="L319" t="n">
        <v>0</v>
      </c>
      <c r="M319" t="n">
        <v>0</v>
      </c>
      <c r="N319" t="n">
        <v>0</v>
      </c>
      <c r="O319" t="n">
        <v>0</v>
      </c>
      <c r="P319" t="n">
        <v>0</v>
      </c>
      <c r="Q319" t="n">
        <v>0</v>
      </c>
      <c r="R319" s="2" t="inlineStr"/>
    </row>
    <row r="320" ht="15" customHeight="1">
      <c r="A320" t="inlineStr">
        <is>
          <t>A 39901-2021</t>
        </is>
      </c>
      <c r="B320" s="1" t="n">
        <v>44417</v>
      </c>
      <c r="C320" s="1" t="n">
        <v>45827</v>
      </c>
      <c r="D320" t="inlineStr">
        <is>
          <t>NORRBOTTENS LÄN</t>
        </is>
      </c>
      <c r="E320" t="inlineStr">
        <is>
          <t>PAJALA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39905-2021</t>
        </is>
      </c>
      <c r="B321" s="1" t="n">
        <v>44417</v>
      </c>
      <c r="C321" s="1" t="n">
        <v>45827</v>
      </c>
      <c r="D321" t="inlineStr">
        <is>
          <t>NORRBOTTENS LÄN</t>
        </is>
      </c>
      <c r="E321" t="inlineStr">
        <is>
          <t>PAJALA</t>
        </is>
      </c>
      <c r="G321" t="n">
        <v>3.3</v>
      </c>
      <c r="H321" t="n">
        <v>0</v>
      </c>
      <c r="I321" t="n">
        <v>0</v>
      </c>
      <c r="J321" t="n">
        <v>0</v>
      </c>
      <c r="K321" t="n">
        <v>0</v>
      </c>
      <c r="L321" t="n">
        <v>0</v>
      </c>
      <c r="M321" t="n">
        <v>0</v>
      </c>
      <c r="N321" t="n">
        <v>0</v>
      </c>
      <c r="O321" t="n">
        <v>0</v>
      </c>
      <c r="P321" t="n">
        <v>0</v>
      </c>
      <c r="Q321" t="n">
        <v>0</v>
      </c>
      <c r="R321" s="2" t="inlineStr"/>
    </row>
    <row r="322" ht="15" customHeight="1">
      <c r="A322" t="inlineStr">
        <is>
          <t>A 39912-2021</t>
        </is>
      </c>
      <c r="B322" s="1" t="n">
        <v>44417</v>
      </c>
      <c r="C322" s="1" t="n">
        <v>45827</v>
      </c>
      <c r="D322" t="inlineStr">
        <is>
          <t>NORRBOTTENS LÄN</t>
        </is>
      </c>
      <c r="E322" t="inlineStr">
        <is>
          <t>PAJALA</t>
        </is>
      </c>
      <c r="G322" t="n">
        <v>3.1</v>
      </c>
      <c r="H322" t="n">
        <v>0</v>
      </c>
      <c r="I322" t="n">
        <v>0</v>
      </c>
      <c r="J322" t="n">
        <v>0</v>
      </c>
      <c r="K322" t="n">
        <v>0</v>
      </c>
      <c r="L322" t="n">
        <v>0</v>
      </c>
      <c r="M322" t="n">
        <v>0</v>
      </c>
      <c r="N322" t="n">
        <v>0</v>
      </c>
      <c r="O322" t="n">
        <v>0</v>
      </c>
      <c r="P322" t="n">
        <v>0</v>
      </c>
      <c r="Q322" t="n">
        <v>0</v>
      </c>
      <c r="R322" s="2" t="inlineStr"/>
    </row>
    <row r="323" ht="15" customHeight="1">
      <c r="A323" t="inlineStr">
        <is>
          <t>A 39899-2021</t>
        </is>
      </c>
      <c r="B323" s="1" t="n">
        <v>44417</v>
      </c>
      <c r="C323" s="1" t="n">
        <v>45827</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39904-2021</t>
        </is>
      </c>
      <c r="B324" s="1" t="n">
        <v>44417</v>
      </c>
      <c r="C324" s="1" t="n">
        <v>45827</v>
      </c>
      <c r="D324" t="inlineStr">
        <is>
          <t>NORRBOTTENS LÄN</t>
        </is>
      </c>
      <c r="E324" t="inlineStr">
        <is>
          <t>PAJALA</t>
        </is>
      </c>
      <c r="G324" t="n">
        <v>5.8</v>
      </c>
      <c r="H324" t="n">
        <v>0</v>
      </c>
      <c r="I324" t="n">
        <v>0</v>
      </c>
      <c r="J324" t="n">
        <v>0</v>
      </c>
      <c r="K324" t="n">
        <v>0</v>
      </c>
      <c r="L324" t="n">
        <v>0</v>
      </c>
      <c r="M324" t="n">
        <v>0</v>
      </c>
      <c r="N324" t="n">
        <v>0</v>
      </c>
      <c r="O324" t="n">
        <v>0</v>
      </c>
      <c r="P324" t="n">
        <v>0</v>
      </c>
      <c r="Q324" t="n">
        <v>0</v>
      </c>
      <c r="R324" s="2" t="inlineStr"/>
    </row>
    <row r="325" ht="15" customHeight="1">
      <c r="A325" t="inlineStr">
        <is>
          <t>A 39908-2021</t>
        </is>
      </c>
      <c r="B325" s="1" t="n">
        <v>44417</v>
      </c>
      <c r="C325" s="1" t="n">
        <v>45827</v>
      </c>
      <c r="D325" t="inlineStr">
        <is>
          <t>NORRBOTTENS LÄN</t>
        </is>
      </c>
      <c r="E325" t="inlineStr">
        <is>
          <t>PAJALA</t>
        </is>
      </c>
      <c r="G325" t="n">
        <v>5.5</v>
      </c>
      <c r="H325" t="n">
        <v>0</v>
      </c>
      <c r="I325" t="n">
        <v>0</v>
      </c>
      <c r="J325" t="n">
        <v>0</v>
      </c>
      <c r="K325" t="n">
        <v>0</v>
      </c>
      <c r="L325" t="n">
        <v>0</v>
      </c>
      <c r="M325" t="n">
        <v>0</v>
      </c>
      <c r="N325" t="n">
        <v>0</v>
      </c>
      <c r="O325" t="n">
        <v>0</v>
      </c>
      <c r="P325" t="n">
        <v>0</v>
      </c>
      <c r="Q325" t="n">
        <v>0</v>
      </c>
      <c r="R325" s="2" t="inlineStr"/>
    </row>
    <row r="326" ht="15" customHeight="1">
      <c r="A326" t="inlineStr">
        <is>
          <t>A 40041-2021</t>
        </is>
      </c>
      <c r="B326" s="1" t="n">
        <v>44417</v>
      </c>
      <c r="C326" s="1" t="n">
        <v>45827</v>
      </c>
      <c r="D326" t="inlineStr">
        <is>
          <t>NORRBOTTENS LÄN</t>
        </is>
      </c>
      <c r="E326" t="inlineStr">
        <is>
          <t>PAJALA</t>
        </is>
      </c>
      <c r="G326" t="n">
        <v>26.1</v>
      </c>
      <c r="H326" t="n">
        <v>0</v>
      </c>
      <c r="I326" t="n">
        <v>0</v>
      </c>
      <c r="J326" t="n">
        <v>0</v>
      </c>
      <c r="K326" t="n">
        <v>0</v>
      </c>
      <c r="L326" t="n">
        <v>0</v>
      </c>
      <c r="M326" t="n">
        <v>0</v>
      </c>
      <c r="N326" t="n">
        <v>0</v>
      </c>
      <c r="O326" t="n">
        <v>0</v>
      </c>
      <c r="P326" t="n">
        <v>0</v>
      </c>
      <c r="Q326" t="n">
        <v>0</v>
      </c>
      <c r="R326" s="2" t="inlineStr"/>
    </row>
    <row r="327" ht="15" customHeight="1">
      <c r="A327" t="inlineStr">
        <is>
          <t>A 40179-2021</t>
        </is>
      </c>
      <c r="B327" s="1" t="n">
        <v>44418</v>
      </c>
      <c r="C327" s="1" t="n">
        <v>45827</v>
      </c>
      <c r="D327" t="inlineStr">
        <is>
          <t>NORRBOTTENS LÄN</t>
        </is>
      </c>
      <c r="E327" t="inlineStr">
        <is>
          <t>PAJALA</t>
        </is>
      </c>
      <c r="G327" t="n">
        <v>4.1</v>
      </c>
      <c r="H327" t="n">
        <v>0</v>
      </c>
      <c r="I327" t="n">
        <v>0</v>
      </c>
      <c r="J327" t="n">
        <v>0</v>
      </c>
      <c r="K327" t="n">
        <v>0</v>
      </c>
      <c r="L327" t="n">
        <v>0</v>
      </c>
      <c r="M327" t="n">
        <v>0</v>
      </c>
      <c r="N327" t="n">
        <v>0</v>
      </c>
      <c r="O327" t="n">
        <v>0</v>
      </c>
      <c r="P327" t="n">
        <v>0</v>
      </c>
      <c r="Q327" t="n">
        <v>0</v>
      </c>
      <c r="R327" s="2" t="inlineStr"/>
    </row>
    <row r="328" ht="15" customHeight="1">
      <c r="A328" t="inlineStr">
        <is>
          <t>A 40299-2021</t>
        </is>
      </c>
      <c r="B328" s="1" t="n">
        <v>44419</v>
      </c>
      <c r="C328" s="1" t="n">
        <v>45827</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41308-2021</t>
        </is>
      </c>
      <c r="B329" s="1" t="n">
        <v>44424</v>
      </c>
      <c r="C329" s="1" t="n">
        <v>45827</v>
      </c>
      <c r="D329" t="inlineStr">
        <is>
          <t>NORRBOTTENS LÄN</t>
        </is>
      </c>
      <c r="E329" t="inlineStr">
        <is>
          <t>PAJALA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41350-2021</t>
        </is>
      </c>
      <c r="B330" s="1" t="n">
        <v>44424</v>
      </c>
      <c r="C330" s="1" t="n">
        <v>45827</v>
      </c>
      <c r="D330" t="inlineStr">
        <is>
          <t>NORRBOTTENS LÄN</t>
        </is>
      </c>
      <c r="E330" t="inlineStr">
        <is>
          <t>PAJALA</t>
        </is>
      </c>
      <c r="G330" t="n">
        <v>9.4</v>
      </c>
      <c r="H330" t="n">
        <v>0</v>
      </c>
      <c r="I330" t="n">
        <v>0</v>
      </c>
      <c r="J330" t="n">
        <v>0</v>
      </c>
      <c r="K330" t="n">
        <v>0</v>
      </c>
      <c r="L330" t="n">
        <v>0</v>
      </c>
      <c r="M330" t="n">
        <v>0</v>
      </c>
      <c r="N330" t="n">
        <v>0</v>
      </c>
      <c r="O330" t="n">
        <v>0</v>
      </c>
      <c r="P330" t="n">
        <v>0</v>
      </c>
      <c r="Q330" t="n">
        <v>0</v>
      </c>
      <c r="R330" s="2" t="inlineStr"/>
    </row>
    <row r="331" ht="15" customHeight="1">
      <c r="A331" t="inlineStr">
        <is>
          <t>A 41827-2021</t>
        </is>
      </c>
      <c r="B331" s="1" t="n">
        <v>44426</v>
      </c>
      <c r="C331" s="1" t="n">
        <v>45827</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41828-2021</t>
        </is>
      </c>
      <c r="B332" s="1" t="n">
        <v>44426</v>
      </c>
      <c r="C332" s="1" t="n">
        <v>45827</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42288-2021</t>
        </is>
      </c>
      <c r="B333" s="1" t="n">
        <v>44427</v>
      </c>
      <c r="C333" s="1" t="n">
        <v>45827</v>
      </c>
      <c r="D333" t="inlineStr">
        <is>
          <t>NORRBOTTENS LÄN</t>
        </is>
      </c>
      <c r="E333" t="inlineStr">
        <is>
          <t>PAJALA</t>
        </is>
      </c>
      <c r="F333" t="inlineStr">
        <is>
          <t>Sveaskog</t>
        </is>
      </c>
      <c r="G333" t="n">
        <v>37.3</v>
      </c>
      <c r="H333" t="n">
        <v>0</v>
      </c>
      <c r="I333" t="n">
        <v>0</v>
      </c>
      <c r="J333" t="n">
        <v>0</v>
      </c>
      <c r="K333" t="n">
        <v>0</v>
      </c>
      <c r="L333" t="n">
        <v>0</v>
      </c>
      <c r="M333" t="n">
        <v>0</v>
      </c>
      <c r="N333" t="n">
        <v>0</v>
      </c>
      <c r="O333" t="n">
        <v>0</v>
      </c>
      <c r="P333" t="n">
        <v>0</v>
      </c>
      <c r="Q333" t="n">
        <v>0</v>
      </c>
      <c r="R333" s="2" t="inlineStr"/>
    </row>
    <row r="334" ht="15" customHeight="1">
      <c r="A334" t="inlineStr">
        <is>
          <t>A 42320-2021</t>
        </is>
      </c>
      <c r="B334" s="1" t="n">
        <v>44427</v>
      </c>
      <c r="C334" s="1" t="n">
        <v>45827</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42335-2021</t>
        </is>
      </c>
      <c r="B335" s="1" t="n">
        <v>44427</v>
      </c>
      <c r="C335" s="1" t="n">
        <v>45827</v>
      </c>
      <c r="D335" t="inlineStr">
        <is>
          <t>NORRBOTTENS LÄN</t>
        </is>
      </c>
      <c r="E335" t="inlineStr">
        <is>
          <t>PAJALA</t>
        </is>
      </c>
      <c r="G335" t="n">
        <v>9.5</v>
      </c>
      <c r="H335" t="n">
        <v>0</v>
      </c>
      <c r="I335" t="n">
        <v>0</v>
      </c>
      <c r="J335" t="n">
        <v>0</v>
      </c>
      <c r="K335" t="n">
        <v>0</v>
      </c>
      <c r="L335" t="n">
        <v>0</v>
      </c>
      <c r="M335" t="n">
        <v>0</v>
      </c>
      <c r="N335" t="n">
        <v>0</v>
      </c>
      <c r="O335" t="n">
        <v>0</v>
      </c>
      <c r="P335" t="n">
        <v>0</v>
      </c>
      <c r="Q335" t="n">
        <v>0</v>
      </c>
      <c r="R335" s="2" t="inlineStr"/>
    </row>
    <row r="336" ht="15" customHeight="1">
      <c r="A336" t="inlineStr">
        <is>
          <t>A 45018-2021</t>
        </is>
      </c>
      <c r="B336" s="1" t="n">
        <v>44438</v>
      </c>
      <c r="C336" s="1" t="n">
        <v>45827</v>
      </c>
      <c r="D336" t="inlineStr">
        <is>
          <t>NORRBOTTENS LÄN</t>
        </is>
      </c>
      <c r="E336" t="inlineStr">
        <is>
          <t>PAJALA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45966-2021</t>
        </is>
      </c>
      <c r="B337" s="1" t="n">
        <v>44441</v>
      </c>
      <c r="C337" s="1" t="n">
        <v>45827</v>
      </c>
      <c r="D337" t="inlineStr">
        <is>
          <t>NORRBOTTENS LÄN</t>
        </is>
      </c>
      <c r="E337" t="inlineStr">
        <is>
          <t>PAJALA</t>
        </is>
      </c>
      <c r="G337" t="n">
        <v>18.6</v>
      </c>
      <c r="H337" t="n">
        <v>0</v>
      </c>
      <c r="I337" t="n">
        <v>0</v>
      </c>
      <c r="J337" t="n">
        <v>0</v>
      </c>
      <c r="K337" t="n">
        <v>0</v>
      </c>
      <c r="L337" t="n">
        <v>0</v>
      </c>
      <c r="M337" t="n">
        <v>0</v>
      </c>
      <c r="N337" t="n">
        <v>0</v>
      </c>
      <c r="O337" t="n">
        <v>0</v>
      </c>
      <c r="P337" t="n">
        <v>0</v>
      </c>
      <c r="Q337" t="n">
        <v>0</v>
      </c>
      <c r="R337" s="2" t="inlineStr"/>
    </row>
    <row r="338" ht="15" customHeight="1">
      <c r="A338" t="inlineStr">
        <is>
          <t>A 46259-2021</t>
        </is>
      </c>
      <c r="B338" s="1" t="n">
        <v>44442</v>
      </c>
      <c r="C338" s="1" t="n">
        <v>45827</v>
      </c>
      <c r="D338" t="inlineStr">
        <is>
          <t>NORRBOTTENS LÄN</t>
        </is>
      </c>
      <c r="E338" t="inlineStr">
        <is>
          <t>PAJALA</t>
        </is>
      </c>
      <c r="G338" t="n">
        <v>15.3</v>
      </c>
      <c r="H338" t="n">
        <v>0</v>
      </c>
      <c r="I338" t="n">
        <v>0</v>
      </c>
      <c r="J338" t="n">
        <v>0</v>
      </c>
      <c r="K338" t="n">
        <v>0</v>
      </c>
      <c r="L338" t="n">
        <v>0</v>
      </c>
      <c r="M338" t="n">
        <v>0</v>
      </c>
      <c r="N338" t="n">
        <v>0</v>
      </c>
      <c r="O338" t="n">
        <v>0</v>
      </c>
      <c r="P338" t="n">
        <v>0</v>
      </c>
      <c r="Q338" t="n">
        <v>0</v>
      </c>
      <c r="R338" s="2" t="inlineStr"/>
    </row>
    <row r="339" ht="15" customHeight="1">
      <c r="A339" t="inlineStr">
        <is>
          <t>A 48211-2021</t>
        </is>
      </c>
      <c r="B339" s="1" t="n">
        <v>44449</v>
      </c>
      <c r="C339" s="1" t="n">
        <v>45827</v>
      </c>
      <c r="D339" t="inlineStr">
        <is>
          <t>NORRBOTTENS LÄN</t>
        </is>
      </c>
      <c r="E339" t="inlineStr">
        <is>
          <t>PAJALA</t>
        </is>
      </c>
      <c r="G339" t="n">
        <v>3.5</v>
      </c>
      <c r="H339" t="n">
        <v>0</v>
      </c>
      <c r="I339" t="n">
        <v>0</v>
      </c>
      <c r="J339" t="n">
        <v>0</v>
      </c>
      <c r="K339" t="n">
        <v>0</v>
      </c>
      <c r="L339" t="n">
        <v>0</v>
      </c>
      <c r="M339" t="n">
        <v>0</v>
      </c>
      <c r="N339" t="n">
        <v>0</v>
      </c>
      <c r="O339" t="n">
        <v>0</v>
      </c>
      <c r="P339" t="n">
        <v>0</v>
      </c>
      <c r="Q339" t="n">
        <v>0</v>
      </c>
      <c r="R339" s="2" t="inlineStr"/>
    </row>
    <row r="340" ht="15" customHeight="1">
      <c r="A340" t="inlineStr">
        <is>
          <t>A 48335-2021</t>
        </is>
      </c>
      <c r="B340" s="1" t="n">
        <v>44451</v>
      </c>
      <c r="C340" s="1" t="n">
        <v>45827</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48366-2021</t>
        </is>
      </c>
      <c r="B341" s="1" t="n">
        <v>44451</v>
      </c>
      <c r="C341" s="1" t="n">
        <v>45827</v>
      </c>
      <c r="D341" t="inlineStr">
        <is>
          <t>NORRBOTTENS LÄN</t>
        </is>
      </c>
      <c r="E341" t="inlineStr">
        <is>
          <t>PAJALA</t>
        </is>
      </c>
      <c r="G341" t="n">
        <v>14.3</v>
      </c>
      <c r="H341" t="n">
        <v>0</v>
      </c>
      <c r="I341" t="n">
        <v>0</v>
      </c>
      <c r="J341" t="n">
        <v>0</v>
      </c>
      <c r="K341" t="n">
        <v>0</v>
      </c>
      <c r="L341" t="n">
        <v>0</v>
      </c>
      <c r="M341" t="n">
        <v>0</v>
      </c>
      <c r="N341" t="n">
        <v>0</v>
      </c>
      <c r="O341" t="n">
        <v>0</v>
      </c>
      <c r="P341" t="n">
        <v>0</v>
      </c>
      <c r="Q341" t="n">
        <v>0</v>
      </c>
      <c r="R341" s="2" t="inlineStr"/>
    </row>
    <row r="342" ht="15" customHeight="1">
      <c r="A342" t="inlineStr">
        <is>
          <t>A 48370-2021</t>
        </is>
      </c>
      <c r="B342" s="1" t="n">
        <v>44451</v>
      </c>
      <c r="C342" s="1" t="n">
        <v>45827</v>
      </c>
      <c r="D342" t="inlineStr">
        <is>
          <t>NORRBOTTENS LÄN</t>
        </is>
      </c>
      <c r="E342" t="inlineStr">
        <is>
          <t>PAJALA</t>
        </is>
      </c>
      <c r="G342" t="n">
        <v>26.6</v>
      </c>
      <c r="H342" t="n">
        <v>0</v>
      </c>
      <c r="I342" t="n">
        <v>0</v>
      </c>
      <c r="J342" t="n">
        <v>0</v>
      </c>
      <c r="K342" t="n">
        <v>0</v>
      </c>
      <c r="L342" t="n">
        <v>0</v>
      </c>
      <c r="M342" t="n">
        <v>0</v>
      </c>
      <c r="N342" t="n">
        <v>0</v>
      </c>
      <c r="O342" t="n">
        <v>0</v>
      </c>
      <c r="P342" t="n">
        <v>0</v>
      </c>
      <c r="Q342" t="n">
        <v>0</v>
      </c>
      <c r="R342" s="2" t="inlineStr"/>
    </row>
    <row r="343" ht="15" customHeight="1">
      <c r="A343" t="inlineStr">
        <is>
          <t>A 48369-2021</t>
        </is>
      </c>
      <c r="B343" s="1" t="n">
        <v>44451</v>
      </c>
      <c r="C343" s="1" t="n">
        <v>45827</v>
      </c>
      <c r="D343" t="inlineStr">
        <is>
          <t>NORRBOTTENS LÄN</t>
        </is>
      </c>
      <c r="E343" t="inlineStr">
        <is>
          <t>PAJALA</t>
        </is>
      </c>
      <c r="G343" t="n">
        <v>5.3</v>
      </c>
      <c r="H343" t="n">
        <v>0</v>
      </c>
      <c r="I343" t="n">
        <v>0</v>
      </c>
      <c r="J343" t="n">
        <v>0</v>
      </c>
      <c r="K343" t="n">
        <v>0</v>
      </c>
      <c r="L343" t="n">
        <v>0</v>
      </c>
      <c r="M343" t="n">
        <v>0</v>
      </c>
      <c r="N343" t="n">
        <v>0</v>
      </c>
      <c r="O343" t="n">
        <v>0</v>
      </c>
      <c r="P343" t="n">
        <v>0</v>
      </c>
      <c r="Q343" t="n">
        <v>0</v>
      </c>
      <c r="R343" s="2" t="inlineStr"/>
    </row>
    <row r="344" ht="15" customHeight="1">
      <c r="A344" t="inlineStr">
        <is>
          <t>A 48364-2021</t>
        </is>
      </c>
      <c r="B344" s="1" t="n">
        <v>44451</v>
      </c>
      <c r="C344" s="1" t="n">
        <v>45827</v>
      </c>
      <c r="D344" t="inlineStr">
        <is>
          <t>NORRBOTTENS LÄN</t>
        </is>
      </c>
      <c r="E344" t="inlineStr">
        <is>
          <t>PAJALA</t>
        </is>
      </c>
      <c r="G344" t="n">
        <v>7.8</v>
      </c>
      <c r="H344" t="n">
        <v>0</v>
      </c>
      <c r="I344" t="n">
        <v>0</v>
      </c>
      <c r="J344" t="n">
        <v>0</v>
      </c>
      <c r="K344" t="n">
        <v>0</v>
      </c>
      <c r="L344" t="n">
        <v>0</v>
      </c>
      <c r="M344" t="n">
        <v>0</v>
      </c>
      <c r="N344" t="n">
        <v>0</v>
      </c>
      <c r="O344" t="n">
        <v>0</v>
      </c>
      <c r="P344" t="n">
        <v>0</v>
      </c>
      <c r="Q344" t="n">
        <v>0</v>
      </c>
      <c r="R344" s="2" t="inlineStr"/>
    </row>
    <row r="345" ht="15" customHeight="1">
      <c r="A345" t="inlineStr">
        <is>
          <t>A 48368-2021</t>
        </is>
      </c>
      <c r="B345" s="1" t="n">
        <v>44451</v>
      </c>
      <c r="C345" s="1" t="n">
        <v>45827</v>
      </c>
      <c r="D345" t="inlineStr">
        <is>
          <t>NORRBOTTENS LÄN</t>
        </is>
      </c>
      <c r="E345" t="inlineStr">
        <is>
          <t>PAJALA</t>
        </is>
      </c>
      <c r="G345" t="n">
        <v>4.2</v>
      </c>
      <c r="H345" t="n">
        <v>0</v>
      </c>
      <c r="I345" t="n">
        <v>0</v>
      </c>
      <c r="J345" t="n">
        <v>0</v>
      </c>
      <c r="K345" t="n">
        <v>0</v>
      </c>
      <c r="L345" t="n">
        <v>0</v>
      </c>
      <c r="M345" t="n">
        <v>0</v>
      </c>
      <c r="N345" t="n">
        <v>0</v>
      </c>
      <c r="O345" t="n">
        <v>0</v>
      </c>
      <c r="P345" t="n">
        <v>0</v>
      </c>
      <c r="Q345" t="n">
        <v>0</v>
      </c>
      <c r="R345" s="2" t="inlineStr"/>
    </row>
    <row r="346" ht="15" customHeight="1">
      <c r="A346" t="inlineStr">
        <is>
          <t>A 48367-2021</t>
        </is>
      </c>
      <c r="B346" s="1" t="n">
        <v>44451</v>
      </c>
      <c r="C346" s="1" t="n">
        <v>45827</v>
      </c>
      <c r="D346" t="inlineStr">
        <is>
          <t>NORRBOTTENS LÄN</t>
        </is>
      </c>
      <c r="E346" t="inlineStr">
        <is>
          <t>PAJALA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48372-2021</t>
        </is>
      </c>
      <c r="B347" s="1" t="n">
        <v>44451</v>
      </c>
      <c r="C347" s="1" t="n">
        <v>45827</v>
      </c>
      <c r="D347" t="inlineStr">
        <is>
          <t>NORRBOTTENS LÄN</t>
        </is>
      </c>
      <c r="E347" t="inlineStr">
        <is>
          <t>PAJALA</t>
        </is>
      </c>
      <c r="G347" t="n">
        <v>2</v>
      </c>
      <c r="H347" t="n">
        <v>0</v>
      </c>
      <c r="I347" t="n">
        <v>0</v>
      </c>
      <c r="J347" t="n">
        <v>0</v>
      </c>
      <c r="K347" t="n">
        <v>0</v>
      </c>
      <c r="L347" t="n">
        <v>0</v>
      </c>
      <c r="M347" t="n">
        <v>0</v>
      </c>
      <c r="N347" t="n">
        <v>0</v>
      </c>
      <c r="O347" t="n">
        <v>0</v>
      </c>
      <c r="P347" t="n">
        <v>0</v>
      </c>
      <c r="Q347" t="n">
        <v>0</v>
      </c>
      <c r="R347" s="2" t="inlineStr"/>
    </row>
    <row r="348" ht="15" customHeight="1">
      <c r="A348" t="inlineStr">
        <is>
          <t>A 49042-2021</t>
        </is>
      </c>
      <c r="B348" s="1" t="n">
        <v>44453</v>
      </c>
      <c r="C348" s="1" t="n">
        <v>45827</v>
      </c>
      <c r="D348" t="inlineStr">
        <is>
          <t>NORRBOTTENS LÄN</t>
        </is>
      </c>
      <c r="E348" t="inlineStr">
        <is>
          <t>PAJALA</t>
        </is>
      </c>
      <c r="G348" t="n">
        <v>117.4</v>
      </c>
      <c r="H348" t="n">
        <v>0</v>
      </c>
      <c r="I348" t="n">
        <v>0</v>
      </c>
      <c r="J348" t="n">
        <v>0</v>
      </c>
      <c r="K348" t="n">
        <v>0</v>
      </c>
      <c r="L348" t="n">
        <v>0</v>
      </c>
      <c r="M348" t="n">
        <v>0</v>
      </c>
      <c r="N348" t="n">
        <v>0</v>
      </c>
      <c r="O348" t="n">
        <v>0</v>
      </c>
      <c r="P348" t="n">
        <v>0</v>
      </c>
      <c r="Q348" t="n">
        <v>0</v>
      </c>
      <c r="R348" s="2" t="inlineStr"/>
    </row>
    <row r="349" ht="15" customHeight="1">
      <c r="A349" t="inlineStr">
        <is>
          <t>A 50304-2021</t>
        </is>
      </c>
      <c r="B349" s="1" t="n">
        <v>44455</v>
      </c>
      <c r="C349" s="1" t="n">
        <v>45827</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50537-2021</t>
        </is>
      </c>
      <c r="B350" s="1" t="n">
        <v>44459</v>
      </c>
      <c r="C350" s="1" t="n">
        <v>45827</v>
      </c>
      <c r="D350" t="inlineStr">
        <is>
          <t>NORRBOTTENS LÄN</t>
        </is>
      </c>
      <c r="E350" t="inlineStr">
        <is>
          <t>PAJALA</t>
        </is>
      </c>
      <c r="G350" t="n">
        <v>1.6</v>
      </c>
      <c r="H350" t="n">
        <v>0</v>
      </c>
      <c r="I350" t="n">
        <v>0</v>
      </c>
      <c r="J350" t="n">
        <v>0</v>
      </c>
      <c r="K350" t="n">
        <v>0</v>
      </c>
      <c r="L350" t="n">
        <v>0</v>
      </c>
      <c r="M350" t="n">
        <v>0</v>
      </c>
      <c r="N350" t="n">
        <v>0</v>
      </c>
      <c r="O350" t="n">
        <v>0</v>
      </c>
      <c r="P350" t="n">
        <v>0</v>
      </c>
      <c r="Q350" t="n">
        <v>0</v>
      </c>
      <c r="R350" s="2" t="inlineStr"/>
    </row>
    <row r="351" ht="15" customHeight="1">
      <c r="A351" t="inlineStr">
        <is>
          <t>A 50861-2021</t>
        </is>
      </c>
      <c r="B351" s="1" t="n">
        <v>44459</v>
      </c>
      <c r="C351" s="1" t="n">
        <v>45827</v>
      </c>
      <c r="D351" t="inlineStr">
        <is>
          <t>NORRBOTTENS LÄN</t>
        </is>
      </c>
      <c r="E351" t="inlineStr">
        <is>
          <t>PAJALA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52147-2021</t>
        </is>
      </c>
      <c r="B352" s="1" t="n">
        <v>44462</v>
      </c>
      <c r="C352" s="1" t="n">
        <v>45827</v>
      </c>
      <c r="D352" t="inlineStr">
        <is>
          <t>NORRBOTTENS LÄN</t>
        </is>
      </c>
      <c r="E352" t="inlineStr">
        <is>
          <t>PAJALA</t>
        </is>
      </c>
      <c r="G352" t="n">
        <v>0.7</v>
      </c>
      <c r="H352" t="n">
        <v>0</v>
      </c>
      <c r="I352" t="n">
        <v>0</v>
      </c>
      <c r="J352" t="n">
        <v>0</v>
      </c>
      <c r="K352" t="n">
        <v>0</v>
      </c>
      <c r="L352" t="n">
        <v>0</v>
      </c>
      <c r="M352" t="n">
        <v>0</v>
      </c>
      <c r="N352" t="n">
        <v>0</v>
      </c>
      <c r="O352" t="n">
        <v>0</v>
      </c>
      <c r="P352" t="n">
        <v>0</v>
      </c>
      <c r="Q352" t="n">
        <v>0</v>
      </c>
      <c r="R352" s="2" t="inlineStr"/>
    </row>
    <row r="353" ht="15" customHeight="1">
      <c r="A353" t="inlineStr">
        <is>
          <t>A 52337-2021</t>
        </is>
      </c>
      <c r="B353" s="1" t="n">
        <v>44464</v>
      </c>
      <c r="C353" s="1" t="n">
        <v>45827</v>
      </c>
      <c r="D353" t="inlineStr">
        <is>
          <t>NORRBOTTENS LÄN</t>
        </is>
      </c>
      <c r="E353" t="inlineStr">
        <is>
          <t>PAJALA</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52338-2021</t>
        </is>
      </c>
      <c r="B354" s="1" t="n">
        <v>44464</v>
      </c>
      <c r="C354" s="1" t="n">
        <v>45827</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52405-2021</t>
        </is>
      </c>
      <c r="B355" s="1" t="n">
        <v>44466</v>
      </c>
      <c r="C355" s="1" t="n">
        <v>45827</v>
      </c>
      <c r="D355" t="inlineStr">
        <is>
          <t>NORRBOTTENS LÄN</t>
        </is>
      </c>
      <c r="E355" t="inlineStr">
        <is>
          <t>PAJALA</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52783-2021</t>
        </is>
      </c>
      <c r="B356" s="1" t="n">
        <v>44467</v>
      </c>
      <c r="C356" s="1" t="n">
        <v>45827</v>
      </c>
      <c r="D356" t="inlineStr">
        <is>
          <t>NORRBOTTENS LÄN</t>
        </is>
      </c>
      <c r="E356" t="inlineStr">
        <is>
          <t>PAJALA</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54284-2021</t>
        </is>
      </c>
      <c r="B357" s="1" t="n">
        <v>44471</v>
      </c>
      <c r="C357" s="1" t="n">
        <v>45827</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54525-2021</t>
        </is>
      </c>
      <c r="B358" s="1" t="n">
        <v>44473</v>
      </c>
      <c r="C358" s="1" t="n">
        <v>45827</v>
      </c>
      <c r="D358" t="inlineStr">
        <is>
          <t>NORRBOTTENS LÄN</t>
        </is>
      </c>
      <c r="E358" t="inlineStr">
        <is>
          <t>PAJALA</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55723-2021</t>
        </is>
      </c>
      <c r="B359" s="1" t="n">
        <v>44476</v>
      </c>
      <c r="C359" s="1" t="n">
        <v>45827</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56166-2021</t>
        </is>
      </c>
      <c r="B360" s="1" t="n">
        <v>44477</v>
      </c>
      <c r="C360" s="1" t="n">
        <v>45827</v>
      </c>
      <c r="D360" t="inlineStr">
        <is>
          <t>NORRBOTTENS LÄN</t>
        </is>
      </c>
      <c r="E360" t="inlineStr">
        <is>
          <t>PAJALA</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58998-2021</t>
        </is>
      </c>
      <c r="B361" s="1" t="n">
        <v>44489</v>
      </c>
      <c r="C361" s="1" t="n">
        <v>45827</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59401-2021</t>
        </is>
      </c>
      <c r="B362" s="1" t="n">
        <v>44491</v>
      </c>
      <c r="C362" s="1" t="n">
        <v>45827</v>
      </c>
      <c r="D362" t="inlineStr">
        <is>
          <t>NORRBOTTENS LÄN</t>
        </is>
      </c>
      <c r="E362" t="inlineStr">
        <is>
          <t>PAJALA</t>
        </is>
      </c>
      <c r="G362" t="n">
        <v>17</v>
      </c>
      <c r="H362" t="n">
        <v>0</v>
      </c>
      <c r="I362" t="n">
        <v>0</v>
      </c>
      <c r="J362" t="n">
        <v>0</v>
      </c>
      <c r="K362" t="n">
        <v>0</v>
      </c>
      <c r="L362" t="n">
        <v>0</v>
      </c>
      <c r="M362" t="n">
        <v>0</v>
      </c>
      <c r="N362" t="n">
        <v>0</v>
      </c>
      <c r="O362" t="n">
        <v>0</v>
      </c>
      <c r="P362" t="n">
        <v>0</v>
      </c>
      <c r="Q362" t="n">
        <v>0</v>
      </c>
      <c r="R362" s="2" t="inlineStr"/>
    </row>
    <row r="363" ht="15" customHeight="1">
      <c r="A363" t="inlineStr">
        <is>
          <t>A 60662-2021</t>
        </is>
      </c>
      <c r="B363" s="1" t="n">
        <v>44496</v>
      </c>
      <c r="C363" s="1" t="n">
        <v>45827</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60686-2021</t>
        </is>
      </c>
      <c r="B364" s="1" t="n">
        <v>44496</v>
      </c>
      <c r="C364" s="1" t="n">
        <v>45827</v>
      </c>
      <c r="D364" t="inlineStr">
        <is>
          <t>NORRBOTTENS LÄN</t>
        </is>
      </c>
      <c r="E364" t="inlineStr">
        <is>
          <t>PAJALA</t>
        </is>
      </c>
      <c r="G364" t="n">
        <v>13.5</v>
      </c>
      <c r="H364" t="n">
        <v>0</v>
      </c>
      <c r="I364" t="n">
        <v>0</v>
      </c>
      <c r="J364" t="n">
        <v>0</v>
      </c>
      <c r="K364" t="n">
        <v>0</v>
      </c>
      <c r="L364" t="n">
        <v>0</v>
      </c>
      <c r="M364" t="n">
        <v>0</v>
      </c>
      <c r="N364" t="n">
        <v>0</v>
      </c>
      <c r="O364" t="n">
        <v>0</v>
      </c>
      <c r="P364" t="n">
        <v>0</v>
      </c>
      <c r="Q364" t="n">
        <v>0</v>
      </c>
      <c r="R364" s="2" t="inlineStr"/>
    </row>
    <row r="365" ht="15" customHeight="1">
      <c r="A365" t="inlineStr">
        <is>
          <t>A 62792-2021</t>
        </is>
      </c>
      <c r="B365" s="1" t="n">
        <v>44504</v>
      </c>
      <c r="C365" s="1" t="n">
        <v>45827</v>
      </c>
      <c r="D365" t="inlineStr">
        <is>
          <t>NORRBOTTENS LÄN</t>
        </is>
      </c>
      <c r="E365" t="inlineStr">
        <is>
          <t>PAJALA</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62797-2021</t>
        </is>
      </c>
      <c r="B366" s="1" t="n">
        <v>44504</v>
      </c>
      <c r="C366" s="1" t="n">
        <v>45827</v>
      </c>
      <c r="D366" t="inlineStr">
        <is>
          <t>NORRBOTTENS LÄN</t>
        </is>
      </c>
      <c r="E366" t="inlineStr">
        <is>
          <t>PAJALA</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62763-2021</t>
        </is>
      </c>
      <c r="B367" s="1" t="n">
        <v>44504</v>
      </c>
      <c r="C367" s="1" t="n">
        <v>45827</v>
      </c>
      <c r="D367" t="inlineStr">
        <is>
          <t>NORRBOTTENS LÄN</t>
        </is>
      </c>
      <c r="E367" t="inlineStr">
        <is>
          <t>PAJALA</t>
        </is>
      </c>
      <c r="G367" t="n">
        <v>20.1</v>
      </c>
      <c r="H367" t="n">
        <v>0</v>
      </c>
      <c r="I367" t="n">
        <v>0</v>
      </c>
      <c r="J367" t="n">
        <v>0</v>
      </c>
      <c r="K367" t="n">
        <v>0</v>
      </c>
      <c r="L367" t="n">
        <v>0</v>
      </c>
      <c r="M367" t="n">
        <v>0</v>
      </c>
      <c r="N367" t="n">
        <v>0</v>
      </c>
      <c r="O367" t="n">
        <v>0</v>
      </c>
      <c r="P367" t="n">
        <v>0</v>
      </c>
      <c r="Q367" t="n">
        <v>0</v>
      </c>
      <c r="R367" s="2" t="inlineStr"/>
    </row>
    <row r="368" ht="15" customHeight="1">
      <c r="A368" t="inlineStr">
        <is>
          <t>A 62905-2021</t>
        </is>
      </c>
      <c r="B368" s="1" t="n">
        <v>44504</v>
      </c>
      <c r="C368" s="1" t="n">
        <v>45827</v>
      </c>
      <c r="D368" t="inlineStr">
        <is>
          <t>NORRBOTTENS LÄN</t>
        </is>
      </c>
      <c r="E368" t="inlineStr">
        <is>
          <t>PAJALA</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63115-2021</t>
        </is>
      </c>
      <c r="B369" s="1" t="n">
        <v>44505</v>
      </c>
      <c r="C369" s="1" t="n">
        <v>45827</v>
      </c>
      <c r="D369" t="inlineStr">
        <is>
          <t>NORRBOTTENS LÄN</t>
        </is>
      </c>
      <c r="E369" t="inlineStr">
        <is>
          <t>PAJALA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64979-2021</t>
        </is>
      </c>
      <c r="B370" s="1" t="n">
        <v>44513</v>
      </c>
      <c r="C370" s="1" t="n">
        <v>45827</v>
      </c>
      <c r="D370" t="inlineStr">
        <is>
          <t>NORRBOTTENS LÄN</t>
        </is>
      </c>
      <c r="E370" t="inlineStr">
        <is>
          <t>PAJALA</t>
        </is>
      </c>
      <c r="G370" t="n">
        <v>10.3</v>
      </c>
      <c r="H370" t="n">
        <v>0</v>
      </c>
      <c r="I370" t="n">
        <v>0</v>
      </c>
      <c r="J370" t="n">
        <v>0</v>
      </c>
      <c r="K370" t="n">
        <v>0</v>
      </c>
      <c r="L370" t="n">
        <v>0</v>
      </c>
      <c r="M370" t="n">
        <v>0</v>
      </c>
      <c r="N370" t="n">
        <v>0</v>
      </c>
      <c r="O370" t="n">
        <v>0</v>
      </c>
      <c r="P370" t="n">
        <v>0</v>
      </c>
      <c r="Q370" t="n">
        <v>0</v>
      </c>
      <c r="R370" s="2" t="inlineStr"/>
    </row>
    <row r="371" ht="15" customHeight="1">
      <c r="A371" t="inlineStr">
        <is>
          <t>A 65914-2021</t>
        </is>
      </c>
      <c r="B371" s="1" t="n">
        <v>44517</v>
      </c>
      <c r="C371" s="1" t="n">
        <v>45827</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65931-2021</t>
        </is>
      </c>
      <c r="B372" s="1" t="n">
        <v>44517</v>
      </c>
      <c r="C372" s="1" t="n">
        <v>45827</v>
      </c>
      <c r="D372" t="inlineStr">
        <is>
          <t>NORRBOTTENS LÄN</t>
        </is>
      </c>
      <c r="E372" t="inlineStr">
        <is>
          <t>PAJALA</t>
        </is>
      </c>
      <c r="G372" t="n">
        <v>5</v>
      </c>
      <c r="H372" t="n">
        <v>0</v>
      </c>
      <c r="I372" t="n">
        <v>0</v>
      </c>
      <c r="J372" t="n">
        <v>0</v>
      </c>
      <c r="K372" t="n">
        <v>0</v>
      </c>
      <c r="L372" t="n">
        <v>0</v>
      </c>
      <c r="M372" t="n">
        <v>0</v>
      </c>
      <c r="N372" t="n">
        <v>0</v>
      </c>
      <c r="O372" t="n">
        <v>0</v>
      </c>
      <c r="P372" t="n">
        <v>0</v>
      </c>
      <c r="Q372" t="n">
        <v>0</v>
      </c>
      <c r="R372" s="2" t="inlineStr"/>
    </row>
    <row r="373" ht="15" customHeight="1">
      <c r="A373" t="inlineStr">
        <is>
          <t>A 65976-2021</t>
        </is>
      </c>
      <c r="B373" s="1" t="n">
        <v>44517</v>
      </c>
      <c r="C373" s="1" t="n">
        <v>45827</v>
      </c>
      <c r="D373" t="inlineStr">
        <is>
          <t>NORRBOTTENS LÄN</t>
        </is>
      </c>
      <c r="E373" t="inlineStr">
        <is>
          <t>PAJALA</t>
        </is>
      </c>
      <c r="G373" t="n">
        <v>9</v>
      </c>
      <c r="H373" t="n">
        <v>0</v>
      </c>
      <c r="I373" t="n">
        <v>0</v>
      </c>
      <c r="J373" t="n">
        <v>0</v>
      </c>
      <c r="K373" t="n">
        <v>0</v>
      </c>
      <c r="L373" t="n">
        <v>0</v>
      </c>
      <c r="M373" t="n">
        <v>0</v>
      </c>
      <c r="N373" t="n">
        <v>0</v>
      </c>
      <c r="O373" t="n">
        <v>0</v>
      </c>
      <c r="P373" t="n">
        <v>0</v>
      </c>
      <c r="Q373" t="n">
        <v>0</v>
      </c>
      <c r="R373" s="2" t="inlineStr"/>
    </row>
    <row r="374" ht="15" customHeight="1">
      <c r="A374" t="inlineStr">
        <is>
          <t>A 66326-2021</t>
        </is>
      </c>
      <c r="B374" s="1" t="n">
        <v>44518</v>
      </c>
      <c r="C374" s="1" t="n">
        <v>45827</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66353-2021</t>
        </is>
      </c>
      <c r="B375" s="1" t="n">
        <v>44518</v>
      </c>
      <c r="C375" s="1" t="n">
        <v>45827</v>
      </c>
      <c r="D375" t="inlineStr">
        <is>
          <t>NORRBOTTENS LÄN</t>
        </is>
      </c>
      <c r="E375" t="inlineStr">
        <is>
          <t>PAJALA</t>
        </is>
      </c>
      <c r="G375" t="n">
        <v>22.5</v>
      </c>
      <c r="H375" t="n">
        <v>0</v>
      </c>
      <c r="I375" t="n">
        <v>0</v>
      </c>
      <c r="J375" t="n">
        <v>0</v>
      </c>
      <c r="K375" t="n">
        <v>0</v>
      </c>
      <c r="L375" t="n">
        <v>0</v>
      </c>
      <c r="M375" t="n">
        <v>0</v>
      </c>
      <c r="N375" t="n">
        <v>0</v>
      </c>
      <c r="O375" t="n">
        <v>0</v>
      </c>
      <c r="P375" t="n">
        <v>0</v>
      </c>
      <c r="Q375" t="n">
        <v>0</v>
      </c>
      <c r="R375" s="2" t="inlineStr"/>
    </row>
    <row r="376" ht="15" customHeight="1">
      <c r="A376" t="inlineStr">
        <is>
          <t>A 66767-2021</t>
        </is>
      </c>
      <c r="B376" s="1" t="n">
        <v>44521</v>
      </c>
      <c r="C376" s="1" t="n">
        <v>45827</v>
      </c>
      <c r="D376" t="inlineStr">
        <is>
          <t>NORRBOTTENS LÄN</t>
        </is>
      </c>
      <c r="E376" t="inlineStr">
        <is>
          <t>PAJALA</t>
        </is>
      </c>
      <c r="G376" t="n">
        <v>2.5</v>
      </c>
      <c r="H376" t="n">
        <v>0</v>
      </c>
      <c r="I376" t="n">
        <v>0</v>
      </c>
      <c r="J376" t="n">
        <v>0</v>
      </c>
      <c r="K376" t="n">
        <v>0</v>
      </c>
      <c r="L376" t="n">
        <v>0</v>
      </c>
      <c r="M376" t="n">
        <v>0</v>
      </c>
      <c r="N376" t="n">
        <v>0</v>
      </c>
      <c r="O376" t="n">
        <v>0</v>
      </c>
      <c r="P376" t="n">
        <v>0</v>
      </c>
      <c r="Q376" t="n">
        <v>0</v>
      </c>
      <c r="R376" s="2" t="inlineStr"/>
    </row>
    <row r="377" ht="15" customHeight="1">
      <c r="A377" t="inlineStr">
        <is>
          <t>A 66766-2021</t>
        </is>
      </c>
      <c r="B377" s="1" t="n">
        <v>44521</v>
      </c>
      <c r="C377" s="1" t="n">
        <v>45827</v>
      </c>
      <c r="D377" t="inlineStr">
        <is>
          <t>NORRBOTTENS LÄN</t>
        </is>
      </c>
      <c r="E377" t="inlineStr">
        <is>
          <t>PAJALA</t>
        </is>
      </c>
      <c r="G377" t="n">
        <v>2.3</v>
      </c>
      <c r="H377" t="n">
        <v>0</v>
      </c>
      <c r="I377" t="n">
        <v>0</v>
      </c>
      <c r="J377" t="n">
        <v>0</v>
      </c>
      <c r="K377" t="n">
        <v>0</v>
      </c>
      <c r="L377" t="n">
        <v>0</v>
      </c>
      <c r="M377" t="n">
        <v>0</v>
      </c>
      <c r="N377" t="n">
        <v>0</v>
      </c>
      <c r="O377" t="n">
        <v>0</v>
      </c>
      <c r="P377" t="n">
        <v>0</v>
      </c>
      <c r="Q377" t="n">
        <v>0</v>
      </c>
      <c r="R377" s="2" t="inlineStr"/>
    </row>
    <row r="378" ht="15" customHeight="1">
      <c r="A378" t="inlineStr">
        <is>
          <t>A 66914-2021</t>
        </is>
      </c>
      <c r="B378" s="1" t="n">
        <v>44522</v>
      </c>
      <c r="C378" s="1" t="n">
        <v>45827</v>
      </c>
      <c r="D378" t="inlineStr">
        <is>
          <t>NORRBOTTENS LÄN</t>
        </is>
      </c>
      <c r="E378" t="inlineStr">
        <is>
          <t>PAJALA</t>
        </is>
      </c>
      <c r="G378" t="n">
        <v>12</v>
      </c>
      <c r="H378" t="n">
        <v>0</v>
      </c>
      <c r="I378" t="n">
        <v>0</v>
      </c>
      <c r="J378" t="n">
        <v>0</v>
      </c>
      <c r="K378" t="n">
        <v>0</v>
      </c>
      <c r="L378" t="n">
        <v>0</v>
      </c>
      <c r="M378" t="n">
        <v>0</v>
      </c>
      <c r="N378" t="n">
        <v>0</v>
      </c>
      <c r="O378" t="n">
        <v>0</v>
      </c>
      <c r="P378" t="n">
        <v>0</v>
      </c>
      <c r="Q378" t="n">
        <v>0</v>
      </c>
      <c r="R378" s="2" t="inlineStr"/>
    </row>
    <row r="379" ht="15" customHeight="1">
      <c r="A379" t="inlineStr">
        <is>
          <t>A 67272-2021</t>
        </is>
      </c>
      <c r="B379" s="1" t="n">
        <v>44523</v>
      </c>
      <c r="C379" s="1" t="n">
        <v>45827</v>
      </c>
      <c r="D379" t="inlineStr">
        <is>
          <t>NORRBOTTENS LÄN</t>
        </is>
      </c>
      <c r="E379" t="inlineStr">
        <is>
          <t>PAJALA</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69749-2021</t>
        </is>
      </c>
      <c r="B380" s="1" t="n">
        <v>44532</v>
      </c>
      <c r="C380" s="1" t="n">
        <v>45827</v>
      </c>
      <c r="D380" t="inlineStr">
        <is>
          <t>NORRBOTTENS LÄN</t>
        </is>
      </c>
      <c r="E380" t="inlineStr">
        <is>
          <t>PAJALA</t>
        </is>
      </c>
      <c r="F380" t="inlineStr">
        <is>
          <t>Allmännings- och besparingsskogar</t>
        </is>
      </c>
      <c r="G380" t="n">
        <v>5</v>
      </c>
      <c r="H380" t="n">
        <v>0</v>
      </c>
      <c r="I380" t="n">
        <v>0</v>
      </c>
      <c r="J380" t="n">
        <v>0</v>
      </c>
      <c r="K380" t="n">
        <v>0</v>
      </c>
      <c r="L380" t="n">
        <v>0</v>
      </c>
      <c r="M380" t="n">
        <v>0</v>
      </c>
      <c r="N380" t="n">
        <v>0</v>
      </c>
      <c r="O380" t="n">
        <v>0</v>
      </c>
      <c r="P380" t="n">
        <v>0</v>
      </c>
      <c r="Q380" t="n">
        <v>0</v>
      </c>
      <c r="R380" s="2" t="inlineStr"/>
    </row>
    <row r="381" ht="15" customHeight="1">
      <c r="A381" t="inlineStr">
        <is>
          <t>A 71904-2021</t>
        </is>
      </c>
      <c r="B381" s="1" t="n">
        <v>44539</v>
      </c>
      <c r="C381" s="1" t="n">
        <v>45827</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73128-2021</t>
        </is>
      </c>
      <c r="B382" s="1" t="n">
        <v>44547</v>
      </c>
      <c r="C382" s="1" t="n">
        <v>45827</v>
      </c>
      <c r="D382" t="inlineStr">
        <is>
          <t>NORRBOTTENS LÄN</t>
        </is>
      </c>
      <c r="E382" t="inlineStr">
        <is>
          <t>PAJALA</t>
        </is>
      </c>
      <c r="G382" t="n">
        <v>10.6</v>
      </c>
      <c r="H382" t="n">
        <v>0</v>
      </c>
      <c r="I382" t="n">
        <v>0</v>
      </c>
      <c r="J382" t="n">
        <v>0</v>
      </c>
      <c r="K382" t="n">
        <v>0</v>
      </c>
      <c r="L382" t="n">
        <v>0</v>
      </c>
      <c r="M382" t="n">
        <v>0</v>
      </c>
      <c r="N382" t="n">
        <v>0</v>
      </c>
      <c r="O382" t="n">
        <v>0</v>
      </c>
      <c r="P382" t="n">
        <v>0</v>
      </c>
      <c r="Q382" t="n">
        <v>0</v>
      </c>
      <c r="R382" s="2" t="inlineStr"/>
    </row>
    <row r="383" ht="15" customHeight="1">
      <c r="A383" t="inlineStr">
        <is>
          <t>A 73180-2021</t>
        </is>
      </c>
      <c r="B383" s="1" t="n">
        <v>44550</v>
      </c>
      <c r="C383" s="1" t="n">
        <v>45827</v>
      </c>
      <c r="D383" t="inlineStr">
        <is>
          <t>NORRBOTTENS LÄN</t>
        </is>
      </c>
      <c r="E383" t="inlineStr">
        <is>
          <t>PAJALA</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73713-2021</t>
        </is>
      </c>
      <c r="B384" s="1" t="n">
        <v>44552</v>
      </c>
      <c r="C384" s="1" t="n">
        <v>45827</v>
      </c>
      <c r="D384" t="inlineStr">
        <is>
          <t>NORRBOTTENS LÄN</t>
        </is>
      </c>
      <c r="E384" t="inlineStr">
        <is>
          <t>PAJALA</t>
        </is>
      </c>
      <c r="F384" t="inlineStr">
        <is>
          <t>Sveaskog</t>
        </is>
      </c>
      <c r="G384" t="n">
        <v>13.3</v>
      </c>
      <c r="H384" t="n">
        <v>0</v>
      </c>
      <c r="I384" t="n">
        <v>0</v>
      </c>
      <c r="J384" t="n">
        <v>0</v>
      </c>
      <c r="K384" t="n">
        <v>0</v>
      </c>
      <c r="L384" t="n">
        <v>0</v>
      </c>
      <c r="M384" t="n">
        <v>0</v>
      </c>
      <c r="N384" t="n">
        <v>0</v>
      </c>
      <c r="O384" t="n">
        <v>0</v>
      </c>
      <c r="P384" t="n">
        <v>0</v>
      </c>
      <c r="Q384" t="n">
        <v>0</v>
      </c>
      <c r="R384" s="2" t="inlineStr"/>
    </row>
    <row r="385" ht="15" customHeight="1">
      <c r="A385" t="inlineStr">
        <is>
          <t>A 73716-2021</t>
        </is>
      </c>
      <c r="B385" s="1" t="n">
        <v>44552</v>
      </c>
      <c r="C385" s="1" t="n">
        <v>45827</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45827</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684-2022</t>
        </is>
      </c>
      <c r="B387" s="1" t="n">
        <v>44568</v>
      </c>
      <c r="C387" s="1" t="n">
        <v>45827</v>
      </c>
      <c r="D387" t="inlineStr">
        <is>
          <t>NORRBOTTENS LÄN</t>
        </is>
      </c>
      <c r="E387" t="inlineStr">
        <is>
          <t>PAJALA</t>
        </is>
      </c>
      <c r="G387" t="n">
        <v>20.5</v>
      </c>
      <c r="H387" t="n">
        <v>0</v>
      </c>
      <c r="I387" t="n">
        <v>0</v>
      </c>
      <c r="J387" t="n">
        <v>0</v>
      </c>
      <c r="K387" t="n">
        <v>0</v>
      </c>
      <c r="L387" t="n">
        <v>0</v>
      </c>
      <c r="M387" t="n">
        <v>0</v>
      </c>
      <c r="N387" t="n">
        <v>0</v>
      </c>
      <c r="O387" t="n">
        <v>0</v>
      </c>
      <c r="P387" t="n">
        <v>0</v>
      </c>
      <c r="Q387" t="n">
        <v>0</v>
      </c>
      <c r="R387" s="2" t="inlineStr"/>
    </row>
    <row r="388" ht="15" customHeight="1">
      <c r="A388" t="inlineStr">
        <is>
          <t>A 1770-2022</t>
        </is>
      </c>
      <c r="B388" s="1" t="n">
        <v>44574</v>
      </c>
      <c r="C388" s="1" t="n">
        <v>45827</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2175-2022</t>
        </is>
      </c>
      <c r="B389" s="1" t="n">
        <v>44578</v>
      </c>
      <c r="C389" s="1" t="n">
        <v>45827</v>
      </c>
      <c r="D389" t="inlineStr">
        <is>
          <t>NORRBOTTENS LÄN</t>
        </is>
      </c>
      <c r="E389" t="inlineStr">
        <is>
          <t>PAJALA</t>
        </is>
      </c>
      <c r="G389" t="n">
        <v>3</v>
      </c>
      <c r="H389" t="n">
        <v>0</v>
      </c>
      <c r="I389" t="n">
        <v>0</v>
      </c>
      <c r="J389" t="n">
        <v>0</v>
      </c>
      <c r="K389" t="n">
        <v>0</v>
      </c>
      <c r="L389" t="n">
        <v>0</v>
      </c>
      <c r="M389" t="n">
        <v>0</v>
      </c>
      <c r="N389" t="n">
        <v>0</v>
      </c>
      <c r="O389" t="n">
        <v>0</v>
      </c>
      <c r="P389" t="n">
        <v>0</v>
      </c>
      <c r="Q389" t="n">
        <v>0</v>
      </c>
      <c r="R389" s="2" t="inlineStr"/>
    </row>
    <row r="390" ht="15" customHeight="1">
      <c r="A390" t="inlineStr">
        <is>
          <t>A 3138-2022</t>
        </is>
      </c>
      <c r="B390" s="1" t="n">
        <v>44582</v>
      </c>
      <c r="C390" s="1" t="n">
        <v>45827</v>
      </c>
      <c r="D390" t="inlineStr">
        <is>
          <t>NORRBOTTENS LÄN</t>
        </is>
      </c>
      <c r="E390" t="inlineStr">
        <is>
          <t>PAJALA</t>
        </is>
      </c>
      <c r="G390" t="n">
        <v>7</v>
      </c>
      <c r="H390" t="n">
        <v>0</v>
      </c>
      <c r="I390" t="n">
        <v>0</v>
      </c>
      <c r="J390" t="n">
        <v>0</v>
      </c>
      <c r="K390" t="n">
        <v>0</v>
      </c>
      <c r="L390" t="n">
        <v>0</v>
      </c>
      <c r="M390" t="n">
        <v>0</v>
      </c>
      <c r="N390" t="n">
        <v>0</v>
      </c>
      <c r="O390" t="n">
        <v>0</v>
      </c>
      <c r="P390" t="n">
        <v>0</v>
      </c>
      <c r="Q390" t="n">
        <v>0</v>
      </c>
      <c r="R390" s="2" t="inlineStr"/>
    </row>
    <row r="391" ht="15" customHeight="1">
      <c r="A391" t="inlineStr">
        <is>
          <t>A 4062-2022</t>
        </is>
      </c>
      <c r="B391" s="1" t="n">
        <v>44587</v>
      </c>
      <c r="C391" s="1" t="n">
        <v>45827</v>
      </c>
      <c r="D391" t="inlineStr">
        <is>
          <t>NORRBOTTENS LÄN</t>
        </is>
      </c>
      <c r="E391" t="inlineStr">
        <is>
          <t>PAJALA</t>
        </is>
      </c>
      <c r="F391" t="inlineStr">
        <is>
          <t>Allmännings- och besparingsskogar</t>
        </is>
      </c>
      <c r="G391" t="n">
        <v>65.8</v>
      </c>
      <c r="H391" t="n">
        <v>0</v>
      </c>
      <c r="I391" t="n">
        <v>0</v>
      </c>
      <c r="J391" t="n">
        <v>0</v>
      </c>
      <c r="K391" t="n">
        <v>0</v>
      </c>
      <c r="L391" t="n">
        <v>0</v>
      </c>
      <c r="M391" t="n">
        <v>0</v>
      </c>
      <c r="N391" t="n">
        <v>0</v>
      </c>
      <c r="O391" t="n">
        <v>0</v>
      </c>
      <c r="P391" t="n">
        <v>0</v>
      </c>
      <c r="Q391" t="n">
        <v>0</v>
      </c>
      <c r="R391" s="2" t="inlineStr"/>
    </row>
    <row r="392" ht="15" customHeight="1">
      <c r="A392" t="inlineStr">
        <is>
          <t>A 4107-2022</t>
        </is>
      </c>
      <c r="B392" s="1" t="n">
        <v>44588</v>
      </c>
      <c r="C392" s="1" t="n">
        <v>45827</v>
      </c>
      <c r="D392" t="inlineStr">
        <is>
          <t>NORRBOTTENS LÄN</t>
        </is>
      </c>
      <c r="E392" t="inlineStr">
        <is>
          <t>PAJALA</t>
        </is>
      </c>
      <c r="F392" t="inlineStr">
        <is>
          <t>Allmännings- och besparingsskogar</t>
        </is>
      </c>
      <c r="G392" t="n">
        <v>15.8</v>
      </c>
      <c r="H392" t="n">
        <v>0</v>
      </c>
      <c r="I392" t="n">
        <v>0</v>
      </c>
      <c r="J392" t="n">
        <v>0</v>
      </c>
      <c r="K392" t="n">
        <v>0</v>
      </c>
      <c r="L392" t="n">
        <v>0</v>
      </c>
      <c r="M392" t="n">
        <v>0</v>
      </c>
      <c r="N392" t="n">
        <v>0</v>
      </c>
      <c r="O392" t="n">
        <v>0</v>
      </c>
      <c r="P392" t="n">
        <v>0</v>
      </c>
      <c r="Q392" t="n">
        <v>0</v>
      </c>
      <c r="R392" s="2" t="inlineStr"/>
    </row>
    <row r="393" ht="15" customHeight="1">
      <c r="A393" t="inlineStr">
        <is>
          <t>A 4847-2022</t>
        </is>
      </c>
      <c r="B393" s="1" t="n">
        <v>44592</v>
      </c>
      <c r="C393" s="1" t="n">
        <v>45827</v>
      </c>
      <c r="D393" t="inlineStr">
        <is>
          <t>NORRBOTTENS LÄN</t>
        </is>
      </c>
      <c r="E393" t="inlineStr">
        <is>
          <t>PAJALA</t>
        </is>
      </c>
      <c r="G393" t="n">
        <v>2.8</v>
      </c>
      <c r="H393" t="n">
        <v>0</v>
      </c>
      <c r="I393" t="n">
        <v>0</v>
      </c>
      <c r="J393" t="n">
        <v>0</v>
      </c>
      <c r="K393" t="n">
        <v>0</v>
      </c>
      <c r="L393" t="n">
        <v>0</v>
      </c>
      <c r="M393" t="n">
        <v>0</v>
      </c>
      <c r="N393" t="n">
        <v>0</v>
      </c>
      <c r="O393" t="n">
        <v>0</v>
      </c>
      <c r="P393" t="n">
        <v>0</v>
      </c>
      <c r="Q393" t="n">
        <v>0</v>
      </c>
      <c r="R393" s="2" t="inlineStr"/>
    </row>
    <row r="394" ht="15" customHeight="1">
      <c r="A394" t="inlineStr">
        <is>
          <t>A 4848-2022</t>
        </is>
      </c>
      <c r="B394" s="1" t="n">
        <v>44592</v>
      </c>
      <c r="C394" s="1" t="n">
        <v>45827</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6913-2022</t>
        </is>
      </c>
      <c r="B395" s="1" t="n">
        <v>44602</v>
      </c>
      <c r="C395" s="1" t="n">
        <v>45827</v>
      </c>
      <c r="D395" t="inlineStr">
        <is>
          <t>NORRBOTTENS LÄN</t>
        </is>
      </c>
      <c r="E395" t="inlineStr">
        <is>
          <t>PAJALA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6914-2022</t>
        </is>
      </c>
      <c r="B396" s="1" t="n">
        <v>44602</v>
      </c>
      <c r="C396" s="1" t="n">
        <v>45827</v>
      </c>
      <c r="D396" t="inlineStr">
        <is>
          <t>NORRBOTTENS LÄN</t>
        </is>
      </c>
      <c r="E396" t="inlineStr">
        <is>
          <t>PAJALA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7673-2022</t>
        </is>
      </c>
      <c r="B397" s="1" t="n">
        <v>44607</v>
      </c>
      <c r="C397" s="1" t="n">
        <v>45827</v>
      </c>
      <c r="D397" t="inlineStr">
        <is>
          <t>NORRBOTTENS LÄN</t>
        </is>
      </c>
      <c r="E397" t="inlineStr">
        <is>
          <t>PAJALA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7954-2022</t>
        </is>
      </c>
      <c r="B398" s="1" t="n">
        <v>44608</v>
      </c>
      <c r="C398" s="1" t="n">
        <v>45827</v>
      </c>
      <c r="D398" t="inlineStr">
        <is>
          <t>NORRBOTTENS LÄN</t>
        </is>
      </c>
      <c r="E398" t="inlineStr">
        <is>
          <t>PAJALA</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9031-2022</t>
        </is>
      </c>
      <c r="B399" s="1" t="n">
        <v>44615</v>
      </c>
      <c r="C399" s="1" t="n">
        <v>45827</v>
      </c>
      <c r="D399" t="inlineStr">
        <is>
          <t>NORRBOTTENS LÄN</t>
        </is>
      </c>
      <c r="E399" t="inlineStr">
        <is>
          <t>PAJALA</t>
        </is>
      </c>
      <c r="G399" t="n">
        <v>1.7</v>
      </c>
      <c r="H399" t="n">
        <v>0</v>
      </c>
      <c r="I399" t="n">
        <v>0</v>
      </c>
      <c r="J399" t="n">
        <v>0</v>
      </c>
      <c r="K399" t="n">
        <v>0</v>
      </c>
      <c r="L399" t="n">
        <v>0</v>
      </c>
      <c r="M399" t="n">
        <v>0</v>
      </c>
      <c r="N399" t="n">
        <v>0</v>
      </c>
      <c r="O399" t="n">
        <v>0</v>
      </c>
      <c r="P399" t="n">
        <v>0</v>
      </c>
      <c r="Q399" t="n">
        <v>0</v>
      </c>
      <c r="R399" s="2" t="inlineStr"/>
    </row>
    <row r="400" ht="15" customHeight="1">
      <c r="A400" t="inlineStr">
        <is>
          <t>A 10395-2022</t>
        </is>
      </c>
      <c r="B400" s="1" t="n">
        <v>44622</v>
      </c>
      <c r="C400" s="1" t="n">
        <v>45827</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10778-2022</t>
        </is>
      </c>
      <c r="B401" s="1" t="n">
        <v>44627</v>
      </c>
      <c r="C401" s="1" t="n">
        <v>45827</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10784-2022</t>
        </is>
      </c>
      <c r="B402" s="1" t="n">
        <v>44627</v>
      </c>
      <c r="C402" s="1" t="n">
        <v>45827</v>
      </c>
      <c r="D402" t="inlineStr">
        <is>
          <t>NORRBOTTENS LÄN</t>
        </is>
      </c>
      <c r="E402" t="inlineStr">
        <is>
          <t>PAJALA</t>
        </is>
      </c>
      <c r="G402" t="n">
        <v>4.3</v>
      </c>
      <c r="H402" t="n">
        <v>0</v>
      </c>
      <c r="I402" t="n">
        <v>0</v>
      </c>
      <c r="J402" t="n">
        <v>0</v>
      </c>
      <c r="K402" t="n">
        <v>0</v>
      </c>
      <c r="L402" t="n">
        <v>0</v>
      </c>
      <c r="M402" t="n">
        <v>0</v>
      </c>
      <c r="N402" t="n">
        <v>0</v>
      </c>
      <c r="O402" t="n">
        <v>0</v>
      </c>
      <c r="P402" t="n">
        <v>0</v>
      </c>
      <c r="Q402" t="n">
        <v>0</v>
      </c>
      <c r="R402" s="2" t="inlineStr"/>
    </row>
    <row r="403" ht="15" customHeight="1">
      <c r="A403" t="inlineStr">
        <is>
          <t>A 10798-2022</t>
        </is>
      </c>
      <c r="B403" s="1" t="n">
        <v>44627</v>
      </c>
      <c r="C403" s="1" t="n">
        <v>45827</v>
      </c>
      <c r="D403" t="inlineStr">
        <is>
          <t>NORRBOTTENS LÄN</t>
        </is>
      </c>
      <c r="E403" t="inlineStr">
        <is>
          <t>PAJALA</t>
        </is>
      </c>
      <c r="G403" t="n">
        <v>18.1</v>
      </c>
      <c r="H403" t="n">
        <v>0</v>
      </c>
      <c r="I403" t="n">
        <v>0</v>
      </c>
      <c r="J403" t="n">
        <v>0</v>
      </c>
      <c r="K403" t="n">
        <v>0</v>
      </c>
      <c r="L403" t="n">
        <v>0</v>
      </c>
      <c r="M403" t="n">
        <v>0</v>
      </c>
      <c r="N403" t="n">
        <v>0</v>
      </c>
      <c r="O403" t="n">
        <v>0</v>
      </c>
      <c r="P403" t="n">
        <v>0</v>
      </c>
      <c r="Q403" t="n">
        <v>0</v>
      </c>
      <c r="R403" s="2" t="inlineStr"/>
    </row>
    <row r="404" ht="15" customHeight="1">
      <c r="A404" t="inlineStr">
        <is>
          <t>A 10788-2022</t>
        </is>
      </c>
      <c r="B404" s="1" t="n">
        <v>44627</v>
      </c>
      <c r="C404" s="1" t="n">
        <v>45827</v>
      </c>
      <c r="D404" t="inlineStr">
        <is>
          <t>NORRBOTTENS LÄN</t>
        </is>
      </c>
      <c r="E404" t="inlineStr">
        <is>
          <t>PAJALA</t>
        </is>
      </c>
      <c r="G404" t="n">
        <v>12.8</v>
      </c>
      <c r="H404" t="n">
        <v>0</v>
      </c>
      <c r="I404" t="n">
        <v>0</v>
      </c>
      <c r="J404" t="n">
        <v>0</v>
      </c>
      <c r="K404" t="n">
        <v>0</v>
      </c>
      <c r="L404" t="n">
        <v>0</v>
      </c>
      <c r="M404" t="n">
        <v>0</v>
      </c>
      <c r="N404" t="n">
        <v>0</v>
      </c>
      <c r="O404" t="n">
        <v>0</v>
      </c>
      <c r="P404" t="n">
        <v>0</v>
      </c>
      <c r="Q404" t="n">
        <v>0</v>
      </c>
      <c r="R404" s="2" t="inlineStr"/>
    </row>
    <row r="405" ht="15" customHeight="1">
      <c r="A405" t="inlineStr">
        <is>
          <t>A 11208-2022</t>
        </is>
      </c>
      <c r="B405" s="1" t="n">
        <v>44629</v>
      </c>
      <c r="C405" s="1" t="n">
        <v>45827</v>
      </c>
      <c r="D405" t="inlineStr">
        <is>
          <t>NORRBOTTENS LÄN</t>
        </is>
      </c>
      <c r="E405" t="inlineStr">
        <is>
          <t>PAJALA</t>
        </is>
      </c>
      <c r="F405" t="inlineStr">
        <is>
          <t>Allmännings- och besparingsskogar</t>
        </is>
      </c>
      <c r="G405" t="n">
        <v>2.2</v>
      </c>
      <c r="H405" t="n">
        <v>0</v>
      </c>
      <c r="I405" t="n">
        <v>0</v>
      </c>
      <c r="J405" t="n">
        <v>0</v>
      </c>
      <c r="K405" t="n">
        <v>0</v>
      </c>
      <c r="L405" t="n">
        <v>0</v>
      </c>
      <c r="M405" t="n">
        <v>0</v>
      </c>
      <c r="N405" t="n">
        <v>0</v>
      </c>
      <c r="O405" t="n">
        <v>0</v>
      </c>
      <c r="P405" t="n">
        <v>0</v>
      </c>
      <c r="Q405" t="n">
        <v>0</v>
      </c>
      <c r="R405" s="2" t="inlineStr"/>
    </row>
    <row r="406" ht="15" customHeight="1">
      <c r="A406" t="inlineStr">
        <is>
          <t>A 11717-2022</t>
        </is>
      </c>
      <c r="B406" s="1" t="n">
        <v>44634</v>
      </c>
      <c r="C406" s="1" t="n">
        <v>45827</v>
      </c>
      <c r="D406" t="inlineStr">
        <is>
          <t>NORRBOTTENS LÄN</t>
        </is>
      </c>
      <c r="E406" t="inlineStr">
        <is>
          <t>PAJALA</t>
        </is>
      </c>
      <c r="F406" t="inlineStr">
        <is>
          <t>Allmännings- och besparingsskogar</t>
        </is>
      </c>
      <c r="G406" t="n">
        <v>1.1</v>
      </c>
      <c r="H406" t="n">
        <v>0</v>
      </c>
      <c r="I406" t="n">
        <v>0</v>
      </c>
      <c r="J406" t="n">
        <v>0</v>
      </c>
      <c r="K406" t="n">
        <v>0</v>
      </c>
      <c r="L406" t="n">
        <v>0</v>
      </c>
      <c r="M406" t="n">
        <v>0</v>
      </c>
      <c r="N406" t="n">
        <v>0</v>
      </c>
      <c r="O406" t="n">
        <v>0</v>
      </c>
      <c r="P406" t="n">
        <v>0</v>
      </c>
      <c r="Q406" t="n">
        <v>0</v>
      </c>
      <c r="R406" s="2" t="inlineStr"/>
    </row>
    <row r="407" ht="15" customHeight="1">
      <c r="A407" t="inlineStr">
        <is>
          <t>A 12682-2022</t>
        </is>
      </c>
      <c r="B407" s="1" t="n">
        <v>44641</v>
      </c>
      <c r="C407" s="1" t="n">
        <v>45827</v>
      </c>
      <c r="D407" t="inlineStr">
        <is>
          <t>NORRBOTTENS LÄN</t>
        </is>
      </c>
      <c r="E407" t="inlineStr">
        <is>
          <t>PAJALA</t>
        </is>
      </c>
      <c r="G407" t="n">
        <v>6.6</v>
      </c>
      <c r="H407" t="n">
        <v>0</v>
      </c>
      <c r="I407" t="n">
        <v>0</v>
      </c>
      <c r="J407" t="n">
        <v>0</v>
      </c>
      <c r="K407" t="n">
        <v>0</v>
      </c>
      <c r="L407" t="n">
        <v>0</v>
      </c>
      <c r="M407" t="n">
        <v>0</v>
      </c>
      <c r="N407" t="n">
        <v>0</v>
      </c>
      <c r="O407" t="n">
        <v>0</v>
      </c>
      <c r="P407" t="n">
        <v>0</v>
      </c>
      <c r="Q407" t="n">
        <v>0</v>
      </c>
      <c r="R407" s="2" t="inlineStr"/>
    </row>
    <row r="408" ht="15" customHeight="1">
      <c r="A408" t="inlineStr">
        <is>
          <t>A 12834-2022</t>
        </is>
      </c>
      <c r="B408" s="1" t="n">
        <v>44642</v>
      </c>
      <c r="C408" s="1" t="n">
        <v>45827</v>
      </c>
      <c r="D408" t="inlineStr">
        <is>
          <t>NORRBOTTENS LÄN</t>
        </is>
      </c>
      <c r="E408" t="inlineStr">
        <is>
          <t>PAJALA</t>
        </is>
      </c>
      <c r="G408" t="n">
        <v>9</v>
      </c>
      <c r="H408" t="n">
        <v>0</v>
      </c>
      <c r="I408" t="n">
        <v>0</v>
      </c>
      <c r="J408" t="n">
        <v>0</v>
      </c>
      <c r="K408" t="n">
        <v>0</v>
      </c>
      <c r="L408" t="n">
        <v>0</v>
      </c>
      <c r="M408" t="n">
        <v>0</v>
      </c>
      <c r="N408" t="n">
        <v>0</v>
      </c>
      <c r="O408" t="n">
        <v>0</v>
      </c>
      <c r="P408" t="n">
        <v>0</v>
      </c>
      <c r="Q408" t="n">
        <v>0</v>
      </c>
      <c r="R408" s="2" t="inlineStr"/>
    </row>
    <row r="409" ht="15" customHeight="1">
      <c r="A409" t="inlineStr">
        <is>
          <t>A 15796-2022</t>
        </is>
      </c>
      <c r="B409" s="1" t="n">
        <v>44663</v>
      </c>
      <c r="C409" s="1" t="n">
        <v>45827</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15798-2022</t>
        </is>
      </c>
      <c r="B410" s="1" t="n">
        <v>44663</v>
      </c>
      <c r="C410" s="1" t="n">
        <v>45827</v>
      </c>
      <c r="D410" t="inlineStr">
        <is>
          <t>NORRBOTTENS LÄN</t>
        </is>
      </c>
      <c r="E410" t="inlineStr">
        <is>
          <t>PAJALA</t>
        </is>
      </c>
      <c r="G410" t="n">
        <v>5.1</v>
      </c>
      <c r="H410" t="n">
        <v>0</v>
      </c>
      <c r="I410" t="n">
        <v>0</v>
      </c>
      <c r="J410" t="n">
        <v>0</v>
      </c>
      <c r="K410" t="n">
        <v>0</v>
      </c>
      <c r="L410" t="n">
        <v>0</v>
      </c>
      <c r="M410" t="n">
        <v>0</v>
      </c>
      <c r="N410" t="n">
        <v>0</v>
      </c>
      <c r="O410" t="n">
        <v>0</v>
      </c>
      <c r="P410" t="n">
        <v>0</v>
      </c>
      <c r="Q410" t="n">
        <v>0</v>
      </c>
      <c r="R410" s="2" t="inlineStr"/>
    </row>
    <row r="411" ht="15" customHeight="1">
      <c r="A411" t="inlineStr">
        <is>
          <t>A 15800-2022</t>
        </is>
      </c>
      <c r="B411" s="1" t="n">
        <v>44663</v>
      </c>
      <c r="C411" s="1" t="n">
        <v>45827</v>
      </c>
      <c r="D411" t="inlineStr">
        <is>
          <t>NORRBOTTENS LÄN</t>
        </is>
      </c>
      <c r="E411" t="inlineStr">
        <is>
          <t>PAJALA</t>
        </is>
      </c>
      <c r="G411" t="n">
        <v>0.5</v>
      </c>
      <c r="H411" t="n">
        <v>0</v>
      </c>
      <c r="I411" t="n">
        <v>0</v>
      </c>
      <c r="J411" t="n">
        <v>0</v>
      </c>
      <c r="K411" t="n">
        <v>0</v>
      </c>
      <c r="L411" t="n">
        <v>0</v>
      </c>
      <c r="M411" t="n">
        <v>0</v>
      </c>
      <c r="N411" t="n">
        <v>0</v>
      </c>
      <c r="O411" t="n">
        <v>0</v>
      </c>
      <c r="P411" t="n">
        <v>0</v>
      </c>
      <c r="Q411" t="n">
        <v>0</v>
      </c>
      <c r="R411" s="2" t="inlineStr"/>
    </row>
    <row r="412" ht="15" customHeight="1">
      <c r="A412" t="inlineStr">
        <is>
          <t>A 18129-2022</t>
        </is>
      </c>
      <c r="B412" s="1" t="n">
        <v>44684</v>
      </c>
      <c r="C412" s="1" t="n">
        <v>45827</v>
      </c>
      <c r="D412" t="inlineStr">
        <is>
          <t>NORRBOTTENS LÄN</t>
        </is>
      </c>
      <c r="E412" t="inlineStr">
        <is>
          <t>PAJALA</t>
        </is>
      </c>
      <c r="G412" t="n">
        <v>24.3</v>
      </c>
      <c r="H412" t="n">
        <v>0</v>
      </c>
      <c r="I412" t="n">
        <v>0</v>
      </c>
      <c r="J412" t="n">
        <v>0</v>
      </c>
      <c r="K412" t="n">
        <v>0</v>
      </c>
      <c r="L412" t="n">
        <v>0</v>
      </c>
      <c r="M412" t="n">
        <v>0</v>
      </c>
      <c r="N412" t="n">
        <v>0</v>
      </c>
      <c r="O412" t="n">
        <v>0</v>
      </c>
      <c r="P412" t="n">
        <v>0</v>
      </c>
      <c r="Q412" t="n">
        <v>0</v>
      </c>
      <c r="R412" s="2" t="inlineStr"/>
    </row>
    <row r="413" ht="15" customHeight="1">
      <c r="A413" t="inlineStr">
        <is>
          <t>A 18137-2022</t>
        </is>
      </c>
      <c r="B413" s="1" t="n">
        <v>44684</v>
      </c>
      <c r="C413" s="1" t="n">
        <v>45827</v>
      </c>
      <c r="D413" t="inlineStr">
        <is>
          <t>NORRBOTTENS LÄN</t>
        </is>
      </c>
      <c r="E413" t="inlineStr">
        <is>
          <t>PAJALA</t>
        </is>
      </c>
      <c r="G413" t="n">
        <v>19.1</v>
      </c>
      <c r="H413" t="n">
        <v>0</v>
      </c>
      <c r="I413" t="n">
        <v>0</v>
      </c>
      <c r="J413" t="n">
        <v>0</v>
      </c>
      <c r="K413" t="n">
        <v>0</v>
      </c>
      <c r="L413" t="n">
        <v>0</v>
      </c>
      <c r="M413" t="n">
        <v>0</v>
      </c>
      <c r="N413" t="n">
        <v>0</v>
      </c>
      <c r="O413" t="n">
        <v>0</v>
      </c>
      <c r="P413" t="n">
        <v>0</v>
      </c>
      <c r="Q413" t="n">
        <v>0</v>
      </c>
      <c r="R413" s="2" t="inlineStr"/>
    </row>
    <row r="414" ht="15" customHeight="1">
      <c r="A414" t="inlineStr">
        <is>
          <t>A 18742-2022</t>
        </is>
      </c>
      <c r="B414" s="1" t="n">
        <v>44687</v>
      </c>
      <c r="C414" s="1" t="n">
        <v>45827</v>
      </c>
      <c r="D414" t="inlineStr">
        <is>
          <t>NORRBOTTENS LÄN</t>
        </is>
      </c>
      <c r="E414" t="inlineStr">
        <is>
          <t>PAJALA</t>
        </is>
      </c>
      <c r="F414" t="inlineStr">
        <is>
          <t>SCA</t>
        </is>
      </c>
      <c r="G414" t="n">
        <v>92.09999999999999</v>
      </c>
      <c r="H414" t="n">
        <v>0</v>
      </c>
      <c r="I414" t="n">
        <v>0</v>
      </c>
      <c r="J414" t="n">
        <v>0</v>
      </c>
      <c r="K414" t="n">
        <v>0</v>
      </c>
      <c r="L414" t="n">
        <v>0</v>
      </c>
      <c r="M414" t="n">
        <v>0</v>
      </c>
      <c r="N414" t="n">
        <v>0</v>
      </c>
      <c r="O414" t="n">
        <v>0</v>
      </c>
      <c r="P414" t="n">
        <v>0</v>
      </c>
      <c r="Q414" t="n">
        <v>0</v>
      </c>
      <c r="R414" s="2" t="inlineStr"/>
    </row>
    <row r="415" ht="15" customHeight="1">
      <c r="A415" t="inlineStr">
        <is>
          <t>A 19219-2022</t>
        </is>
      </c>
      <c r="B415" s="1" t="n">
        <v>44691</v>
      </c>
      <c r="C415" s="1" t="n">
        <v>45827</v>
      </c>
      <c r="D415" t="inlineStr">
        <is>
          <t>NORRBOTTENS LÄN</t>
        </is>
      </c>
      <c r="E415" t="inlineStr">
        <is>
          <t>PAJALA</t>
        </is>
      </c>
      <c r="G415" t="n">
        <v>1</v>
      </c>
      <c r="H415" t="n">
        <v>0</v>
      </c>
      <c r="I415" t="n">
        <v>0</v>
      </c>
      <c r="J415" t="n">
        <v>0</v>
      </c>
      <c r="K415" t="n">
        <v>0</v>
      </c>
      <c r="L415" t="n">
        <v>0</v>
      </c>
      <c r="M415" t="n">
        <v>0</v>
      </c>
      <c r="N415" t="n">
        <v>0</v>
      </c>
      <c r="O415" t="n">
        <v>0</v>
      </c>
      <c r="P415" t="n">
        <v>0</v>
      </c>
      <c r="Q415" t="n">
        <v>0</v>
      </c>
      <c r="R415" s="2" t="inlineStr"/>
    </row>
    <row r="416" ht="15" customHeight="1">
      <c r="A416" t="inlineStr">
        <is>
          <t>A 19230-2022</t>
        </is>
      </c>
      <c r="B416" s="1" t="n">
        <v>44691</v>
      </c>
      <c r="C416" s="1" t="n">
        <v>45827</v>
      </c>
      <c r="D416" t="inlineStr">
        <is>
          <t>NORRBOTTENS LÄN</t>
        </is>
      </c>
      <c r="E416" t="inlineStr">
        <is>
          <t>PAJALA</t>
        </is>
      </c>
      <c r="G416" t="n">
        <v>18.7</v>
      </c>
      <c r="H416" t="n">
        <v>0</v>
      </c>
      <c r="I416" t="n">
        <v>0</v>
      </c>
      <c r="J416" t="n">
        <v>0</v>
      </c>
      <c r="K416" t="n">
        <v>0</v>
      </c>
      <c r="L416" t="n">
        <v>0</v>
      </c>
      <c r="M416" t="n">
        <v>0</v>
      </c>
      <c r="N416" t="n">
        <v>0</v>
      </c>
      <c r="O416" t="n">
        <v>0</v>
      </c>
      <c r="P416" t="n">
        <v>0</v>
      </c>
      <c r="Q416" t="n">
        <v>0</v>
      </c>
      <c r="R416" s="2" t="inlineStr"/>
    </row>
    <row r="417" ht="15" customHeight="1">
      <c r="A417" t="inlineStr">
        <is>
          <t>A 19220-2022</t>
        </is>
      </c>
      <c r="B417" s="1" t="n">
        <v>44691</v>
      </c>
      <c r="C417" s="1" t="n">
        <v>45827</v>
      </c>
      <c r="D417" t="inlineStr">
        <is>
          <t>NORRBOTTENS LÄN</t>
        </is>
      </c>
      <c r="E417" t="inlineStr">
        <is>
          <t>PAJALA</t>
        </is>
      </c>
      <c r="G417" t="n">
        <v>12.6</v>
      </c>
      <c r="H417" t="n">
        <v>0</v>
      </c>
      <c r="I417" t="n">
        <v>0</v>
      </c>
      <c r="J417" t="n">
        <v>0</v>
      </c>
      <c r="K417" t="n">
        <v>0</v>
      </c>
      <c r="L417" t="n">
        <v>0</v>
      </c>
      <c r="M417" t="n">
        <v>0</v>
      </c>
      <c r="N417" t="n">
        <v>0</v>
      </c>
      <c r="O417" t="n">
        <v>0</v>
      </c>
      <c r="P417" t="n">
        <v>0</v>
      </c>
      <c r="Q417" t="n">
        <v>0</v>
      </c>
      <c r="R417" s="2" t="inlineStr"/>
    </row>
    <row r="418" ht="15" customHeight="1">
      <c r="A418" t="inlineStr">
        <is>
          <t>A 19234-2022</t>
        </is>
      </c>
      <c r="B418" s="1" t="n">
        <v>44691</v>
      </c>
      <c r="C418" s="1" t="n">
        <v>45827</v>
      </c>
      <c r="D418" t="inlineStr">
        <is>
          <t>NORRBOTTENS LÄN</t>
        </is>
      </c>
      <c r="E418" t="inlineStr">
        <is>
          <t>PAJALA</t>
        </is>
      </c>
      <c r="G418" t="n">
        <v>8</v>
      </c>
      <c r="H418" t="n">
        <v>0</v>
      </c>
      <c r="I418" t="n">
        <v>0</v>
      </c>
      <c r="J418" t="n">
        <v>0</v>
      </c>
      <c r="K418" t="n">
        <v>0</v>
      </c>
      <c r="L418" t="n">
        <v>0</v>
      </c>
      <c r="M418" t="n">
        <v>0</v>
      </c>
      <c r="N418" t="n">
        <v>0</v>
      </c>
      <c r="O418" t="n">
        <v>0</v>
      </c>
      <c r="P418" t="n">
        <v>0</v>
      </c>
      <c r="Q418" t="n">
        <v>0</v>
      </c>
      <c r="R418" s="2" t="inlineStr"/>
    </row>
    <row r="419" ht="15" customHeight="1">
      <c r="A419" t="inlineStr">
        <is>
          <t>A 19217-2022</t>
        </is>
      </c>
      <c r="B419" s="1" t="n">
        <v>44691</v>
      </c>
      <c r="C419" s="1" t="n">
        <v>45827</v>
      </c>
      <c r="D419" t="inlineStr">
        <is>
          <t>NORRBOTTENS LÄN</t>
        </is>
      </c>
      <c r="E419" t="inlineStr">
        <is>
          <t>PAJALA</t>
        </is>
      </c>
      <c r="G419" t="n">
        <v>2.6</v>
      </c>
      <c r="H419" t="n">
        <v>0</v>
      </c>
      <c r="I419" t="n">
        <v>0</v>
      </c>
      <c r="J419" t="n">
        <v>0</v>
      </c>
      <c r="K419" t="n">
        <v>0</v>
      </c>
      <c r="L419" t="n">
        <v>0</v>
      </c>
      <c r="M419" t="n">
        <v>0</v>
      </c>
      <c r="N419" t="n">
        <v>0</v>
      </c>
      <c r="O419" t="n">
        <v>0</v>
      </c>
      <c r="P419" t="n">
        <v>0</v>
      </c>
      <c r="Q419" t="n">
        <v>0</v>
      </c>
      <c r="R419" s="2" t="inlineStr"/>
    </row>
    <row r="420" ht="15" customHeight="1">
      <c r="A420" t="inlineStr">
        <is>
          <t>A 19227-2022</t>
        </is>
      </c>
      <c r="B420" s="1" t="n">
        <v>44691</v>
      </c>
      <c r="C420" s="1" t="n">
        <v>45827</v>
      </c>
      <c r="D420" t="inlineStr">
        <is>
          <t>NORRBOTTENS LÄN</t>
        </is>
      </c>
      <c r="E420" t="inlineStr">
        <is>
          <t>PAJALA</t>
        </is>
      </c>
      <c r="G420" t="n">
        <v>8.5</v>
      </c>
      <c r="H420" t="n">
        <v>0</v>
      </c>
      <c r="I420" t="n">
        <v>0</v>
      </c>
      <c r="J420" t="n">
        <v>0</v>
      </c>
      <c r="K420" t="n">
        <v>0</v>
      </c>
      <c r="L420" t="n">
        <v>0</v>
      </c>
      <c r="M420" t="n">
        <v>0</v>
      </c>
      <c r="N420" t="n">
        <v>0</v>
      </c>
      <c r="O420" t="n">
        <v>0</v>
      </c>
      <c r="P420" t="n">
        <v>0</v>
      </c>
      <c r="Q420" t="n">
        <v>0</v>
      </c>
      <c r="R420" s="2" t="inlineStr"/>
    </row>
    <row r="421" ht="15" customHeight="1">
      <c r="A421" t="inlineStr">
        <is>
          <t>A 19269-2022</t>
        </is>
      </c>
      <c r="B421" s="1" t="n">
        <v>44691</v>
      </c>
      <c r="C421" s="1" t="n">
        <v>45827</v>
      </c>
      <c r="D421" t="inlineStr">
        <is>
          <t>NORRBOTTENS LÄN</t>
        </is>
      </c>
      <c r="E421" t="inlineStr">
        <is>
          <t>PAJALA</t>
        </is>
      </c>
      <c r="G421" t="n">
        <v>21</v>
      </c>
      <c r="H421" t="n">
        <v>0</v>
      </c>
      <c r="I421" t="n">
        <v>0</v>
      </c>
      <c r="J421" t="n">
        <v>0</v>
      </c>
      <c r="K421" t="n">
        <v>0</v>
      </c>
      <c r="L421" t="n">
        <v>0</v>
      </c>
      <c r="M421" t="n">
        <v>0</v>
      </c>
      <c r="N421" t="n">
        <v>0</v>
      </c>
      <c r="O421" t="n">
        <v>0</v>
      </c>
      <c r="P421" t="n">
        <v>0</v>
      </c>
      <c r="Q421" t="n">
        <v>0</v>
      </c>
      <c r="R421" s="2" t="inlineStr"/>
    </row>
    <row r="422" ht="15" customHeight="1">
      <c r="A422" t="inlineStr">
        <is>
          <t>A 19215-2022</t>
        </is>
      </c>
      <c r="B422" s="1" t="n">
        <v>44691</v>
      </c>
      <c r="C422" s="1" t="n">
        <v>45827</v>
      </c>
      <c r="D422" t="inlineStr">
        <is>
          <t>NORRBOTTENS LÄN</t>
        </is>
      </c>
      <c r="E422" t="inlineStr">
        <is>
          <t>PAJALA</t>
        </is>
      </c>
      <c r="G422" t="n">
        <v>12.5</v>
      </c>
      <c r="H422" t="n">
        <v>0</v>
      </c>
      <c r="I422" t="n">
        <v>0</v>
      </c>
      <c r="J422" t="n">
        <v>0</v>
      </c>
      <c r="K422" t="n">
        <v>0</v>
      </c>
      <c r="L422" t="n">
        <v>0</v>
      </c>
      <c r="M422" t="n">
        <v>0</v>
      </c>
      <c r="N422" t="n">
        <v>0</v>
      </c>
      <c r="O422" t="n">
        <v>0</v>
      </c>
      <c r="P422" t="n">
        <v>0</v>
      </c>
      <c r="Q422" t="n">
        <v>0</v>
      </c>
      <c r="R422" s="2" t="inlineStr"/>
    </row>
    <row r="423" ht="15" customHeight="1">
      <c r="A423" t="inlineStr">
        <is>
          <t>A 19226-2022</t>
        </is>
      </c>
      <c r="B423" s="1" t="n">
        <v>44691</v>
      </c>
      <c r="C423" s="1" t="n">
        <v>45827</v>
      </c>
      <c r="D423" t="inlineStr">
        <is>
          <t>NORRBOTTENS LÄN</t>
        </is>
      </c>
      <c r="E423" t="inlineStr">
        <is>
          <t>PAJALA</t>
        </is>
      </c>
      <c r="G423" t="n">
        <v>4.8</v>
      </c>
      <c r="H423" t="n">
        <v>0</v>
      </c>
      <c r="I423" t="n">
        <v>0</v>
      </c>
      <c r="J423" t="n">
        <v>0</v>
      </c>
      <c r="K423" t="n">
        <v>0</v>
      </c>
      <c r="L423" t="n">
        <v>0</v>
      </c>
      <c r="M423" t="n">
        <v>0</v>
      </c>
      <c r="N423" t="n">
        <v>0</v>
      </c>
      <c r="O423" t="n">
        <v>0</v>
      </c>
      <c r="P423" t="n">
        <v>0</v>
      </c>
      <c r="Q423" t="n">
        <v>0</v>
      </c>
      <c r="R423" s="2" t="inlineStr"/>
    </row>
    <row r="424" ht="15" customHeight="1">
      <c r="A424" t="inlineStr">
        <is>
          <t>A 19259-2022</t>
        </is>
      </c>
      <c r="B424" s="1" t="n">
        <v>44691</v>
      </c>
      <c r="C424" s="1" t="n">
        <v>45827</v>
      </c>
      <c r="D424" t="inlineStr">
        <is>
          <t>NORRBOTTENS LÄN</t>
        </is>
      </c>
      <c r="E424" t="inlineStr">
        <is>
          <t>PAJALA</t>
        </is>
      </c>
      <c r="G424" t="n">
        <v>7.3</v>
      </c>
      <c r="H424" t="n">
        <v>0</v>
      </c>
      <c r="I424" t="n">
        <v>0</v>
      </c>
      <c r="J424" t="n">
        <v>0</v>
      </c>
      <c r="K424" t="n">
        <v>0</v>
      </c>
      <c r="L424" t="n">
        <v>0</v>
      </c>
      <c r="M424" t="n">
        <v>0</v>
      </c>
      <c r="N424" t="n">
        <v>0</v>
      </c>
      <c r="O424" t="n">
        <v>0</v>
      </c>
      <c r="P424" t="n">
        <v>0</v>
      </c>
      <c r="Q424" t="n">
        <v>0</v>
      </c>
      <c r="R424" s="2" t="inlineStr"/>
    </row>
    <row r="425" ht="15" customHeight="1">
      <c r="A425" t="inlineStr">
        <is>
          <t>A 20585-2022</t>
        </is>
      </c>
      <c r="B425" s="1" t="n">
        <v>44700</v>
      </c>
      <c r="C425" s="1" t="n">
        <v>45827</v>
      </c>
      <c r="D425" t="inlineStr">
        <is>
          <t>NORRBOTTENS LÄN</t>
        </is>
      </c>
      <c r="E425" t="inlineStr">
        <is>
          <t>PAJALA</t>
        </is>
      </c>
      <c r="G425" t="n">
        <v>4.1</v>
      </c>
      <c r="H425" t="n">
        <v>0</v>
      </c>
      <c r="I425" t="n">
        <v>0</v>
      </c>
      <c r="J425" t="n">
        <v>0</v>
      </c>
      <c r="K425" t="n">
        <v>0</v>
      </c>
      <c r="L425" t="n">
        <v>0</v>
      </c>
      <c r="M425" t="n">
        <v>0</v>
      </c>
      <c r="N425" t="n">
        <v>0</v>
      </c>
      <c r="O425" t="n">
        <v>0</v>
      </c>
      <c r="P425" t="n">
        <v>0</v>
      </c>
      <c r="Q425" t="n">
        <v>0</v>
      </c>
      <c r="R425" s="2" t="inlineStr"/>
    </row>
    <row r="426" ht="15" customHeight="1">
      <c r="A426" t="inlineStr">
        <is>
          <t>A 20695-2022</t>
        </is>
      </c>
      <c r="B426" s="1" t="n">
        <v>44700</v>
      </c>
      <c r="C426" s="1" t="n">
        <v>45827</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22957-2022</t>
        </is>
      </c>
      <c r="B427" s="1" t="n">
        <v>44716</v>
      </c>
      <c r="C427" s="1" t="n">
        <v>45827</v>
      </c>
      <c r="D427" t="inlineStr">
        <is>
          <t>NORRBOTTENS LÄN</t>
        </is>
      </c>
      <c r="E427" t="inlineStr">
        <is>
          <t>PAJALA</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24519-2022</t>
        </is>
      </c>
      <c r="B428" s="1" t="n">
        <v>44727</v>
      </c>
      <c r="C428" s="1" t="n">
        <v>45827</v>
      </c>
      <c r="D428" t="inlineStr">
        <is>
          <t>NORRBOTTENS LÄN</t>
        </is>
      </c>
      <c r="E428" t="inlineStr">
        <is>
          <t>PAJALA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24521-2022</t>
        </is>
      </c>
      <c r="B429" s="1" t="n">
        <v>44727</v>
      </c>
      <c r="C429" s="1" t="n">
        <v>45827</v>
      </c>
      <c r="D429" t="inlineStr">
        <is>
          <t>NORRBOTTENS LÄN</t>
        </is>
      </c>
      <c r="E429" t="inlineStr">
        <is>
          <t>PAJALA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24520-2022</t>
        </is>
      </c>
      <c r="B430" s="1" t="n">
        <v>44727</v>
      </c>
      <c r="C430" s="1" t="n">
        <v>45827</v>
      </c>
      <c r="D430" t="inlineStr">
        <is>
          <t>NORRBOTTENS LÄN</t>
        </is>
      </c>
      <c r="E430" t="inlineStr">
        <is>
          <t>PAJALA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24841-2022</t>
        </is>
      </c>
      <c r="B431" s="1" t="n">
        <v>44728</v>
      </c>
      <c r="C431" s="1" t="n">
        <v>45827</v>
      </c>
      <c r="D431" t="inlineStr">
        <is>
          <t>NORRBOTTENS LÄN</t>
        </is>
      </c>
      <c r="E431" t="inlineStr">
        <is>
          <t>PAJALA</t>
        </is>
      </c>
      <c r="F431" t="inlineStr">
        <is>
          <t>Allmännings- och besparingsskogar</t>
        </is>
      </c>
      <c r="G431" t="n">
        <v>33.8</v>
      </c>
      <c r="H431" t="n">
        <v>0</v>
      </c>
      <c r="I431" t="n">
        <v>0</v>
      </c>
      <c r="J431" t="n">
        <v>0</v>
      </c>
      <c r="K431" t="n">
        <v>0</v>
      </c>
      <c r="L431" t="n">
        <v>0</v>
      </c>
      <c r="M431" t="n">
        <v>0</v>
      </c>
      <c r="N431" t="n">
        <v>0</v>
      </c>
      <c r="O431" t="n">
        <v>0</v>
      </c>
      <c r="P431" t="n">
        <v>0</v>
      </c>
      <c r="Q431" t="n">
        <v>0</v>
      </c>
      <c r="R431" s="2" t="inlineStr"/>
    </row>
    <row r="432" ht="15" customHeight="1">
      <c r="A432" t="inlineStr">
        <is>
          <t>A 26791-2022</t>
        </is>
      </c>
      <c r="B432" s="1" t="n">
        <v>44740</v>
      </c>
      <c r="C432" s="1" t="n">
        <v>45827</v>
      </c>
      <c r="D432" t="inlineStr">
        <is>
          <t>NORRBOTTENS LÄN</t>
        </is>
      </c>
      <c r="E432" t="inlineStr">
        <is>
          <t>PAJALA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27184-2022</t>
        </is>
      </c>
      <c r="B433" s="1" t="n">
        <v>44741</v>
      </c>
      <c r="C433" s="1" t="n">
        <v>45827</v>
      </c>
      <c r="D433" t="inlineStr">
        <is>
          <t>NORRBOTTENS LÄN</t>
        </is>
      </c>
      <c r="E433" t="inlineStr">
        <is>
          <t>PAJALA</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27853-2022</t>
        </is>
      </c>
      <c r="B434" s="1" t="n">
        <v>44743</v>
      </c>
      <c r="C434" s="1" t="n">
        <v>45827</v>
      </c>
      <c r="D434" t="inlineStr">
        <is>
          <t>NORRBOTTENS LÄN</t>
        </is>
      </c>
      <c r="E434" t="inlineStr">
        <is>
          <t>PAJALA</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27709-2022</t>
        </is>
      </c>
      <c r="B435" s="1" t="n">
        <v>44743</v>
      </c>
      <c r="C435" s="1" t="n">
        <v>45827</v>
      </c>
      <c r="D435" t="inlineStr">
        <is>
          <t>NORRBOTTENS LÄN</t>
        </is>
      </c>
      <c r="E435" t="inlineStr">
        <is>
          <t>PAJALA</t>
        </is>
      </c>
      <c r="G435" t="n">
        <v>1.4</v>
      </c>
      <c r="H435" t="n">
        <v>0</v>
      </c>
      <c r="I435" t="n">
        <v>0</v>
      </c>
      <c r="J435" t="n">
        <v>0</v>
      </c>
      <c r="K435" t="n">
        <v>0</v>
      </c>
      <c r="L435" t="n">
        <v>0</v>
      </c>
      <c r="M435" t="n">
        <v>0</v>
      </c>
      <c r="N435" t="n">
        <v>0</v>
      </c>
      <c r="O435" t="n">
        <v>0</v>
      </c>
      <c r="P435" t="n">
        <v>0</v>
      </c>
      <c r="Q435" t="n">
        <v>0</v>
      </c>
      <c r="R435" s="2" t="inlineStr"/>
    </row>
    <row r="436" ht="15" customHeight="1">
      <c r="A436" t="inlineStr">
        <is>
          <t>A 28789-2022</t>
        </is>
      </c>
      <c r="B436" s="1" t="n">
        <v>44749</v>
      </c>
      <c r="C436" s="1" t="n">
        <v>45827</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29708-2022</t>
        </is>
      </c>
      <c r="B437" s="1" t="n">
        <v>44755</v>
      </c>
      <c r="C437" s="1" t="n">
        <v>45827</v>
      </c>
      <c r="D437" t="inlineStr">
        <is>
          <t>NORRBOTTENS LÄN</t>
        </is>
      </c>
      <c r="E437" t="inlineStr">
        <is>
          <t>PAJALA</t>
        </is>
      </c>
      <c r="G437" t="n">
        <v>6.8</v>
      </c>
      <c r="H437" t="n">
        <v>0</v>
      </c>
      <c r="I437" t="n">
        <v>0</v>
      </c>
      <c r="J437" t="n">
        <v>0</v>
      </c>
      <c r="K437" t="n">
        <v>0</v>
      </c>
      <c r="L437" t="n">
        <v>0</v>
      </c>
      <c r="M437" t="n">
        <v>0</v>
      </c>
      <c r="N437" t="n">
        <v>0</v>
      </c>
      <c r="O437" t="n">
        <v>0</v>
      </c>
      <c r="P437" t="n">
        <v>0</v>
      </c>
      <c r="Q437" t="n">
        <v>0</v>
      </c>
      <c r="R437" s="2" t="inlineStr"/>
    </row>
    <row r="438" ht="15" customHeight="1">
      <c r="A438" t="inlineStr">
        <is>
          <t>A 29729-2022</t>
        </is>
      </c>
      <c r="B438" s="1" t="n">
        <v>44755</v>
      </c>
      <c r="C438" s="1" t="n">
        <v>45827</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29769-2022</t>
        </is>
      </c>
      <c r="B439" s="1" t="n">
        <v>44755</v>
      </c>
      <c r="C439" s="1" t="n">
        <v>45827</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29756-2022</t>
        </is>
      </c>
      <c r="B440" s="1" t="n">
        <v>44755</v>
      </c>
      <c r="C440" s="1" t="n">
        <v>45827</v>
      </c>
      <c r="D440" t="inlineStr">
        <is>
          <t>NORRBOTTENS LÄN</t>
        </is>
      </c>
      <c r="E440" t="inlineStr">
        <is>
          <t>PAJALA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29793-2022</t>
        </is>
      </c>
      <c r="B441" s="1" t="n">
        <v>44755</v>
      </c>
      <c r="C441" s="1" t="n">
        <v>45827</v>
      </c>
      <c r="D441" t="inlineStr">
        <is>
          <t>NORRBOTTENS LÄN</t>
        </is>
      </c>
      <c r="E441" t="inlineStr">
        <is>
          <t>PAJALA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29747-2022</t>
        </is>
      </c>
      <c r="B442" s="1" t="n">
        <v>44755</v>
      </c>
      <c r="C442" s="1" t="n">
        <v>45827</v>
      </c>
      <c r="D442" t="inlineStr">
        <is>
          <t>NORRBOTTENS LÄN</t>
        </is>
      </c>
      <c r="E442" t="inlineStr">
        <is>
          <t>PAJALA</t>
        </is>
      </c>
      <c r="G442" t="n">
        <v>4</v>
      </c>
      <c r="H442" t="n">
        <v>0</v>
      </c>
      <c r="I442" t="n">
        <v>0</v>
      </c>
      <c r="J442" t="n">
        <v>0</v>
      </c>
      <c r="K442" t="n">
        <v>0</v>
      </c>
      <c r="L442" t="n">
        <v>0</v>
      </c>
      <c r="M442" t="n">
        <v>0</v>
      </c>
      <c r="N442" t="n">
        <v>0</v>
      </c>
      <c r="O442" t="n">
        <v>0</v>
      </c>
      <c r="P442" t="n">
        <v>0</v>
      </c>
      <c r="Q442" t="n">
        <v>0</v>
      </c>
      <c r="R442" s="2" t="inlineStr"/>
    </row>
    <row r="443" ht="15" customHeight="1">
      <c r="A443" t="inlineStr">
        <is>
          <t>A 29881-2022</t>
        </is>
      </c>
      <c r="B443" s="1" t="n">
        <v>44755</v>
      </c>
      <c r="C443" s="1" t="n">
        <v>45827</v>
      </c>
      <c r="D443" t="inlineStr">
        <is>
          <t>NORRBOTTENS LÄN</t>
        </is>
      </c>
      <c r="E443" t="inlineStr">
        <is>
          <t>PAJALA</t>
        </is>
      </c>
      <c r="G443" t="n">
        <v>10.1</v>
      </c>
      <c r="H443" t="n">
        <v>0</v>
      </c>
      <c r="I443" t="n">
        <v>0</v>
      </c>
      <c r="J443" t="n">
        <v>0</v>
      </c>
      <c r="K443" t="n">
        <v>0</v>
      </c>
      <c r="L443" t="n">
        <v>0</v>
      </c>
      <c r="M443" t="n">
        <v>0</v>
      </c>
      <c r="N443" t="n">
        <v>0</v>
      </c>
      <c r="O443" t="n">
        <v>0</v>
      </c>
      <c r="P443" t="n">
        <v>0</v>
      </c>
      <c r="Q443" t="n">
        <v>0</v>
      </c>
      <c r="R443" s="2" t="inlineStr"/>
    </row>
    <row r="444" ht="15" customHeight="1">
      <c r="A444" t="inlineStr">
        <is>
          <t>A 29877-2022</t>
        </is>
      </c>
      <c r="B444" s="1" t="n">
        <v>44756</v>
      </c>
      <c r="C444" s="1" t="n">
        <v>45827</v>
      </c>
      <c r="D444" t="inlineStr">
        <is>
          <t>NORRBOTTENS LÄN</t>
        </is>
      </c>
      <c r="E444" t="inlineStr">
        <is>
          <t>PAJALA</t>
        </is>
      </c>
      <c r="G444" t="n">
        <v>1</v>
      </c>
      <c r="H444" t="n">
        <v>0</v>
      </c>
      <c r="I444" t="n">
        <v>0</v>
      </c>
      <c r="J444" t="n">
        <v>0</v>
      </c>
      <c r="K444" t="n">
        <v>0</v>
      </c>
      <c r="L444" t="n">
        <v>0</v>
      </c>
      <c r="M444" t="n">
        <v>0</v>
      </c>
      <c r="N444" t="n">
        <v>0</v>
      </c>
      <c r="O444" t="n">
        <v>0</v>
      </c>
      <c r="P444" t="n">
        <v>0</v>
      </c>
      <c r="Q444" t="n">
        <v>0</v>
      </c>
      <c r="R444" s="2" t="inlineStr"/>
    </row>
    <row r="445" ht="15" customHeight="1">
      <c r="A445" t="inlineStr">
        <is>
          <t>A 29866-2022</t>
        </is>
      </c>
      <c r="B445" s="1" t="n">
        <v>44756</v>
      </c>
      <c r="C445" s="1" t="n">
        <v>45827</v>
      </c>
      <c r="D445" t="inlineStr">
        <is>
          <t>NORRBOTTENS LÄN</t>
        </is>
      </c>
      <c r="E445" t="inlineStr">
        <is>
          <t>PAJALA</t>
        </is>
      </c>
      <c r="F445" t="inlineStr">
        <is>
          <t>Allmännings- och besparingsskogar</t>
        </is>
      </c>
      <c r="G445" t="n">
        <v>16.7</v>
      </c>
      <c r="H445" t="n">
        <v>0</v>
      </c>
      <c r="I445" t="n">
        <v>0</v>
      </c>
      <c r="J445" t="n">
        <v>0</v>
      </c>
      <c r="K445" t="n">
        <v>0</v>
      </c>
      <c r="L445" t="n">
        <v>0</v>
      </c>
      <c r="M445" t="n">
        <v>0</v>
      </c>
      <c r="N445" t="n">
        <v>0</v>
      </c>
      <c r="O445" t="n">
        <v>0</v>
      </c>
      <c r="P445" t="n">
        <v>0</v>
      </c>
      <c r="Q445" t="n">
        <v>0</v>
      </c>
      <c r="R445" s="2" t="inlineStr"/>
    </row>
    <row r="446" ht="15" customHeight="1">
      <c r="A446" t="inlineStr">
        <is>
          <t>A 29939-2022</t>
        </is>
      </c>
      <c r="B446" s="1" t="n">
        <v>44756</v>
      </c>
      <c r="C446" s="1" t="n">
        <v>45827</v>
      </c>
      <c r="D446" t="inlineStr">
        <is>
          <t>NORRBOTTENS LÄN</t>
        </is>
      </c>
      <c r="E446" t="inlineStr">
        <is>
          <t>PAJALA</t>
        </is>
      </c>
      <c r="G446" t="n">
        <v>3.5</v>
      </c>
      <c r="H446" t="n">
        <v>0</v>
      </c>
      <c r="I446" t="n">
        <v>0</v>
      </c>
      <c r="J446" t="n">
        <v>0</v>
      </c>
      <c r="K446" t="n">
        <v>0</v>
      </c>
      <c r="L446" t="n">
        <v>0</v>
      </c>
      <c r="M446" t="n">
        <v>0</v>
      </c>
      <c r="N446" t="n">
        <v>0</v>
      </c>
      <c r="O446" t="n">
        <v>0</v>
      </c>
      <c r="P446" t="n">
        <v>0</v>
      </c>
      <c r="Q446" t="n">
        <v>0</v>
      </c>
      <c r="R446" s="2" t="inlineStr"/>
    </row>
    <row r="447" ht="15" customHeight="1">
      <c r="A447" t="inlineStr">
        <is>
          <t>A 32010-2022</t>
        </is>
      </c>
      <c r="B447" s="1" t="n">
        <v>44778</v>
      </c>
      <c r="C447" s="1" t="n">
        <v>45827</v>
      </c>
      <c r="D447" t="inlineStr">
        <is>
          <t>NORRBOTTENS LÄN</t>
        </is>
      </c>
      <c r="E447" t="inlineStr">
        <is>
          <t>PAJALA</t>
        </is>
      </c>
      <c r="G447" t="n">
        <v>3.6</v>
      </c>
      <c r="H447" t="n">
        <v>0</v>
      </c>
      <c r="I447" t="n">
        <v>0</v>
      </c>
      <c r="J447" t="n">
        <v>0</v>
      </c>
      <c r="K447" t="n">
        <v>0</v>
      </c>
      <c r="L447" t="n">
        <v>0</v>
      </c>
      <c r="M447" t="n">
        <v>0</v>
      </c>
      <c r="N447" t="n">
        <v>0</v>
      </c>
      <c r="O447" t="n">
        <v>0</v>
      </c>
      <c r="P447" t="n">
        <v>0</v>
      </c>
      <c r="Q447" t="n">
        <v>0</v>
      </c>
      <c r="R447" s="2" t="inlineStr"/>
    </row>
    <row r="448" ht="15" customHeight="1">
      <c r="A448" t="inlineStr">
        <is>
          <t>A 32917-2022</t>
        </is>
      </c>
      <c r="B448" s="1" t="n">
        <v>44784</v>
      </c>
      <c r="C448" s="1" t="n">
        <v>45827</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33868-2022</t>
        </is>
      </c>
      <c r="B449" s="1" t="n">
        <v>44790</v>
      </c>
      <c r="C449" s="1" t="n">
        <v>45827</v>
      </c>
      <c r="D449" t="inlineStr">
        <is>
          <t>NORRBOTTENS LÄN</t>
        </is>
      </c>
      <c r="E449" t="inlineStr">
        <is>
          <t>PAJALA</t>
        </is>
      </c>
      <c r="G449" t="n">
        <v>19.3</v>
      </c>
      <c r="H449" t="n">
        <v>0</v>
      </c>
      <c r="I449" t="n">
        <v>0</v>
      </c>
      <c r="J449" t="n">
        <v>0</v>
      </c>
      <c r="K449" t="n">
        <v>0</v>
      </c>
      <c r="L449" t="n">
        <v>0</v>
      </c>
      <c r="M449" t="n">
        <v>0</v>
      </c>
      <c r="N449" t="n">
        <v>0</v>
      </c>
      <c r="O449" t="n">
        <v>0</v>
      </c>
      <c r="P449" t="n">
        <v>0</v>
      </c>
      <c r="Q449" t="n">
        <v>0</v>
      </c>
      <c r="R449" s="2" t="inlineStr"/>
    </row>
    <row r="450" ht="15" customHeight="1">
      <c r="A450" t="inlineStr">
        <is>
          <t>A 33932-2022</t>
        </is>
      </c>
      <c r="B450" s="1" t="n">
        <v>44790</v>
      </c>
      <c r="C450" s="1" t="n">
        <v>45827</v>
      </c>
      <c r="D450" t="inlineStr">
        <is>
          <t>NORRBOTTENS LÄN</t>
        </is>
      </c>
      <c r="E450" t="inlineStr">
        <is>
          <t>PAJALA</t>
        </is>
      </c>
      <c r="G450" t="n">
        <v>4.5</v>
      </c>
      <c r="H450" t="n">
        <v>0</v>
      </c>
      <c r="I450" t="n">
        <v>0</v>
      </c>
      <c r="J450" t="n">
        <v>0</v>
      </c>
      <c r="K450" t="n">
        <v>0</v>
      </c>
      <c r="L450" t="n">
        <v>0</v>
      </c>
      <c r="M450" t="n">
        <v>0</v>
      </c>
      <c r="N450" t="n">
        <v>0</v>
      </c>
      <c r="O450" t="n">
        <v>0</v>
      </c>
      <c r="P450" t="n">
        <v>0</v>
      </c>
      <c r="Q450" t="n">
        <v>0</v>
      </c>
      <c r="R450" s="2" t="inlineStr"/>
    </row>
    <row r="451" ht="15" customHeight="1">
      <c r="A451" t="inlineStr">
        <is>
          <t>A 34074-2022</t>
        </is>
      </c>
      <c r="B451" s="1" t="n">
        <v>44791</v>
      </c>
      <c r="C451" s="1" t="n">
        <v>45827</v>
      </c>
      <c r="D451" t="inlineStr">
        <is>
          <t>NORRBOTTENS LÄN</t>
        </is>
      </c>
      <c r="E451" t="inlineStr">
        <is>
          <t>PAJALA</t>
        </is>
      </c>
      <c r="G451" t="n">
        <v>0.7</v>
      </c>
      <c r="H451" t="n">
        <v>0</v>
      </c>
      <c r="I451" t="n">
        <v>0</v>
      </c>
      <c r="J451" t="n">
        <v>0</v>
      </c>
      <c r="K451" t="n">
        <v>0</v>
      </c>
      <c r="L451" t="n">
        <v>0</v>
      </c>
      <c r="M451" t="n">
        <v>0</v>
      </c>
      <c r="N451" t="n">
        <v>0</v>
      </c>
      <c r="O451" t="n">
        <v>0</v>
      </c>
      <c r="P451" t="n">
        <v>0</v>
      </c>
      <c r="Q451" t="n">
        <v>0</v>
      </c>
      <c r="R451" s="2" t="inlineStr"/>
    </row>
    <row r="452" ht="15" customHeight="1">
      <c r="A452" t="inlineStr">
        <is>
          <t>A 34894-2022</t>
        </is>
      </c>
      <c r="B452" s="1" t="n">
        <v>44796</v>
      </c>
      <c r="C452" s="1" t="n">
        <v>45827</v>
      </c>
      <c r="D452" t="inlineStr">
        <is>
          <t>NORRBOTTENS LÄN</t>
        </is>
      </c>
      <c r="E452" t="inlineStr">
        <is>
          <t>PAJALA</t>
        </is>
      </c>
      <c r="F452" t="inlineStr">
        <is>
          <t>Sveaskog</t>
        </is>
      </c>
      <c r="G452" t="n">
        <v>13.1</v>
      </c>
      <c r="H452" t="n">
        <v>0</v>
      </c>
      <c r="I452" t="n">
        <v>0</v>
      </c>
      <c r="J452" t="n">
        <v>0</v>
      </c>
      <c r="K452" t="n">
        <v>0</v>
      </c>
      <c r="L452" t="n">
        <v>0</v>
      </c>
      <c r="M452" t="n">
        <v>0</v>
      </c>
      <c r="N452" t="n">
        <v>0</v>
      </c>
      <c r="O452" t="n">
        <v>0</v>
      </c>
      <c r="P452" t="n">
        <v>0</v>
      </c>
      <c r="Q452" t="n">
        <v>0</v>
      </c>
      <c r="R452" s="2" t="inlineStr"/>
    </row>
    <row r="453" ht="15" customHeight="1">
      <c r="A453" t="inlineStr">
        <is>
          <t>A 36178-2022</t>
        </is>
      </c>
      <c r="B453" s="1" t="n">
        <v>44803</v>
      </c>
      <c r="C453" s="1" t="n">
        <v>45827</v>
      </c>
      <c r="D453" t="inlineStr">
        <is>
          <t>NORRBOTTENS LÄN</t>
        </is>
      </c>
      <c r="E453" t="inlineStr">
        <is>
          <t>PAJALA</t>
        </is>
      </c>
      <c r="G453" t="n">
        <v>8.6</v>
      </c>
      <c r="H453" t="n">
        <v>0</v>
      </c>
      <c r="I453" t="n">
        <v>0</v>
      </c>
      <c r="J453" t="n">
        <v>0</v>
      </c>
      <c r="K453" t="n">
        <v>0</v>
      </c>
      <c r="L453" t="n">
        <v>0</v>
      </c>
      <c r="M453" t="n">
        <v>0</v>
      </c>
      <c r="N453" t="n">
        <v>0</v>
      </c>
      <c r="O453" t="n">
        <v>0</v>
      </c>
      <c r="P453" t="n">
        <v>0</v>
      </c>
      <c r="Q453" t="n">
        <v>0</v>
      </c>
      <c r="R453" s="2" t="inlineStr"/>
    </row>
    <row r="454" ht="15" customHeight="1">
      <c r="A454" t="inlineStr">
        <is>
          <t>A 36541-2022</t>
        </is>
      </c>
      <c r="B454" s="1" t="n">
        <v>44804</v>
      </c>
      <c r="C454" s="1" t="n">
        <v>45827</v>
      </c>
      <c r="D454" t="inlineStr">
        <is>
          <t>NORRBOTTENS LÄN</t>
        </is>
      </c>
      <c r="E454" t="inlineStr">
        <is>
          <t>PAJALA</t>
        </is>
      </c>
      <c r="G454" t="n">
        <v>3</v>
      </c>
      <c r="H454" t="n">
        <v>0</v>
      </c>
      <c r="I454" t="n">
        <v>0</v>
      </c>
      <c r="J454" t="n">
        <v>0</v>
      </c>
      <c r="K454" t="n">
        <v>0</v>
      </c>
      <c r="L454" t="n">
        <v>0</v>
      </c>
      <c r="M454" t="n">
        <v>0</v>
      </c>
      <c r="N454" t="n">
        <v>0</v>
      </c>
      <c r="O454" t="n">
        <v>0</v>
      </c>
      <c r="P454" t="n">
        <v>0</v>
      </c>
      <c r="Q454" t="n">
        <v>0</v>
      </c>
      <c r="R454" s="2" t="inlineStr"/>
    </row>
    <row r="455" ht="15" customHeight="1">
      <c r="A455" t="inlineStr">
        <is>
          <t>A 39564-2022</t>
        </is>
      </c>
      <c r="B455" s="1" t="n">
        <v>44818</v>
      </c>
      <c r="C455" s="1" t="n">
        <v>45827</v>
      </c>
      <c r="D455" t="inlineStr">
        <is>
          <t>NORRBOTTENS LÄN</t>
        </is>
      </c>
      <c r="E455" t="inlineStr">
        <is>
          <t>PAJALA</t>
        </is>
      </c>
      <c r="G455" t="n">
        <v>1.6</v>
      </c>
      <c r="H455" t="n">
        <v>0</v>
      </c>
      <c r="I455" t="n">
        <v>0</v>
      </c>
      <c r="J455" t="n">
        <v>0</v>
      </c>
      <c r="K455" t="n">
        <v>0</v>
      </c>
      <c r="L455" t="n">
        <v>0</v>
      </c>
      <c r="M455" t="n">
        <v>0</v>
      </c>
      <c r="N455" t="n">
        <v>0</v>
      </c>
      <c r="O455" t="n">
        <v>0</v>
      </c>
      <c r="P455" t="n">
        <v>0</v>
      </c>
      <c r="Q455" t="n">
        <v>0</v>
      </c>
      <c r="R455" s="2" t="inlineStr"/>
    </row>
    <row r="456" ht="15" customHeight="1">
      <c r="A456" t="inlineStr">
        <is>
          <t>A 41504-2022</t>
        </is>
      </c>
      <c r="B456" s="1" t="n">
        <v>44824</v>
      </c>
      <c r="C456" s="1" t="n">
        <v>45827</v>
      </c>
      <c r="D456" t="inlineStr">
        <is>
          <t>NORRBOTTENS LÄN</t>
        </is>
      </c>
      <c r="E456" t="inlineStr">
        <is>
          <t>PAJALA</t>
        </is>
      </c>
      <c r="G456" t="n">
        <v>15.4</v>
      </c>
      <c r="H456" t="n">
        <v>0</v>
      </c>
      <c r="I456" t="n">
        <v>0</v>
      </c>
      <c r="J456" t="n">
        <v>0</v>
      </c>
      <c r="K456" t="n">
        <v>0</v>
      </c>
      <c r="L456" t="n">
        <v>0</v>
      </c>
      <c r="M456" t="n">
        <v>0</v>
      </c>
      <c r="N456" t="n">
        <v>0</v>
      </c>
      <c r="O456" t="n">
        <v>0</v>
      </c>
      <c r="P456" t="n">
        <v>0</v>
      </c>
      <c r="Q456" t="n">
        <v>0</v>
      </c>
      <c r="R456" s="2" t="inlineStr"/>
    </row>
    <row r="457" ht="15" customHeight="1">
      <c r="A457" t="inlineStr">
        <is>
          <t>A 41762-2022</t>
        </is>
      </c>
      <c r="B457" s="1" t="n">
        <v>44827</v>
      </c>
      <c r="C457" s="1" t="n">
        <v>45827</v>
      </c>
      <c r="D457" t="inlineStr">
        <is>
          <t>NORRBOTTENS LÄN</t>
        </is>
      </c>
      <c r="E457" t="inlineStr">
        <is>
          <t>PAJALA</t>
        </is>
      </c>
      <c r="F457" t="inlineStr">
        <is>
          <t>Sveaskog</t>
        </is>
      </c>
      <c r="G457" t="n">
        <v>21.1</v>
      </c>
      <c r="H457" t="n">
        <v>0</v>
      </c>
      <c r="I457" t="n">
        <v>0</v>
      </c>
      <c r="J457" t="n">
        <v>0</v>
      </c>
      <c r="K457" t="n">
        <v>0</v>
      </c>
      <c r="L457" t="n">
        <v>0</v>
      </c>
      <c r="M457" t="n">
        <v>0</v>
      </c>
      <c r="N457" t="n">
        <v>0</v>
      </c>
      <c r="O457" t="n">
        <v>0</v>
      </c>
      <c r="P457" t="n">
        <v>0</v>
      </c>
      <c r="Q457" t="n">
        <v>0</v>
      </c>
      <c r="R457" s="2" t="inlineStr"/>
    </row>
    <row r="458" ht="15" customHeight="1">
      <c r="A458" t="inlineStr">
        <is>
          <t>A 42796-2022</t>
        </is>
      </c>
      <c r="B458" s="1" t="n">
        <v>44832</v>
      </c>
      <c r="C458" s="1" t="n">
        <v>45827</v>
      </c>
      <c r="D458" t="inlineStr">
        <is>
          <t>NORRBOTTENS LÄN</t>
        </is>
      </c>
      <c r="E458" t="inlineStr">
        <is>
          <t>PAJALA</t>
        </is>
      </c>
      <c r="G458" t="n">
        <v>31.1</v>
      </c>
      <c r="H458" t="n">
        <v>0</v>
      </c>
      <c r="I458" t="n">
        <v>0</v>
      </c>
      <c r="J458" t="n">
        <v>0</v>
      </c>
      <c r="K458" t="n">
        <v>0</v>
      </c>
      <c r="L458" t="n">
        <v>0</v>
      </c>
      <c r="M458" t="n">
        <v>0</v>
      </c>
      <c r="N458" t="n">
        <v>0</v>
      </c>
      <c r="O458" t="n">
        <v>0</v>
      </c>
      <c r="P458" t="n">
        <v>0</v>
      </c>
      <c r="Q458" t="n">
        <v>0</v>
      </c>
      <c r="R458" s="2" t="inlineStr"/>
    </row>
    <row r="459" ht="15" customHeight="1">
      <c r="A459" t="inlineStr">
        <is>
          <t>A 43026-2022</t>
        </is>
      </c>
      <c r="B459" s="1" t="n">
        <v>44833</v>
      </c>
      <c r="C459" s="1" t="n">
        <v>45827</v>
      </c>
      <c r="D459" t="inlineStr">
        <is>
          <t>NORRBOTTENS LÄN</t>
        </is>
      </c>
      <c r="E459" t="inlineStr">
        <is>
          <t>PAJALA</t>
        </is>
      </c>
      <c r="F459" t="inlineStr">
        <is>
          <t>Sveaskog</t>
        </is>
      </c>
      <c r="G459" t="n">
        <v>40</v>
      </c>
      <c r="H459" t="n">
        <v>0</v>
      </c>
      <c r="I459" t="n">
        <v>0</v>
      </c>
      <c r="J459" t="n">
        <v>0</v>
      </c>
      <c r="K459" t="n">
        <v>0</v>
      </c>
      <c r="L459" t="n">
        <v>0</v>
      </c>
      <c r="M459" t="n">
        <v>0</v>
      </c>
      <c r="N459" t="n">
        <v>0</v>
      </c>
      <c r="O459" t="n">
        <v>0</v>
      </c>
      <c r="P459" t="n">
        <v>0</v>
      </c>
      <c r="Q459" t="n">
        <v>0</v>
      </c>
      <c r="R459" s="2" t="inlineStr"/>
    </row>
    <row r="460" ht="15" customHeight="1">
      <c r="A460" t="inlineStr">
        <is>
          <t>A 43316-2022</t>
        </is>
      </c>
      <c r="B460" s="1" t="n">
        <v>44834</v>
      </c>
      <c r="C460" s="1" t="n">
        <v>45827</v>
      </c>
      <c r="D460" t="inlineStr">
        <is>
          <t>NORRBOTTENS LÄN</t>
        </is>
      </c>
      <c r="E460" t="inlineStr">
        <is>
          <t>PAJALA</t>
        </is>
      </c>
      <c r="G460" t="n">
        <v>13</v>
      </c>
      <c r="H460" t="n">
        <v>0</v>
      </c>
      <c r="I460" t="n">
        <v>0</v>
      </c>
      <c r="J460" t="n">
        <v>0</v>
      </c>
      <c r="K460" t="n">
        <v>0</v>
      </c>
      <c r="L460" t="n">
        <v>0</v>
      </c>
      <c r="M460" t="n">
        <v>0</v>
      </c>
      <c r="N460" t="n">
        <v>0</v>
      </c>
      <c r="O460" t="n">
        <v>0</v>
      </c>
      <c r="P460" t="n">
        <v>0</v>
      </c>
      <c r="Q460" t="n">
        <v>0</v>
      </c>
      <c r="R460" s="2" t="inlineStr"/>
    </row>
    <row r="461" ht="15" customHeight="1">
      <c r="A461" t="inlineStr">
        <is>
          <t>A 43396-2022</t>
        </is>
      </c>
      <c r="B461" s="1" t="n">
        <v>44834</v>
      </c>
      <c r="C461" s="1" t="n">
        <v>45827</v>
      </c>
      <c r="D461" t="inlineStr">
        <is>
          <t>NORRBOTTENS LÄN</t>
        </is>
      </c>
      <c r="E461" t="inlineStr">
        <is>
          <t>PAJALA</t>
        </is>
      </c>
      <c r="G461" t="n">
        <v>11.2</v>
      </c>
      <c r="H461" t="n">
        <v>0</v>
      </c>
      <c r="I461" t="n">
        <v>0</v>
      </c>
      <c r="J461" t="n">
        <v>0</v>
      </c>
      <c r="K461" t="n">
        <v>0</v>
      </c>
      <c r="L461" t="n">
        <v>0</v>
      </c>
      <c r="M461" t="n">
        <v>0</v>
      </c>
      <c r="N461" t="n">
        <v>0</v>
      </c>
      <c r="O461" t="n">
        <v>0</v>
      </c>
      <c r="P461" t="n">
        <v>0</v>
      </c>
      <c r="Q461" t="n">
        <v>0</v>
      </c>
      <c r="R461" s="2" t="inlineStr"/>
    </row>
    <row r="462" ht="15" customHeight="1">
      <c r="A462" t="inlineStr">
        <is>
          <t>A 43749-2022</t>
        </is>
      </c>
      <c r="B462" s="1" t="n">
        <v>44837</v>
      </c>
      <c r="C462" s="1" t="n">
        <v>45827</v>
      </c>
      <c r="D462" t="inlineStr">
        <is>
          <t>NORRBOTTENS LÄN</t>
        </is>
      </c>
      <c r="E462" t="inlineStr">
        <is>
          <t>PAJALA</t>
        </is>
      </c>
      <c r="G462" t="n">
        <v>2.3</v>
      </c>
      <c r="H462" t="n">
        <v>0</v>
      </c>
      <c r="I462" t="n">
        <v>0</v>
      </c>
      <c r="J462" t="n">
        <v>0</v>
      </c>
      <c r="K462" t="n">
        <v>0</v>
      </c>
      <c r="L462" t="n">
        <v>0</v>
      </c>
      <c r="M462" t="n">
        <v>0</v>
      </c>
      <c r="N462" t="n">
        <v>0</v>
      </c>
      <c r="O462" t="n">
        <v>0</v>
      </c>
      <c r="P462" t="n">
        <v>0</v>
      </c>
      <c r="Q462" t="n">
        <v>0</v>
      </c>
      <c r="R462" s="2" t="inlineStr"/>
    </row>
    <row r="463" ht="15" customHeight="1">
      <c r="A463" t="inlineStr">
        <is>
          <t>A 43751-2022</t>
        </is>
      </c>
      <c r="B463" s="1" t="n">
        <v>44837</v>
      </c>
      <c r="C463" s="1" t="n">
        <v>45827</v>
      </c>
      <c r="D463" t="inlineStr">
        <is>
          <t>NORRBOTTENS LÄN</t>
        </is>
      </c>
      <c r="E463" t="inlineStr">
        <is>
          <t>PAJALA</t>
        </is>
      </c>
      <c r="G463" t="n">
        <v>1.8</v>
      </c>
      <c r="H463" t="n">
        <v>0</v>
      </c>
      <c r="I463" t="n">
        <v>0</v>
      </c>
      <c r="J463" t="n">
        <v>0</v>
      </c>
      <c r="K463" t="n">
        <v>0</v>
      </c>
      <c r="L463" t="n">
        <v>0</v>
      </c>
      <c r="M463" t="n">
        <v>0</v>
      </c>
      <c r="N463" t="n">
        <v>0</v>
      </c>
      <c r="O463" t="n">
        <v>0</v>
      </c>
      <c r="P463" t="n">
        <v>0</v>
      </c>
      <c r="Q463" t="n">
        <v>0</v>
      </c>
      <c r="R463" s="2" t="inlineStr"/>
    </row>
    <row r="464" ht="15" customHeight="1">
      <c r="A464" t="inlineStr">
        <is>
          <t>A 43599-2022</t>
        </is>
      </c>
      <c r="B464" s="1" t="n">
        <v>44837</v>
      </c>
      <c r="C464" s="1" t="n">
        <v>45827</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43750-2022</t>
        </is>
      </c>
      <c r="B465" s="1" t="n">
        <v>44837</v>
      </c>
      <c r="C465" s="1" t="n">
        <v>45827</v>
      </c>
      <c r="D465" t="inlineStr">
        <is>
          <t>NORRBOTTENS LÄN</t>
        </is>
      </c>
      <c r="E465" t="inlineStr">
        <is>
          <t>PAJALA</t>
        </is>
      </c>
      <c r="G465" t="n">
        <v>0.7</v>
      </c>
      <c r="H465" t="n">
        <v>0</v>
      </c>
      <c r="I465" t="n">
        <v>0</v>
      </c>
      <c r="J465" t="n">
        <v>0</v>
      </c>
      <c r="K465" t="n">
        <v>0</v>
      </c>
      <c r="L465" t="n">
        <v>0</v>
      </c>
      <c r="M465" t="n">
        <v>0</v>
      </c>
      <c r="N465" t="n">
        <v>0</v>
      </c>
      <c r="O465" t="n">
        <v>0</v>
      </c>
      <c r="P465" t="n">
        <v>0</v>
      </c>
      <c r="Q465" t="n">
        <v>0</v>
      </c>
      <c r="R465" s="2" t="inlineStr"/>
    </row>
    <row r="466" ht="15" customHeight="1">
      <c r="A466" t="inlineStr">
        <is>
          <t>A 44833-2022</t>
        </is>
      </c>
      <c r="B466" s="1" t="n">
        <v>44839</v>
      </c>
      <c r="C466" s="1" t="n">
        <v>45827</v>
      </c>
      <c r="D466" t="inlineStr">
        <is>
          <t>NORRBOTTENS LÄN</t>
        </is>
      </c>
      <c r="E466" t="inlineStr">
        <is>
          <t>PAJALA</t>
        </is>
      </c>
      <c r="G466" t="n">
        <v>19.9</v>
      </c>
      <c r="H466" t="n">
        <v>0</v>
      </c>
      <c r="I466" t="n">
        <v>0</v>
      </c>
      <c r="J466" t="n">
        <v>0</v>
      </c>
      <c r="K466" t="n">
        <v>0</v>
      </c>
      <c r="L466" t="n">
        <v>0</v>
      </c>
      <c r="M466" t="n">
        <v>0</v>
      </c>
      <c r="N466" t="n">
        <v>0</v>
      </c>
      <c r="O466" t="n">
        <v>0</v>
      </c>
      <c r="P466" t="n">
        <v>0</v>
      </c>
      <c r="Q466" t="n">
        <v>0</v>
      </c>
      <c r="R466" s="2" t="inlineStr"/>
    </row>
    <row r="467" ht="15" customHeight="1">
      <c r="A467" t="inlineStr">
        <is>
          <t>A 44868-2022</t>
        </is>
      </c>
      <c r="B467" s="1" t="n">
        <v>44839</v>
      </c>
      <c r="C467" s="1" t="n">
        <v>45827</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44772-2022</t>
        </is>
      </c>
      <c r="B468" s="1" t="n">
        <v>44841</v>
      </c>
      <c r="C468" s="1" t="n">
        <v>45827</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44821-2022</t>
        </is>
      </c>
      <c r="B469" s="1" t="n">
        <v>44841</v>
      </c>
      <c r="C469" s="1" t="n">
        <v>45827</v>
      </c>
      <c r="D469" t="inlineStr">
        <is>
          <t>NORRBOTTENS LÄN</t>
        </is>
      </c>
      <c r="E469" t="inlineStr">
        <is>
          <t>PAJALA</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45181-2022</t>
        </is>
      </c>
      <c r="B470" s="1" t="n">
        <v>44844</v>
      </c>
      <c r="C470" s="1" t="n">
        <v>45827</v>
      </c>
      <c r="D470" t="inlineStr">
        <is>
          <t>NORRBOTTENS LÄN</t>
        </is>
      </c>
      <c r="E470" t="inlineStr">
        <is>
          <t>PAJALA</t>
        </is>
      </c>
      <c r="G470" t="n">
        <v>5.6</v>
      </c>
      <c r="H470" t="n">
        <v>0</v>
      </c>
      <c r="I470" t="n">
        <v>0</v>
      </c>
      <c r="J470" t="n">
        <v>0</v>
      </c>
      <c r="K470" t="n">
        <v>0</v>
      </c>
      <c r="L470" t="n">
        <v>0</v>
      </c>
      <c r="M470" t="n">
        <v>0</v>
      </c>
      <c r="N470" t="n">
        <v>0</v>
      </c>
      <c r="O470" t="n">
        <v>0</v>
      </c>
      <c r="P470" t="n">
        <v>0</v>
      </c>
      <c r="Q470" t="n">
        <v>0</v>
      </c>
      <c r="R470" s="2" t="inlineStr"/>
    </row>
    <row r="471" ht="15" customHeight="1">
      <c r="A471" t="inlineStr">
        <is>
          <t>A 45480-2022</t>
        </is>
      </c>
      <c r="B471" s="1" t="n">
        <v>44845</v>
      </c>
      <c r="C471" s="1" t="n">
        <v>45827</v>
      </c>
      <c r="D471" t="inlineStr">
        <is>
          <t>NORRBOTTENS LÄN</t>
        </is>
      </c>
      <c r="E471" t="inlineStr">
        <is>
          <t>PAJALA</t>
        </is>
      </c>
      <c r="G471" t="n">
        <v>15.5</v>
      </c>
      <c r="H471" t="n">
        <v>0</v>
      </c>
      <c r="I471" t="n">
        <v>0</v>
      </c>
      <c r="J471" t="n">
        <v>0</v>
      </c>
      <c r="K471" t="n">
        <v>0</v>
      </c>
      <c r="L471" t="n">
        <v>0</v>
      </c>
      <c r="M471" t="n">
        <v>0</v>
      </c>
      <c r="N471" t="n">
        <v>0</v>
      </c>
      <c r="O471" t="n">
        <v>0</v>
      </c>
      <c r="P471" t="n">
        <v>0</v>
      </c>
      <c r="Q471" t="n">
        <v>0</v>
      </c>
      <c r="R471" s="2" t="inlineStr"/>
    </row>
    <row r="472" ht="15" customHeight="1">
      <c r="A472" t="inlineStr">
        <is>
          <t>A 46100-2022</t>
        </is>
      </c>
      <c r="B472" s="1" t="n">
        <v>44845</v>
      </c>
      <c r="C472" s="1" t="n">
        <v>45827</v>
      </c>
      <c r="D472" t="inlineStr">
        <is>
          <t>NORRBOTTENS LÄN</t>
        </is>
      </c>
      <c r="E472" t="inlineStr">
        <is>
          <t>PAJALA</t>
        </is>
      </c>
      <c r="G472" t="n">
        <v>4.3</v>
      </c>
      <c r="H472" t="n">
        <v>0</v>
      </c>
      <c r="I472" t="n">
        <v>0</v>
      </c>
      <c r="J472" t="n">
        <v>0</v>
      </c>
      <c r="K472" t="n">
        <v>0</v>
      </c>
      <c r="L472" t="n">
        <v>0</v>
      </c>
      <c r="M472" t="n">
        <v>0</v>
      </c>
      <c r="N472" t="n">
        <v>0</v>
      </c>
      <c r="O472" t="n">
        <v>0</v>
      </c>
      <c r="P472" t="n">
        <v>0</v>
      </c>
      <c r="Q472" t="n">
        <v>0</v>
      </c>
      <c r="R472" s="2" t="inlineStr"/>
    </row>
    <row r="473" ht="15" customHeight="1">
      <c r="A473" t="inlineStr">
        <is>
          <t>A 46120-2022</t>
        </is>
      </c>
      <c r="B473" s="1" t="n">
        <v>44845</v>
      </c>
      <c r="C473" s="1" t="n">
        <v>45827</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45722-2022</t>
        </is>
      </c>
      <c r="B474" s="1" t="n">
        <v>44846</v>
      </c>
      <c r="C474" s="1" t="n">
        <v>45827</v>
      </c>
      <c r="D474" t="inlineStr">
        <is>
          <t>NORRBOTTENS LÄN</t>
        </is>
      </c>
      <c r="E474" t="inlineStr">
        <is>
          <t>PAJALA</t>
        </is>
      </c>
      <c r="F474" t="inlineStr">
        <is>
          <t>Sveaskog</t>
        </is>
      </c>
      <c r="G474" t="n">
        <v>6.1</v>
      </c>
      <c r="H474" t="n">
        <v>0</v>
      </c>
      <c r="I474" t="n">
        <v>0</v>
      </c>
      <c r="J474" t="n">
        <v>0</v>
      </c>
      <c r="K474" t="n">
        <v>0</v>
      </c>
      <c r="L474" t="n">
        <v>0</v>
      </c>
      <c r="M474" t="n">
        <v>0</v>
      </c>
      <c r="N474" t="n">
        <v>0</v>
      </c>
      <c r="O474" t="n">
        <v>0</v>
      </c>
      <c r="P474" t="n">
        <v>0</v>
      </c>
      <c r="Q474" t="n">
        <v>0</v>
      </c>
      <c r="R474" s="2" t="inlineStr"/>
    </row>
    <row r="475" ht="15" customHeight="1">
      <c r="A475" t="inlineStr">
        <is>
          <t>A 46557-2022</t>
        </is>
      </c>
      <c r="B475" s="1" t="n">
        <v>44848</v>
      </c>
      <c r="C475" s="1" t="n">
        <v>45827</v>
      </c>
      <c r="D475" t="inlineStr">
        <is>
          <t>NORRBOTTENS LÄN</t>
        </is>
      </c>
      <c r="E475" t="inlineStr">
        <is>
          <t>PAJALA</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46554-2022</t>
        </is>
      </c>
      <c r="B476" s="1" t="n">
        <v>44848</v>
      </c>
      <c r="C476" s="1" t="n">
        <v>45827</v>
      </c>
      <c r="D476" t="inlineStr">
        <is>
          <t>NORRBOTTENS LÄN</t>
        </is>
      </c>
      <c r="E476" t="inlineStr">
        <is>
          <t>PAJALA</t>
        </is>
      </c>
      <c r="F476" t="inlineStr">
        <is>
          <t>Sveaskog</t>
        </is>
      </c>
      <c r="G476" t="n">
        <v>18.6</v>
      </c>
      <c r="H476" t="n">
        <v>0</v>
      </c>
      <c r="I476" t="n">
        <v>0</v>
      </c>
      <c r="J476" t="n">
        <v>0</v>
      </c>
      <c r="K476" t="n">
        <v>0</v>
      </c>
      <c r="L476" t="n">
        <v>0</v>
      </c>
      <c r="M476" t="n">
        <v>0</v>
      </c>
      <c r="N476" t="n">
        <v>0</v>
      </c>
      <c r="O476" t="n">
        <v>0</v>
      </c>
      <c r="P476" t="n">
        <v>0</v>
      </c>
      <c r="Q476" t="n">
        <v>0</v>
      </c>
      <c r="R476" s="2" t="inlineStr"/>
    </row>
    <row r="477" ht="15" customHeight="1">
      <c r="A477" t="inlineStr">
        <is>
          <t>A 48170-2022</t>
        </is>
      </c>
      <c r="B477" s="1" t="n">
        <v>44853</v>
      </c>
      <c r="C477" s="1" t="n">
        <v>45827</v>
      </c>
      <c r="D477" t="inlineStr">
        <is>
          <t>NORRBOTTENS LÄN</t>
        </is>
      </c>
      <c r="E477" t="inlineStr">
        <is>
          <t>PAJALA</t>
        </is>
      </c>
      <c r="F477" t="inlineStr">
        <is>
          <t>Allmännings- och besparingsskogar</t>
        </is>
      </c>
      <c r="G477" t="n">
        <v>26.3</v>
      </c>
      <c r="H477" t="n">
        <v>0</v>
      </c>
      <c r="I477" t="n">
        <v>0</v>
      </c>
      <c r="J477" t="n">
        <v>0</v>
      </c>
      <c r="K477" t="n">
        <v>0</v>
      </c>
      <c r="L477" t="n">
        <v>0</v>
      </c>
      <c r="M477" t="n">
        <v>0</v>
      </c>
      <c r="N477" t="n">
        <v>0</v>
      </c>
      <c r="O477" t="n">
        <v>0</v>
      </c>
      <c r="P477" t="n">
        <v>0</v>
      </c>
      <c r="Q477" t="n">
        <v>0</v>
      </c>
      <c r="R477" s="2" t="inlineStr"/>
    </row>
    <row r="478" ht="15" customHeight="1">
      <c r="A478" t="inlineStr">
        <is>
          <t>A 47701-2022</t>
        </is>
      </c>
      <c r="B478" s="1" t="n">
        <v>44854</v>
      </c>
      <c r="C478" s="1" t="n">
        <v>45827</v>
      </c>
      <c r="D478" t="inlineStr">
        <is>
          <t>NORRBOTTENS LÄN</t>
        </is>
      </c>
      <c r="E478" t="inlineStr">
        <is>
          <t>PAJALA</t>
        </is>
      </c>
      <c r="F478" t="inlineStr">
        <is>
          <t>Sveaskog</t>
        </is>
      </c>
      <c r="G478" t="n">
        <v>4.3</v>
      </c>
      <c r="H478" t="n">
        <v>0</v>
      </c>
      <c r="I478" t="n">
        <v>0</v>
      </c>
      <c r="J478" t="n">
        <v>0</v>
      </c>
      <c r="K478" t="n">
        <v>0</v>
      </c>
      <c r="L478" t="n">
        <v>0</v>
      </c>
      <c r="M478" t="n">
        <v>0</v>
      </c>
      <c r="N478" t="n">
        <v>0</v>
      </c>
      <c r="O478" t="n">
        <v>0</v>
      </c>
      <c r="P478" t="n">
        <v>0</v>
      </c>
      <c r="Q478" t="n">
        <v>0</v>
      </c>
      <c r="R478" s="2" t="inlineStr"/>
    </row>
    <row r="479" ht="15" customHeight="1">
      <c r="A479" t="inlineStr">
        <is>
          <t>A 47703-2022</t>
        </is>
      </c>
      <c r="B479" s="1" t="n">
        <v>44854</v>
      </c>
      <c r="C479" s="1" t="n">
        <v>45827</v>
      </c>
      <c r="D479" t="inlineStr">
        <is>
          <t>NORRBOTTENS LÄN</t>
        </is>
      </c>
      <c r="E479" t="inlineStr">
        <is>
          <t>PAJALA</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48680-2022</t>
        </is>
      </c>
      <c r="B480" s="1" t="n">
        <v>44859</v>
      </c>
      <c r="C480" s="1" t="n">
        <v>45827</v>
      </c>
      <c r="D480" t="inlineStr">
        <is>
          <t>NORRBOTTENS LÄN</t>
        </is>
      </c>
      <c r="E480" t="inlineStr">
        <is>
          <t>PAJALA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48906-2022</t>
        </is>
      </c>
      <c r="B481" s="1" t="n">
        <v>44859</v>
      </c>
      <c r="C481" s="1" t="n">
        <v>45827</v>
      </c>
      <c r="D481" t="inlineStr">
        <is>
          <t>NORRBOTTENS LÄN</t>
        </is>
      </c>
      <c r="E481" t="inlineStr">
        <is>
          <t>PAJALA</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49577-2022</t>
        </is>
      </c>
      <c r="B482" s="1" t="n">
        <v>44859</v>
      </c>
      <c r="C482" s="1" t="n">
        <v>45827</v>
      </c>
      <c r="D482" t="inlineStr">
        <is>
          <t>NORRBOTTENS LÄN</t>
        </is>
      </c>
      <c r="E482" t="inlineStr">
        <is>
          <t>PAJALA</t>
        </is>
      </c>
      <c r="F482" t="inlineStr">
        <is>
          <t>Allmännings- och besparingsskogar</t>
        </is>
      </c>
      <c r="G482" t="n">
        <v>20.4</v>
      </c>
      <c r="H482" t="n">
        <v>0</v>
      </c>
      <c r="I482" t="n">
        <v>0</v>
      </c>
      <c r="J482" t="n">
        <v>0</v>
      </c>
      <c r="K482" t="n">
        <v>0</v>
      </c>
      <c r="L482" t="n">
        <v>0</v>
      </c>
      <c r="M482" t="n">
        <v>0</v>
      </c>
      <c r="N482" t="n">
        <v>0</v>
      </c>
      <c r="O482" t="n">
        <v>0</v>
      </c>
      <c r="P482" t="n">
        <v>0</v>
      </c>
      <c r="Q482" t="n">
        <v>0</v>
      </c>
      <c r="R482" s="2" t="inlineStr"/>
    </row>
    <row r="483" ht="15" customHeight="1">
      <c r="A483" t="inlineStr">
        <is>
          <t>A 49009-2022</t>
        </is>
      </c>
      <c r="B483" s="1" t="n">
        <v>44860</v>
      </c>
      <c r="C483" s="1" t="n">
        <v>45827</v>
      </c>
      <c r="D483" t="inlineStr">
        <is>
          <t>NORRBOTTENS LÄN</t>
        </is>
      </c>
      <c r="E483" t="inlineStr">
        <is>
          <t>PAJALA</t>
        </is>
      </c>
      <c r="G483" t="n">
        <v>3.8</v>
      </c>
      <c r="H483" t="n">
        <v>0</v>
      </c>
      <c r="I483" t="n">
        <v>0</v>
      </c>
      <c r="J483" t="n">
        <v>0</v>
      </c>
      <c r="K483" t="n">
        <v>0</v>
      </c>
      <c r="L483" t="n">
        <v>0</v>
      </c>
      <c r="M483" t="n">
        <v>0</v>
      </c>
      <c r="N483" t="n">
        <v>0</v>
      </c>
      <c r="O483" t="n">
        <v>0</v>
      </c>
      <c r="P483" t="n">
        <v>0</v>
      </c>
      <c r="Q483" t="n">
        <v>0</v>
      </c>
      <c r="R483" s="2" t="inlineStr"/>
    </row>
    <row r="484" ht="15" customHeight="1">
      <c r="A484" t="inlineStr">
        <is>
          <t>A 49019-2022</t>
        </is>
      </c>
      <c r="B484" s="1" t="n">
        <v>44860</v>
      </c>
      <c r="C484" s="1" t="n">
        <v>45827</v>
      </c>
      <c r="D484" t="inlineStr">
        <is>
          <t>NORRBOTTENS LÄN</t>
        </is>
      </c>
      <c r="E484" t="inlineStr">
        <is>
          <t>PAJALA</t>
        </is>
      </c>
      <c r="G484" t="n">
        <v>6.5</v>
      </c>
      <c r="H484" t="n">
        <v>0</v>
      </c>
      <c r="I484" t="n">
        <v>0</v>
      </c>
      <c r="J484" t="n">
        <v>0</v>
      </c>
      <c r="K484" t="n">
        <v>0</v>
      </c>
      <c r="L484" t="n">
        <v>0</v>
      </c>
      <c r="M484" t="n">
        <v>0</v>
      </c>
      <c r="N484" t="n">
        <v>0</v>
      </c>
      <c r="O484" t="n">
        <v>0</v>
      </c>
      <c r="P484" t="n">
        <v>0</v>
      </c>
      <c r="Q484" t="n">
        <v>0</v>
      </c>
      <c r="R484" s="2" t="inlineStr"/>
    </row>
    <row r="485" ht="15" customHeight="1">
      <c r="A485" t="inlineStr">
        <is>
          <t>A 49008-2022</t>
        </is>
      </c>
      <c r="B485" s="1" t="n">
        <v>44860</v>
      </c>
      <c r="C485" s="1" t="n">
        <v>45827</v>
      </c>
      <c r="D485" t="inlineStr">
        <is>
          <t>NORRBOTTENS LÄN</t>
        </is>
      </c>
      <c r="E485" t="inlineStr">
        <is>
          <t>PAJALA</t>
        </is>
      </c>
      <c r="G485" t="n">
        <v>3.7</v>
      </c>
      <c r="H485" t="n">
        <v>0</v>
      </c>
      <c r="I485" t="n">
        <v>0</v>
      </c>
      <c r="J485" t="n">
        <v>0</v>
      </c>
      <c r="K485" t="n">
        <v>0</v>
      </c>
      <c r="L485" t="n">
        <v>0</v>
      </c>
      <c r="M485" t="n">
        <v>0</v>
      </c>
      <c r="N485" t="n">
        <v>0</v>
      </c>
      <c r="O485" t="n">
        <v>0</v>
      </c>
      <c r="P485" t="n">
        <v>0</v>
      </c>
      <c r="Q485" t="n">
        <v>0</v>
      </c>
      <c r="R485" s="2" t="inlineStr"/>
    </row>
    <row r="486" ht="15" customHeight="1">
      <c r="A486" t="inlineStr">
        <is>
          <t>A 49057-2022</t>
        </is>
      </c>
      <c r="B486" s="1" t="n">
        <v>44860</v>
      </c>
      <c r="C486" s="1" t="n">
        <v>45827</v>
      </c>
      <c r="D486" t="inlineStr">
        <is>
          <t>NORRBOTTENS LÄN</t>
        </is>
      </c>
      <c r="E486" t="inlineStr">
        <is>
          <t>PAJALA</t>
        </is>
      </c>
      <c r="F486" t="inlineStr">
        <is>
          <t>Sveaskog</t>
        </is>
      </c>
      <c r="G486" t="n">
        <v>4.9</v>
      </c>
      <c r="H486" t="n">
        <v>0</v>
      </c>
      <c r="I486" t="n">
        <v>0</v>
      </c>
      <c r="J486" t="n">
        <v>0</v>
      </c>
      <c r="K486" t="n">
        <v>0</v>
      </c>
      <c r="L486" t="n">
        <v>0</v>
      </c>
      <c r="M486" t="n">
        <v>0</v>
      </c>
      <c r="N486" t="n">
        <v>0</v>
      </c>
      <c r="O486" t="n">
        <v>0</v>
      </c>
      <c r="P486" t="n">
        <v>0</v>
      </c>
      <c r="Q486" t="n">
        <v>0</v>
      </c>
      <c r="R486" s="2" t="inlineStr"/>
    </row>
    <row r="487" ht="15" customHeight="1">
      <c r="A487" t="inlineStr">
        <is>
          <t>A 49994-2022</t>
        </is>
      </c>
      <c r="B487" s="1" t="n">
        <v>44860</v>
      </c>
      <c r="C487" s="1" t="n">
        <v>45827</v>
      </c>
      <c r="D487" t="inlineStr">
        <is>
          <t>NORRBOTTENS LÄN</t>
        </is>
      </c>
      <c r="E487" t="inlineStr">
        <is>
          <t>PAJALA</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50361-2022</t>
        </is>
      </c>
      <c r="B488" s="1" t="n">
        <v>44860</v>
      </c>
      <c r="C488" s="1" t="n">
        <v>45827</v>
      </c>
      <c r="D488" t="inlineStr">
        <is>
          <t>NORRBOTTENS LÄN</t>
        </is>
      </c>
      <c r="E488" t="inlineStr">
        <is>
          <t>PAJALA</t>
        </is>
      </c>
      <c r="G488" t="n">
        <v>33.4</v>
      </c>
      <c r="H488" t="n">
        <v>0</v>
      </c>
      <c r="I488" t="n">
        <v>0</v>
      </c>
      <c r="J488" t="n">
        <v>0</v>
      </c>
      <c r="K488" t="n">
        <v>0</v>
      </c>
      <c r="L488" t="n">
        <v>0</v>
      </c>
      <c r="M488" t="n">
        <v>0</v>
      </c>
      <c r="N488" t="n">
        <v>0</v>
      </c>
      <c r="O488" t="n">
        <v>0</v>
      </c>
      <c r="P488" t="n">
        <v>0</v>
      </c>
      <c r="Q488" t="n">
        <v>0</v>
      </c>
      <c r="R488" s="2" t="inlineStr"/>
    </row>
    <row r="489" ht="15" customHeight="1">
      <c r="A489" t="inlineStr">
        <is>
          <t>A 50389-2022</t>
        </is>
      </c>
      <c r="B489" s="1" t="n">
        <v>44861</v>
      </c>
      <c r="C489" s="1" t="n">
        <v>45827</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50396-2022</t>
        </is>
      </c>
      <c r="B490" s="1" t="n">
        <v>44861</v>
      </c>
      <c r="C490" s="1" t="n">
        <v>45827</v>
      </c>
      <c r="D490" t="inlineStr">
        <is>
          <t>NORRBOTTENS LÄN</t>
        </is>
      </c>
      <c r="E490" t="inlineStr">
        <is>
          <t>PAJALA</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50725-2022</t>
        </is>
      </c>
      <c r="B491" s="1" t="n">
        <v>44862</v>
      </c>
      <c r="C491" s="1" t="n">
        <v>45827</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51745-2022</t>
        </is>
      </c>
      <c r="B492" s="1" t="n">
        <v>44867</v>
      </c>
      <c r="C492" s="1" t="n">
        <v>45827</v>
      </c>
      <c r="D492" t="inlineStr">
        <is>
          <t>NORRBOTTENS LÄN</t>
        </is>
      </c>
      <c r="E492" t="inlineStr">
        <is>
          <t>PAJALA</t>
        </is>
      </c>
      <c r="F492" t="inlineStr">
        <is>
          <t>Allmännings- och besparingsskogar</t>
        </is>
      </c>
      <c r="G492" t="n">
        <v>33.4</v>
      </c>
      <c r="H492" t="n">
        <v>0</v>
      </c>
      <c r="I492" t="n">
        <v>0</v>
      </c>
      <c r="J492" t="n">
        <v>0</v>
      </c>
      <c r="K492" t="n">
        <v>0</v>
      </c>
      <c r="L492" t="n">
        <v>0</v>
      </c>
      <c r="M492" t="n">
        <v>0</v>
      </c>
      <c r="N492" t="n">
        <v>0</v>
      </c>
      <c r="O492" t="n">
        <v>0</v>
      </c>
      <c r="P492" t="n">
        <v>0</v>
      </c>
      <c r="Q492" t="n">
        <v>0</v>
      </c>
      <c r="R492" s="2" t="inlineStr"/>
    </row>
    <row r="493" ht="15" customHeight="1">
      <c r="A493" t="inlineStr">
        <is>
          <t>A 51391-2022</t>
        </is>
      </c>
      <c r="B493" s="1" t="n">
        <v>44869</v>
      </c>
      <c r="C493" s="1" t="n">
        <v>45827</v>
      </c>
      <c r="D493" t="inlineStr">
        <is>
          <t>NORRBOTTENS LÄN</t>
        </is>
      </c>
      <c r="E493" t="inlineStr">
        <is>
          <t>PAJALA</t>
        </is>
      </c>
      <c r="G493" t="n">
        <v>0</v>
      </c>
      <c r="H493" t="n">
        <v>0</v>
      </c>
      <c r="I493" t="n">
        <v>0</v>
      </c>
      <c r="J493" t="n">
        <v>0</v>
      </c>
      <c r="K493" t="n">
        <v>0</v>
      </c>
      <c r="L493" t="n">
        <v>0</v>
      </c>
      <c r="M493" t="n">
        <v>0</v>
      </c>
      <c r="N493" t="n">
        <v>0</v>
      </c>
      <c r="O493" t="n">
        <v>0</v>
      </c>
      <c r="P493" t="n">
        <v>0</v>
      </c>
      <c r="Q493" t="n">
        <v>0</v>
      </c>
      <c r="R493" s="2" t="inlineStr"/>
    </row>
    <row r="494" ht="15" customHeight="1">
      <c r="A494" t="inlineStr">
        <is>
          <t>A 52340-2022</t>
        </is>
      </c>
      <c r="B494" s="1" t="n">
        <v>44873</v>
      </c>
      <c r="C494" s="1" t="n">
        <v>45827</v>
      </c>
      <c r="D494" t="inlineStr">
        <is>
          <t>NORRBOTTENS LÄN</t>
        </is>
      </c>
      <c r="E494" t="inlineStr">
        <is>
          <t>PAJALA</t>
        </is>
      </c>
      <c r="G494" t="n">
        <v>1.6</v>
      </c>
      <c r="H494" t="n">
        <v>0</v>
      </c>
      <c r="I494" t="n">
        <v>0</v>
      </c>
      <c r="J494" t="n">
        <v>0</v>
      </c>
      <c r="K494" t="n">
        <v>0</v>
      </c>
      <c r="L494" t="n">
        <v>0</v>
      </c>
      <c r="M494" t="n">
        <v>0</v>
      </c>
      <c r="N494" t="n">
        <v>0</v>
      </c>
      <c r="O494" t="n">
        <v>0</v>
      </c>
      <c r="P494" t="n">
        <v>0</v>
      </c>
      <c r="Q494" t="n">
        <v>0</v>
      </c>
      <c r="R494" s="2" t="inlineStr"/>
    </row>
    <row r="495" ht="15" customHeight="1">
      <c r="A495" t="inlineStr">
        <is>
          <t>A 52332-2022</t>
        </is>
      </c>
      <c r="B495" s="1" t="n">
        <v>44873</v>
      </c>
      <c r="C495" s="1" t="n">
        <v>45827</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52336-2022</t>
        </is>
      </c>
      <c r="B496" s="1" t="n">
        <v>44873</v>
      </c>
      <c r="C496" s="1" t="n">
        <v>45827</v>
      </c>
      <c r="D496" t="inlineStr">
        <is>
          <t>NORRBOTTENS LÄN</t>
        </is>
      </c>
      <c r="E496" t="inlineStr">
        <is>
          <t>PAJALA</t>
        </is>
      </c>
      <c r="G496" t="n">
        <v>4.3</v>
      </c>
      <c r="H496" t="n">
        <v>0</v>
      </c>
      <c r="I496" t="n">
        <v>0</v>
      </c>
      <c r="J496" t="n">
        <v>0</v>
      </c>
      <c r="K496" t="n">
        <v>0</v>
      </c>
      <c r="L496" t="n">
        <v>0</v>
      </c>
      <c r="M496" t="n">
        <v>0</v>
      </c>
      <c r="N496" t="n">
        <v>0</v>
      </c>
      <c r="O496" t="n">
        <v>0</v>
      </c>
      <c r="P496" t="n">
        <v>0</v>
      </c>
      <c r="Q496" t="n">
        <v>0</v>
      </c>
      <c r="R496" s="2" t="inlineStr"/>
    </row>
    <row r="497" ht="15" customHeight="1">
      <c r="A497" t="inlineStr">
        <is>
          <t>A 52333-2022</t>
        </is>
      </c>
      <c r="B497" s="1" t="n">
        <v>44873</v>
      </c>
      <c r="C497" s="1" t="n">
        <v>45827</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52354-2022</t>
        </is>
      </c>
      <c r="B498" s="1" t="n">
        <v>44874</v>
      </c>
      <c r="C498" s="1" t="n">
        <v>45827</v>
      </c>
      <c r="D498" t="inlineStr">
        <is>
          <t>NORRBOTTENS LÄN</t>
        </is>
      </c>
      <c r="E498" t="inlineStr">
        <is>
          <t>PAJALA</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52625-2022</t>
        </is>
      </c>
      <c r="B499" s="1" t="n">
        <v>44874</v>
      </c>
      <c r="C499" s="1" t="n">
        <v>45827</v>
      </c>
      <c r="D499" t="inlineStr">
        <is>
          <t>NORRBOTTENS LÄN</t>
        </is>
      </c>
      <c r="E499" t="inlineStr">
        <is>
          <t>PAJALA</t>
        </is>
      </c>
      <c r="G499" t="n">
        <v>7.9</v>
      </c>
      <c r="H499" t="n">
        <v>0</v>
      </c>
      <c r="I499" t="n">
        <v>0</v>
      </c>
      <c r="J499" t="n">
        <v>0</v>
      </c>
      <c r="K499" t="n">
        <v>0</v>
      </c>
      <c r="L499" t="n">
        <v>0</v>
      </c>
      <c r="M499" t="n">
        <v>0</v>
      </c>
      <c r="N499" t="n">
        <v>0</v>
      </c>
      <c r="O499" t="n">
        <v>0</v>
      </c>
      <c r="P499" t="n">
        <v>0</v>
      </c>
      <c r="Q499" t="n">
        <v>0</v>
      </c>
      <c r="R499" s="2" t="inlineStr"/>
    </row>
    <row r="500" ht="15" customHeight="1">
      <c r="A500" t="inlineStr">
        <is>
          <t>A 53423-2022</t>
        </is>
      </c>
      <c r="B500" s="1" t="n">
        <v>44874</v>
      </c>
      <c r="C500" s="1" t="n">
        <v>45827</v>
      </c>
      <c r="D500" t="inlineStr">
        <is>
          <t>NORRBOTTENS LÄN</t>
        </is>
      </c>
      <c r="E500" t="inlineStr">
        <is>
          <t>PAJALA</t>
        </is>
      </c>
      <c r="G500" t="n">
        <v>6.9</v>
      </c>
      <c r="H500" t="n">
        <v>0</v>
      </c>
      <c r="I500" t="n">
        <v>0</v>
      </c>
      <c r="J500" t="n">
        <v>0</v>
      </c>
      <c r="K500" t="n">
        <v>0</v>
      </c>
      <c r="L500" t="n">
        <v>0</v>
      </c>
      <c r="M500" t="n">
        <v>0</v>
      </c>
      <c r="N500" t="n">
        <v>0</v>
      </c>
      <c r="O500" t="n">
        <v>0</v>
      </c>
      <c r="P500" t="n">
        <v>0</v>
      </c>
      <c r="Q500" t="n">
        <v>0</v>
      </c>
      <c r="R500" s="2" t="inlineStr"/>
    </row>
    <row r="501" ht="15" customHeight="1">
      <c r="A501" t="inlineStr">
        <is>
          <t>A 52751-2022</t>
        </is>
      </c>
      <c r="B501" s="1" t="n">
        <v>44875</v>
      </c>
      <c r="C501" s="1" t="n">
        <v>45827</v>
      </c>
      <c r="D501" t="inlineStr">
        <is>
          <t>NORRBOTTENS LÄN</t>
        </is>
      </c>
      <c r="E501" t="inlineStr">
        <is>
          <t>PAJALA</t>
        </is>
      </c>
      <c r="G501" t="n">
        <v>11.9</v>
      </c>
      <c r="H501" t="n">
        <v>0</v>
      </c>
      <c r="I501" t="n">
        <v>0</v>
      </c>
      <c r="J501" t="n">
        <v>0</v>
      </c>
      <c r="K501" t="n">
        <v>0</v>
      </c>
      <c r="L501" t="n">
        <v>0</v>
      </c>
      <c r="M501" t="n">
        <v>0</v>
      </c>
      <c r="N501" t="n">
        <v>0</v>
      </c>
      <c r="O501" t="n">
        <v>0</v>
      </c>
      <c r="P501" t="n">
        <v>0</v>
      </c>
      <c r="Q501" t="n">
        <v>0</v>
      </c>
      <c r="R501" s="2" t="inlineStr"/>
    </row>
    <row r="502" ht="15" customHeight="1">
      <c r="A502" t="inlineStr">
        <is>
          <t>A 54359-2022</t>
        </is>
      </c>
      <c r="B502" s="1" t="n">
        <v>44879</v>
      </c>
      <c r="C502" s="1" t="n">
        <v>45827</v>
      </c>
      <c r="D502" t="inlineStr">
        <is>
          <t>NORRBOTTENS LÄN</t>
        </is>
      </c>
      <c r="E502" t="inlineStr">
        <is>
          <t>PAJALA</t>
        </is>
      </c>
      <c r="G502" t="n">
        <v>40.7</v>
      </c>
      <c r="H502" t="n">
        <v>0</v>
      </c>
      <c r="I502" t="n">
        <v>0</v>
      </c>
      <c r="J502" t="n">
        <v>0</v>
      </c>
      <c r="K502" t="n">
        <v>0</v>
      </c>
      <c r="L502" t="n">
        <v>0</v>
      </c>
      <c r="M502" t="n">
        <v>0</v>
      </c>
      <c r="N502" t="n">
        <v>0</v>
      </c>
      <c r="O502" t="n">
        <v>0</v>
      </c>
      <c r="P502" t="n">
        <v>0</v>
      </c>
      <c r="Q502" t="n">
        <v>0</v>
      </c>
      <c r="R502" s="2" t="inlineStr"/>
    </row>
    <row r="503" ht="15" customHeight="1">
      <c r="A503" t="inlineStr">
        <is>
          <t>A 54322-2022</t>
        </is>
      </c>
      <c r="B503" s="1" t="n">
        <v>44882</v>
      </c>
      <c r="C503" s="1" t="n">
        <v>45827</v>
      </c>
      <c r="D503" t="inlineStr">
        <is>
          <t>NORRBOTTENS LÄN</t>
        </is>
      </c>
      <c r="E503" t="inlineStr">
        <is>
          <t>PAJALA</t>
        </is>
      </c>
      <c r="G503" t="n">
        <v>10.8</v>
      </c>
      <c r="H503" t="n">
        <v>0</v>
      </c>
      <c r="I503" t="n">
        <v>0</v>
      </c>
      <c r="J503" t="n">
        <v>0</v>
      </c>
      <c r="K503" t="n">
        <v>0</v>
      </c>
      <c r="L503" t="n">
        <v>0</v>
      </c>
      <c r="M503" t="n">
        <v>0</v>
      </c>
      <c r="N503" t="n">
        <v>0</v>
      </c>
      <c r="O503" t="n">
        <v>0</v>
      </c>
      <c r="P503" t="n">
        <v>0</v>
      </c>
      <c r="Q503" t="n">
        <v>0</v>
      </c>
      <c r="R503" s="2" t="inlineStr"/>
    </row>
    <row r="504" ht="15" customHeight="1">
      <c r="A504" t="inlineStr">
        <is>
          <t>A 54863-2022</t>
        </is>
      </c>
      <c r="B504" s="1" t="n">
        <v>44884</v>
      </c>
      <c r="C504" s="1" t="n">
        <v>45827</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54862-2022</t>
        </is>
      </c>
      <c r="B505" s="1" t="n">
        <v>44884</v>
      </c>
      <c r="C505" s="1" t="n">
        <v>45827</v>
      </c>
      <c r="D505" t="inlineStr">
        <is>
          <t>NORRBOTTENS LÄN</t>
        </is>
      </c>
      <c r="E505" t="inlineStr">
        <is>
          <t>PAJALA</t>
        </is>
      </c>
      <c r="G505" t="n">
        <v>4.1</v>
      </c>
      <c r="H505" t="n">
        <v>0</v>
      </c>
      <c r="I505" t="n">
        <v>0</v>
      </c>
      <c r="J505" t="n">
        <v>0</v>
      </c>
      <c r="K505" t="n">
        <v>0</v>
      </c>
      <c r="L505" t="n">
        <v>0</v>
      </c>
      <c r="M505" t="n">
        <v>0</v>
      </c>
      <c r="N505" t="n">
        <v>0</v>
      </c>
      <c r="O505" t="n">
        <v>0</v>
      </c>
      <c r="P505" t="n">
        <v>0</v>
      </c>
      <c r="Q505" t="n">
        <v>0</v>
      </c>
      <c r="R505" s="2" t="inlineStr"/>
    </row>
    <row r="506" ht="15" customHeight="1">
      <c r="A506" t="inlineStr">
        <is>
          <t>A 54861-2022</t>
        </is>
      </c>
      <c r="B506" s="1" t="n">
        <v>44884</v>
      </c>
      <c r="C506" s="1" t="n">
        <v>45827</v>
      </c>
      <c r="D506" t="inlineStr">
        <is>
          <t>NORRBOTTENS LÄN</t>
        </is>
      </c>
      <c r="E506" t="inlineStr">
        <is>
          <t>PAJALA</t>
        </is>
      </c>
      <c r="G506" t="n">
        <v>2.2</v>
      </c>
      <c r="H506" t="n">
        <v>0</v>
      </c>
      <c r="I506" t="n">
        <v>0</v>
      </c>
      <c r="J506" t="n">
        <v>0</v>
      </c>
      <c r="K506" t="n">
        <v>0</v>
      </c>
      <c r="L506" t="n">
        <v>0</v>
      </c>
      <c r="M506" t="n">
        <v>0</v>
      </c>
      <c r="N506" t="n">
        <v>0</v>
      </c>
      <c r="O506" t="n">
        <v>0</v>
      </c>
      <c r="P506" t="n">
        <v>0</v>
      </c>
      <c r="Q506" t="n">
        <v>0</v>
      </c>
      <c r="R506" s="2" t="inlineStr"/>
    </row>
    <row r="507" ht="15" customHeight="1">
      <c r="A507" t="inlineStr">
        <is>
          <t>A 55462-2022</t>
        </is>
      </c>
      <c r="B507" s="1" t="n">
        <v>44887</v>
      </c>
      <c r="C507" s="1" t="n">
        <v>45827</v>
      </c>
      <c r="D507" t="inlineStr">
        <is>
          <t>NORRBOTTENS LÄN</t>
        </is>
      </c>
      <c r="E507" t="inlineStr">
        <is>
          <t>PAJALA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56087-2022</t>
        </is>
      </c>
      <c r="B508" s="1" t="n">
        <v>44889</v>
      </c>
      <c r="C508" s="1" t="n">
        <v>45827</v>
      </c>
      <c r="D508" t="inlineStr">
        <is>
          <t>NORRBOTTENS LÄN</t>
        </is>
      </c>
      <c r="E508" t="inlineStr">
        <is>
          <t>PAJALA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57323-2022</t>
        </is>
      </c>
      <c r="B509" s="1" t="n">
        <v>44889</v>
      </c>
      <c r="C509" s="1" t="n">
        <v>45827</v>
      </c>
      <c r="D509" t="inlineStr">
        <is>
          <t>NORRBOTTENS LÄN</t>
        </is>
      </c>
      <c r="E509" t="inlineStr">
        <is>
          <t>PAJALA</t>
        </is>
      </c>
      <c r="G509" t="n">
        <v>14</v>
      </c>
      <c r="H509" t="n">
        <v>0</v>
      </c>
      <c r="I509" t="n">
        <v>0</v>
      </c>
      <c r="J509" t="n">
        <v>0</v>
      </c>
      <c r="K509" t="n">
        <v>0</v>
      </c>
      <c r="L509" t="n">
        <v>0</v>
      </c>
      <c r="M509" t="n">
        <v>0</v>
      </c>
      <c r="N509" t="n">
        <v>0</v>
      </c>
      <c r="O509" t="n">
        <v>0</v>
      </c>
      <c r="P509" t="n">
        <v>0</v>
      </c>
      <c r="Q509" t="n">
        <v>0</v>
      </c>
      <c r="R509" s="2" t="inlineStr"/>
    </row>
    <row r="510" ht="15" customHeight="1">
      <c r="A510" t="inlineStr">
        <is>
          <t>A 57331-2022</t>
        </is>
      </c>
      <c r="B510" s="1" t="n">
        <v>44889</v>
      </c>
      <c r="C510" s="1" t="n">
        <v>45827</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56445-2022</t>
        </is>
      </c>
      <c r="B511" s="1" t="n">
        <v>44892</v>
      </c>
      <c r="C511" s="1" t="n">
        <v>45827</v>
      </c>
      <c r="D511" t="inlineStr">
        <is>
          <t>NORRBOTTENS LÄN</t>
        </is>
      </c>
      <c r="E511" t="inlineStr">
        <is>
          <t>PAJALA</t>
        </is>
      </c>
      <c r="G511" t="n">
        <v>15.6</v>
      </c>
      <c r="H511" t="n">
        <v>0</v>
      </c>
      <c r="I511" t="n">
        <v>0</v>
      </c>
      <c r="J511" t="n">
        <v>0</v>
      </c>
      <c r="K511" t="n">
        <v>0</v>
      </c>
      <c r="L511" t="n">
        <v>0</v>
      </c>
      <c r="M511" t="n">
        <v>0</v>
      </c>
      <c r="N511" t="n">
        <v>0</v>
      </c>
      <c r="O511" t="n">
        <v>0</v>
      </c>
      <c r="P511" t="n">
        <v>0</v>
      </c>
      <c r="Q511" t="n">
        <v>0</v>
      </c>
      <c r="R511" s="2" t="inlineStr"/>
    </row>
    <row r="512" ht="15" customHeight="1">
      <c r="A512" t="inlineStr">
        <is>
          <t>A 56449-2022</t>
        </is>
      </c>
      <c r="B512" s="1" t="n">
        <v>44892</v>
      </c>
      <c r="C512" s="1" t="n">
        <v>45827</v>
      </c>
      <c r="D512" t="inlineStr">
        <is>
          <t>NORRBOTTENS LÄN</t>
        </is>
      </c>
      <c r="E512" t="inlineStr">
        <is>
          <t>PAJALA</t>
        </is>
      </c>
      <c r="G512" t="n">
        <v>6.8</v>
      </c>
      <c r="H512" t="n">
        <v>0</v>
      </c>
      <c r="I512" t="n">
        <v>0</v>
      </c>
      <c r="J512" t="n">
        <v>0</v>
      </c>
      <c r="K512" t="n">
        <v>0</v>
      </c>
      <c r="L512" t="n">
        <v>0</v>
      </c>
      <c r="M512" t="n">
        <v>0</v>
      </c>
      <c r="N512" t="n">
        <v>0</v>
      </c>
      <c r="O512" t="n">
        <v>0</v>
      </c>
      <c r="P512" t="n">
        <v>0</v>
      </c>
      <c r="Q512" t="n">
        <v>0</v>
      </c>
      <c r="R512" s="2" t="inlineStr"/>
    </row>
    <row r="513" ht="15" customHeight="1">
      <c r="A513" t="inlineStr">
        <is>
          <t>A 56446-2022</t>
        </is>
      </c>
      <c r="B513" s="1" t="n">
        <v>44892</v>
      </c>
      <c r="C513" s="1" t="n">
        <v>45827</v>
      </c>
      <c r="D513" t="inlineStr">
        <is>
          <t>NORRBOTTENS LÄN</t>
        </is>
      </c>
      <c r="E513" t="inlineStr">
        <is>
          <t>PAJALA</t>
        </is>
      </c>
      <c r="G513" t="n">
        <v>3.2</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v>
      </c>
      <c r="C514" s="1" t="n">
        <v>45827</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56994-2022</t>
        </is>
      </c>
      <c r="B515" s="1" t="n">
        <v>44894</v>
      </c>
      <c r="C515" s="1" t="n">
        <v>45827</v>
      </c>
      <c r="D515" t="inlineStr">
        <is>
          <t>NORRBOTTENS LÄN</t>
        </is>
      </c>
      <c r="E515" t="inlineStr">
        <is>
          <t>PAJALA</t>
        </is>
      </c>
      <c r="G515" t="n">
        <v>0.8</v>
      </c>
      <c r="H515" t="n">
        <v>0</v>
      </c>
      <c r="I515" t="n">
        <v>0</v>
      </c>
      <c r="J515" t="n">
        <v>0</v>
      </c>
      <c r="K515" t="n">
        <v>0</v>
      </c>
      <c r="L515" t="n">
        <v>0</v>
      </c>
      <c r="M515" t="n">
        <v>0</v>
      </c>
      <c r="N515" t="n">
        <v>0</v>
      </c>
      <c r="O515" t="n">
        <v>0</v>
      </c>
      <c r="P515" t="n">
        <v>0</v>
      </c>
      <c r="Q515" t="n">
        <v>0</v>
      </c>
      <c r="R515" s="2" t="inlineStr"/>
    </row>
    <row r="516" ht="15" customHeight="1">
      <c r="A516" t="inlineStr">
        <is>
          <t>A 58609-2022</t>
        </is>
      </c>
      <c r="B516" s="1" t="n">
        <v>44895</v>
      </c>
      <c r="C516" s="1" t="n">
        <v>45827</v>
      </c>
      <c r="D516" t="inlineStr">
        <is>
          <t>NORRBOTTENS LÄN</t>
        </is>
      </c>
      <c r="E516" t="inlineStr">
        <is>
          <t>PAJALA</t>
        </is>
      </c>
      <c r="G516" t="n">
        <v>2</v>
      </c>
      <c r="H516" t="n">
        <v>0</v>
      </c>
      <c r="I516" t="n">
        <v>0</v>
      </c>
      <c r="J516" t="n">
        <v>0</v>
      </c>
      <c r="K516" t="n">
        <v>0</v>
      </c>
      <c r="L516" t="n">
        <v>0</v>
      </c>
      <c r="M516" t="n">
        <v>0</v>
      </c>
      <c r="N516" t="n">
        <v>0</v>
      </c>
      <c r="O516" t="n">
        <v>0</v>
      </c>
      <c r="P516" t="n">
        <v>0</v>
      </c>
      <c r="Q516" t="n">
        <v>0</v>
      </c>
      <c r="R516" s="2" t="inlineStr"/>
    </row>
    <row r="517" ht="15" customHeight="1">
      <c r="A517" t="inlineStr">
        <is>
          <t>A 60862-2022</t>
        </is>
      </c>
      <c r="B517" s="1" t="n">
        <v>44908</v>
      </c>
      <c r="C517" s="1" t="n">
        <v>45827</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60948-2022</t>
        </is>
      </c>
      <c r="B518" s="1" t="n">
        <v>44908</v>
      </c>
      <c r="C518" s="1" t="n">
        <v>45827</v>
      </c>
      <c r="D518" t="inlineStr">
        <is>
          <t>NORRBOTTENS LÄN</t>
        </is>
      </c>
      <c r="E518" t="inlineStr">
        <is>
          <t>PAJALA</t>
        </is>
      </c>
      <c r="G518" t="n">
        <v>6.2</v>
      </c>
      <c r="H518" t="n">
        <v>0</v>
      </c>
      <c r="I518" t="n">
        <v>0</v>
      </c>
      <c r="J518" t="n">
        <v>0</v>
      </c>
      <c r="K518" t="n">
        <v>0</v>
      </c>
      <c r="L518" t="n">
        <v>0</v>
      </c>
      <c r="M518" t="n">
        <v>0</v>
      </c>
      <c r="N518" t="n">
        <v>0</v>
      </c>
      <c r="O518" t="n">
        <v>0</v>
      </c>
      <c r="P518" t="n">
        <v>0</v>
      </c>
      <c r="Q518" t="n">
        <v>0</v>
      </c>
      <c r="R518" s="2" t="inlineStr"/>
    </row>
    <row r="519" ht="15" customHeight="1">
      <c r="A519" t="inlineStr">
        <is>
          <t>A 60961-2022</t>
        </is>
      </c>
      <c r="B519" s="1" t="n">
        <v>44908</v>
      </c>
      <c r="C519" s="1" t="n">
        <v>45827</v>
      </c>
      <c r="D519" t="inlineStr">
        <is>
          <t>NORRBOTTENS LÄN</t>
        </is>
      </c>
      <c r="E519" t="inlineStr">
        <is>
          <t>PAJALA</t>
        </is>
      </c>
      <c r="G519" t="n">
        <v>1.6</v>
      </c>
      <c r="H519" t="n">
        <v>0</v>
      </c>
      <c r="I519" t="n">
        <v>0</v>
      </c>
      <c r="J519" t="n">
        <v>0</v>
      </c>
      <c r="K519" t="n">
        <v>0</v>
      </c>
      <c r="L519" t="n">
        <v>0</v>
      </c>
      <c r="M519" t="n">
        <v>0</v>
      </c>
      <c r="N519" t="n">
        <v>0</v>
      </c>
      <c r="O519" t="n">
        <v>0</v>
      </c>
      <c r="P519" t="n">
        <v>0</v>
      </c>
      <c r="Q519" t="n">
        <v>0</v>
      </c>
      <c r="R519" s="2" t="inlineStr"/>
    </row>
    <row r="520" ht="15" customHeight="1">
      <c r="A520" t="inlineStr">
        <is>
          <t>A 60951-2022</t>
        </is>
      </c>
      <c r="B520" s="1" t="n">
        <v>44908</v>
      </c>
      <c r="C520" s="1" t="n">
        <v>45827</v>
      </c>
      <c r="D520" t="inlineStr">
        <is>
          <t>NORRBOTTENS LÄN</t>
        </is>
      </c>
      <c r="E520" t="inlineStr">
        <is>
          <t>PAJALA</t>
        </is>
      </c>
      <c r="G520" t="n">
        <v>6</v>
      </c>
      <c r="H520" t="n">
        <v>0</v>
      </c>
      <c r="I520" t="n">
        <v>0</v>
      </c>
      <c r="J520" t="n">
        <v>0</v>
      </c>
      <c r="K520" t="n">
        <v>0</v>
      </c>
      <c r="L520" t="n">
        <v>0</v>
      </c>
      <c r="M520" t="n">
        <v>0</v>
      </c>
      <c r="N520" t="n">
        <v>0</v>
      </c>
      <c r="O520" t="n">
        <v>0</v>
      </c>
      <c r="P520" t="n">
        <v>0</v>
      </c>
      <c r="Q520" t="n">
        <v>0</v>
      </c>
      <c r="R520" s="2" t="inlineStr"/>
    </row>
    <row r="521" ht="15" customHeight="1">
      <c r="A521" t="inlineStr">
        <is>
          <t>A 61477-2022</t>
        </is>
      </c>
      <c r="B521" s="1" t="n">
        <v>44910</v>
      </c>
      <c r="C521" s="1" t="n">
        <v>45827</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60520-2022</t>
        </is>
      </c>
      <c r="B522" s="1" t="n">
        <v>44911</v>
      </c>
      <c r="C522" s="1" t="n">
        <v>45827</v>
      </c>
      <c r="D522" t="inlineStr">
        <is>
          <t>NORRBOTTENS LÄN</t>
        </is>
      </c>
      <c r="E522" t="inlineStr">
        <is>
          <t>PAJALA</t>
        </is>
      </c>
      <c r="F522" t="inlineStr">
        <is>
          <t>Kyrkan</t>
        </is>
      </c>
      <c r="G522" t="n">
        <v>20.1</v>
      </c>
      <c r="H522" t="n">
        <v>0</v>
      </c>
      <c r="I522" t="n">
        <v>0</v>
      </c>
      <c r="J522" t="n">
        <v>0</v>
      </c>
      <c r="K522" t="n">
        <v>0</v>
      </c>
      <c r="L522" t="n">
        <v>0</v>
      </c>
      <c r="M522" t="n">
        <v>0</v>
      </c>
      <c r="N522" t="n">
        <v>0</v>
      </c>
      <c r="O522" t="n">
        <v>0</v>
      </c>
      <c r="P522" t="n">
        <v>0</v>
      </c>
      <c r="Q522" t="n">
        <v>0</v>
      </c>
      <c r="R522" s="2" t="inlineStr"/>
    </row>
    <row r="523" ht="15" customHeight="1">
      <c r="A523" t="inlineStr">
        <is>
          <t>A 61613-2022</t>
        </is>
      </c>
      <c r="B523" s="1" t="n">
        <v>44916</v>
      </c>
      <c r="C523" s="1" t="n">
        <v>45827</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62298-2022</t>
        </is>
      </c>
      <c r="B524" s="1" t="n">
        <v>44923</v>
      </c>
      <c r="C524" s="1" t="n">
        <v>45827</v>
      </c>
      <c r="D524" t="inlineStr">
        <is>
          <t>NORRBOTTENS LÄN</t>
        </is>
      </c>
      <c r="E524" t="inlineStr">
        <is>
          <t>PAJALA</t>
        </is>
      </c>
      <c r="G524" t="n">
        <v>38.8</v>
      </c>
      <c r="H524" t="n">
        <v>0</v>
      </c>
      <c r="I524" t="n">
        <v>0</v>
      </c>
      <c r="J524" t="n">
        <v>0</v>
      </c>
      <c r="K524" t="n">
        <v>0</v>
      </c>
      <c r="L524" t="n">
        <v>0</v>
      </c>
      <c r="M524" t="n">
        <v>0</v>
      </c>
      <c r="N524" t="n">
        <v>0</v>
      </c>
      <c r="O524" t="n">
        <v>0</v>
      </c>
      <c r="P524" t="n">
        <v>0</v>
      </c>
      <c r="Q524" t="n">
        <v>0</v>
      </c>
      <c r="R524" s="2" t="inlineStr"/>
    </row>
    <row r="525" ht="15" customHeight="1">
      <c r="A525" t="inlineStr">
        <is>
          <t>A 2647-2023</t>
        </is>
      </c>
      <c r="B525" s="1" t="n">
        <v>44944</v>
      </c>
      <c r="C525" s="1" t="n">
        <v>45827</v>
      </c>
      <c r="D525" t="inlineStr">
        <is>
          <t>NORRBOTTENS LÄN</t>
        </is>
      </c>
      <c r="E525" t="inlineStr">
        <is>
          <t>PAJALA</t>
        </is>
      </c>
      <c r="G525" t="n">
        <v>18.4</v>
      </c>
      <c r="H525" t="n">
        <v>0</v>
      </c>
      <c r="I525" t="n">
        <v>0</v>
      </c>
      <c r="J525" t="n">
        <v>0</v>
      </c>
      <c r="K525" t="n">
        <v>0</v>
      </c>
      <c r="L525" t="n">
        <v>0</v>
      </c>
      <c r="M525" t="n">
        <v>0</v>
      </c>
      <c r="N525" t="n">
        <v>0</v>
      </c>
      <c r="O525" t="n">
        <v>0</v>
      </c>
      <c r="P525" t="n">
        <v>0</v>
      </c>
      <c r="Q525" t="n">
        <v>0</v>
      </c>
      <c r="R525" s="2" t="inlineStr"/>
    </row>
    <row r="526" ht="15" customHeight="1">
      <c r="A526" t="inlineStr">
        <is>
          <t>A 2651-2023</t>
        </is>
      </c>
      <c r="B526" s="1" t="n">
        <v>44944</v>
      </c>
      <c r="C526" s="1" t="n">
        <v>45827</v>
      </c>
      <c r="D526" t="inlineStr">
        <is>
          <t>NORRBOTTENS LÄN</t>
        </is>
      </c>
      <c r="E526" t="inlineStr">
        <is>
          <t>PAJALA</t>
        </is>
      </c>
      <c r="G526" t="n">
        <v>4.9</v>
      </c>
      <c r="H526" t="n">
        <v>0</v>
      </c>
      <c r="I526" t="n">
        <v>0</v>
      </c>
      <c r="J526" t="n">
        <v>0</v>
      </c>
      <c r="K526" t="n">
        <v>0</v>
      </c>
      <c r="L526" t="n">
        <v>0</v>
      </c>
      <c r="M526" t="n">
        <v>0</v>
      </c>
      <c r="N526" t="n">
        <v>0</v>
      </c>
      <c r="O526" t="n">
        <v>0</v>
      </c>
      <c r="P526" t="n">
        <v>0</v>
      </c>
      <c r="Q526" t="n">
        <v>0</v>
      </c>
      <c r="R526" s="2" t="inlineStr"/>
    </row>
    <row r="527" ht="15" customHeight="1">
      <c r="A527" t="inlineStr">
        <is>
          <t>A 2928-2023</t>
        </is>
      </c>
      <c r="B527" s="1" t="n">
        <v>44944</v>
      </c>
      <c r="C527" s="1" t="n">
        <v>45827</v>
      </c>
      <c r="D527" t="inlineStr">
        <is>
          <t>NORRBOTTENS LÄN</t>
        </is>
      </c>
      <c r="E527" t="inlineStr">
        <is>
          <t>PAJALA</t>
        </is>
      </c>
      <c r="G527" t="n">
        <v>15.2</v>
      </c>
      <c r="H527" t="n">
        <v>0</v>
      </c>
      <c r="I527" t="n">
        <v>0</v>
      </c>
      <c r="J527" t="n">
        <v>0</v>
      </c>
      <c r="K527" t="n">
        <v>0</v>
      </c>
      <c r="L527" t="n">
        <v>0</v>
      </c>
      <c r="M527" t="n">
        <v>0</v>
      </c>
      <c r="N527" t="n">
        <v>0</v>
      </c>
      <c r="O527" t="n">
        <v>0</v>
      </c>
      <c r="P527" t="n">
        <v>0</v>
      </c>
      <c r="Q527" t="n">
        <v>0</v>
      </c>
      <c r="R527" s="2" t="inlineStr"/>
    </row>
    <row r="528" ht="15" customHeight="1">
      <c r="A528" t="inlineStr">
        <is>
          <t>A 2948-2023</t>
        </is>
      </c>
      <c r="B528" s="1" t="n">
        <v>44945</v>
      </c>
      <c r="C528" s="1" t="n">
        <v>45827</v>
      </c>
      <c r="D528" t="inlineStr">
        <is>
          <t>NORRBOTTENS LÄN</t>
        </is>
      </c>
      <c r="E528" t="inlineStr">
        <is>
          <t>PAJALA</t>
        </is>
      </c>
      <c r="G528" t="n">
        <v>13</v>
      </c>
      <c r="H528" t="n">
        <v>0</v>
      </c>
      <c r="I528" t="n">
        <v>0</v>
      </c>
      <c r="J528" t="n">
        <v>0</v>
      </c>
      <c r="K528" t="n">
        <v>0</v>
      </c>
      <c r="L528" t="n">
        <v>0</v>
      </c>
      <c r="M528" t="n">
        <v>0</v>
      </c>
      <c r="N528" t="n">
        <v>0</v>
      </c>
      <c r="O528" t="n">
        <v>0</v>
      </c>
      <c r="P528" t="n">
        <v>0</v>
      </c>
      <c r="Q528" t="n">
        <v>0</v>
      </c>
      <c r="R528" s="2" t="inlineStr"/>
    </row>
    <row r="529" ht="15" customHeight="1">
      <c r="A529" t="inlineStr">
        <is>
          <t>A 2925-2023</t>
        </is>
      </c>
      <c r="B529" s="1" t="n">
        <v>44945</v>
      </c>
      <c r="C529" s="1" t="n">
        <v>45827</v>
      </c>
      <c r="D529" t="inlineStr">
        <is>
          <t>NORRBOTTENS LÄN</t>
        </is>
      </c>
      <c r="E529" t="inlineStr">
        <is>
          <t>PAJALA</t>
        </is>
      </c>
      <c r="G529" t="n">
        <v>20.2</v>
      </c>
      <c r="H529" t="n">
        <v>0</v>
      </c>
      <c r="I529" t="n">
        <v>0</v>
      </c>
      <c r="J529" t="n">
        <v>0</v>
      </c>
      <c r="K529" t="n">
        <v>0</v>
      </c>
      <c r="L529" t="n">
        <v>0</v>
      </c>
      <c r="M529" t="n">
        <v>0</v>
      </c>
      <c r="N529" t="n">
        <v>0</v>
      </c>
      <c r="O529" t="n">
        <v>0</v>
      </c>
      <c r="P529" t="n">
        <v>0</v>
      </c>
      <c r="Q529" t="n">
        <v>0</v>
      </c>
      <c r="R529" s="2" t="inlineStr"/>
    </row>
    <row r="530" ht="15" customHeight="1">
      <c r="A530" t="inlineStr">
        <is>
          <t>A 2931-2023</t>
        </is>
      </c>
      <c r="B530" s="1" t="n">
        <v>44945</v>
      </c>
      <c r="C530" s="1" t="n">
        <v>45827</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4354-2023</t>
        </is>
      </c>
      <c r="B531" s="1" t="n">
        <v>44954</v>
      </c>
      <c r="C531" s="1" t="n">
        <v>45827</v>
      </c>
      <c r="D531" t="inlineStr">
        <is>
          <t>NORRBOTTENS LÄN</t>
        </is>
      </c>
      <c r="E531" t="inlineStr">
        <is>
          <t>PAJALA</t>
        </is>
      </c>
      <c r="G531" t="n">
        <v>5</v>
      </c>
      <c r="H531" t="n">
        <v>0</v>
      </c>
      <c r="I531" t="n">
        <v>0</v>
      </c>
      <c r="J531" t="n">
        <v>0</v>
      </c>
      <c r="K531" t="n">
        <v>0</v>
      </c>
      <c r="L531" t="n">
        <v>0</v>
      </c>
      <c r="M531" t="n">
        <v>0</v>
      </c>
      <c r="N531" t="n">
        <v>0</v>
      </c>
      <c r="O531" t="n">
        <v>0</v>
      </c>
      <c r="P531" t="n">
        <v>0</v>
      </c>
      <c r="Q531" t="n">
        <v>0</v>
      </c>
      <c r="R531" s="2" t="inlineStr"/>
    </row>
    <row r="532" ht="15" customHeight="1">
      <c r="A532" t="inlineStr">
        <is>
          <t>A 5771-2023</t>
        </is>
      </c>
      <c r="B532" s="1" t="n">
        <v>44958</v>
      </c>
      <c r="C532" s="1" t="n">
        <v>45827</v>
      </c>
      <c r="D532" t="inlineStr">
        <is>
          <t>NORRBOTTENS LÄN</t>
        </is>
      </c>
      <c r="E532" t="inlineStr">
        <is>
          <t>PAJALA</t>
        </is>
      </c>
      <c r="G532" t="n">
        <v>0.7</v>
      </c>
      <c r="H532" t="n">
        <v>0</v>
      </c>
      <c r="I532" t="n">
        <v>0</v>
      </c>
      <c r="J532" t="n">
        <v>0</v>
      </c>
      <c r="K532" t="n">
        <v>0</v>
      </c>
      <c r="L532" t="n">
        <v>0</v>
      </c>
      <c r="M532" t="n">
        <v>0</v>
      </c>
      <c r="N532" t="n">
        <v>0</v>
      </c>
      <c r="O532" t="n">
        <v>0</v>
      </c>
      <c r="P532" t="n">
        <v>0</v>
      </c>
      <c r="Q532" t="n">
        <v>0</v>
      </c>
      <c r="R532" s="2" t="inlineStr"/>
    </row>
    <row r="533" ht="15" customHeight="1">
      <c r="A533" t="inlineStr">
        <is>
          <t>A 5434-2023</t>
        </is>
      </c>
      <c r="B533" s="1" t="n">
        <v>44959</v>
      </c>
      <c r="C533" s="1" t="n">
        <v>45827</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5336-2023</t>
        </is>
      </c>
      <c r="B534" s="1" t="n">
        <v>44959</v>
      </c>
      <c r="C534" s="1" t="n">
        <v>45827</v>
      </c>
      <c r="D534" t="inlineStr">
        <is>
          <t>NORRBOTTENS LÄN</t>
        </is>
      </c>
      <c r="E534" t="inlineStr">
        <is>
          <t>PAJALA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5435-2023</t>
        </is>
      </c>
      <c r="B535" s="1" t="n">
        <v>44959</v>
      </c>
      <c r="C535" s="1" t="n">
        <v>45827</v>
      </c>
      <c r="D535" t="inlineStr">
        <is>
          <t>NORRBOTTENS LÄN</t>
        </is>
      </c>
      <c r="E535" t="inlineStr">
        <is>
          <t>PAJALA</t>
        </is>
      </c>
      <c r="G535" t="n">
        <v>2.9</v>
      </c>
      <c r="H535" t="n">
        <v>0</v>
      </c>
      <c r="I535" t="n">
        <v>0</v>
      </c>
      <c r="J535" t="n">
        <v>0</v>
      </c>
      <c r="K535" t="n">
        <v>0</v>
      </c>
      <c r="L535" t="n">
        <v>0</v>
      </c>
      <c r="M535" t="n">
        <v>0</v>
      </c>
      <c r="N535" t="n">
        <v>0</v>
      </c>
      <c r="O535" t="n">
        <v>0</v>
      </c>
      <c r="P535" t="n">
        <v>0</v>
      </c>
      <c r="Q535" t="n">
        <v>0</v>
      </c>
      <c r="R535" s="2" t="inlineStr"/>
    </row>
    <row r="536" ht="15" customHeight="1">
      <c r="A536" t="inlineStr">
        <is>
          <t>A 5432-2023</t>
        </is>
      </c>
      <c r="B536" s="1" t="n">
        <v>44959</v>
      </c>
      <c r="C536" s="1" t="n">
        <v>45827</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5706-2023</t>
        </is>
      </c>
      <c r="B537" s="1" t="n">
        <v>44960</v>
      </c>
      <c r="C537" s="1" t="n">
        <v>45827</v>
      </c>
      <c r="D537" t="inlineStr">
        <is>
          <t>NORRBOTTENS LÄN</t>
        </is>
      </c>
      <c r="E537" t="inlineStr">
        <is>
          <t>PAJALA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5693-2023</t>
        </is>
      </c>
      <c r="B538" s="1" t="n">
        <v>44960</v>
      </c>
      <c r="C538" s="1" t="n">
        <v>45827</v>
      </c>
      <c r="D538" t="inlineStr">
        <is>
          <t>NORRBOTTENS LÄN</t>
        </is>
      </c>
      <c r="E538" t="inlineStr">
        <is>
          <t>PAJALA</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45827</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5784-2023</t>
        </is>
      </c>
      <c r="B540" s="1" t="n">
        <v>44963</v>
      </c>
      <c r="C540" s="1" t="n">
        <v>45827</v>
      </c>
      <c r="D540" t="inlineStr">
        <is>
          <t>NORRBOTTENS LÄN</t>
        </is>
      </c>
      <c r="E540" t="inlineStr">
        <is>
          <t>PAJALA</t>
        </is>
      </c>
      <c r="G540" t="n">
        <v>5.2</v>
      </c>
      <c r="H540" t="n">
        <v>0</v>
      </c>
      <c r="I540" t="n">
        <v>0</v>
      </c>
      <c r="J540" t="n">
        <v>0</v>
      </c>
      <c r="K540" t="n">
        <v>0</v>
      </c>
      <c r="L540" t="n">
        <v>0</v>
      </c>
      <c r="M540" t="n">
        <v>0</v>
      </c>
      <c r="N540" t="n">
        <v>0</v>
      </c>
      <c r="O540" t="n">
        <v>0</v>
      </c>
      <c r="P540" t="n">
        <v>0</v>
      </c>
      <c r="Q540" t="n">
        <v>0</v>
      </c>
      <c r="R540" s="2" t="inlineStr"/>
    </row>
    <row r="541" ht="15" customHeight="1">
      <c r="A541" t="inlineStr">
        <is>
          <t>A 5788-2023</t>
        </is>
      </c>
      <c r="B541" s="1" t="n">
        <v>44963</v>
      </c>
      <c r="C541" s="1" t="n">
        <v>45827</v>
      </c>
      <c r="D541" t="inlineStr">
        <is>
          <t>NORRBOTTENS LÄN</t>
        </is>
      </c>
      <c r="E541" t="inlineStr">
        <is>
          <t>PAJALA</t>
        </is>
      </c>
      <c r="G541" t="n">
        <v>0.8</v>
      </c>
      <c r="H541" t="n">
        <v>0</v>
      </c>
      <c r="I541" t="n">
        <v>0</v>
      </c>
      <c r="J541" t="n">
        <v>0</v>
      </c>
      <c r="K541" t="n">
        <v>0</v>
      </c>
      <c r="L541" t="n">
        <v>0</v>
      </c>
      <c r="M541" t="n">
        <v>0</v>
      </c>
      <c r="N541" t="n">
        <v>0</v>
      </c>
      <c r="O541" t="n">
        <v>0</v>
      </c>
      <c r="P541" t="n">
        <v>0</v>
      </c>
      <c r="Q541" t="n">
        <v>0</v>
      </c>
      <c r="R541" s="2" t="inlineStr"/>
    </row>
    <row r="542" ht="15" customHeight="1">
      <c r="A542" t="inlineStr">
        <is>
          <t>A 5786-2023</t>
        </is>
      </c>
      <c r="B542" s="1" t="n">
        <v>44963</v>
      </c>
      <c r="C542" s="1" t="n">
        <v>45827</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5791-2023</t>
        </is>
      </c>
      <c r="B543" s="1" t="n">
        <v>44963</v>
      </c>
      <c r="C543" s="1" t="n">
        <v>45827</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5780-2023</t>
        </is>
      </c>
      <c r="B544" s="1" t="n">
        <v>44963</v>
      </c>
      <c r="C544" s="1" t="n">
        <v>45827</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6973-2023</t>
        </is>
      </c>
      <c r="B545" s="1" t="n">
        <v>44964</v>
      </c>
      <c r="C545" s="1" t="n">
        <v>45827</v>
      </c>
      <c r="D545" t="inlineStr">
        <is>
          <t>NORRBOTTENS LÄN</t>
        </is>
      </c>
      <c r="E545" t="inlineStr">
        <is>
          <t>PAJALA</t>
        </is>
      </c>
      <c r="G545" t="n">
        <v>17.5</v>
      </c>
      <c r="H545" t="n">
        <v>0</v>
      </c>
      <c r="I545" t="n">
        <v>0</v>
      </c>
      <c r="J545" t="n">
        <v>0</v>
      </c>
      <c r="K545" t="n">
        <v>0</v>
      </c>
      <c r="L545" t="n">
        <v>0</v>
      </c>
      <c r="M545" t="n">
        <v>0</v>
      </c>
      <c r="N545" t="n">
        <v>0</v>
      </c>
      <c r="O545" t="n">
        <v>0</v>
      </c>
      <c r="P545" t="n">
        <v>0</v>
      </c>
      <c r="Q545" t="n">
        <v>0</v>
      </c>
      <c r="R545" s="2" t="inlineStr"/>
    </row>
    <row r="546" ht="15" customHeight="1">
      <c r="A546" t="inlineStr">
        <is>
          <t>A 7029-2023</t>
        </is>
      </c>
      <c r="B546" s="1" t="n">
        <v>44968</v>
      </c>
      <c r="C546" s="1" t="n">
        <v>45827</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7033-2023</t>
        </is>
      </c>
      <c r="B547" s="1" t="n">
        <v>44968</v>
      </c>
      <c r="C547" s="1" t="n">
        <v>45827</v>
      </c>
      <c r="D547" t="inlineStr">
        <is>
          <t>NORRBOTTENS LÄN</t>
        </is>
      </c>
      <c r="E547" t="inlineStr">
        <is>
          <t>PAJALA</t>
        </is>
      </c>
      <c r="G547" t="n">
        <v>2.9</v>
      </c>
      <c r="H547" t="n">
        <v>0</v>
      </c>
      <c r="I547" t="n">
        <v>0</v>
      </c>
      <c r="J547" t="n">
        <v>0</v>
      </c>
      <c r="K547" t="n">
        <v>0</v>
      </c>
      <c r="L547" t="n">
        <v>0</v>
      </c>
      <c r="M547" t="n">
        <v>0</v>
      </c>
      <c r="N547" t="n">
        <v>0</v>
      </c>
      <c r="O547" t="n">
        <v>0</v>
      </c>
      <c r="P547" t="n">
        <v>0</v>
      </c>
      <c r="Q547" t="n">
        <v>0</v>
      </c>
      <c r="R547" s="2" t="inlineStr"/>
    </row>
    <row r="548" ht="15" customHeight="1">
      <c r="A548" t="inlineStr">
        <is>
          <t>A 7028-2023</t>
        </is>
      </c>
      <c r="B548" s="1" t="n">
        <v>44968</v>
      </c>
      <c r="C548" s="1" t="n">
        <v>45827</v>
      </c>
      <c r="D548" t="inlineStr">
        <is>
          <t>NORRBOTTENS LÄN</t>
        </is>
      </c>
      <c r="E548" t="inlineStr">
        <is>
          <t>PAJALA</t>
        </is>
      </c>
      <c r="G548" t="n">
        <v>11.2</v>
      </c>
      <c r="H548" t="n">
        <v>0</v>
      </c>
      <c r="I548" t="n">
        <v>0</v>
      </c>
      <c r="J548" t="n">
        <v>0</v>
      </c>
      <c r="K548" t="n">
        <v>0</v>
      </c>
      <c r="L548" t="n">
        <v>0</v>
      </c>
      <c r="M548" t="n">
        <v>0</v>
      </c>
      <c r="N548" t="n">
        <v>0</v>
      </c>
      <c r="O548" t="n">
        <v>0</v>
      </c>
      <c r="P548" t="n">
        <v>0</v>
      </c>
      <c r="Q548" t="n">
        <v>0</v>
      </c>
      <c r="R548" s="2" t="inlineStr"/>
    </row>
    <row r="549" ht="15" customHeight="1">
      <c r="A549" t="inlineStr">
        <is>
          <t>A 7031-2023</t>
        </is>
      </c>
      <c r="B549" s="1" t="n">
        <v>44968</v>
      </c>
      <c r="C549" s="1" t="n">
        <v>45827</v>
      </c>
      <c r="D549" t="inlineStr">
        <is>
          <t>NORRBOTTENS LÄN</t>
        </is>
      </c>
      <c r="E549" t="inlineStr">
        <is>
          <t>PAJALA</t>
        </is>
      </c>
      <c r="G549" t="n">
        <v>41.3</v>
      </c>
      <c r="H549" t="n">
        <v>0</v>
      </c>
      <c r="I549" t="n">
        <v>0</v>
      </c>
      <c r="J549" t="n">
        <v>0</v>
      </c>
      <c r="K549" t="n">
        <v>0</v>
      </c>
      <c r="L549" t="n">
        <v>0</v>
      </c>
      <c r="M549" t="n">
        <v>0</v>
      </c>
      <c r="N549" t="n">
        <v>0</v>
      </c>
      <c r="O549" t="n">
        <v>0</v>
      </c>
      <c r="P549" t="n">
        <v>0</v>
      </c>
      <c r="Q549" t="n">
        <v>0</v>
      </c>
      <c r="R549" s="2" t="inlineStr"/>
    </row>
    <row r="550" ht="15" customHeight="1">
      <c r="A550" t="inlineStr">
        <is>
          <t>A 7942-2023</t>
        </is>
      </c>
      <c r="B550" s="1" t="n">
        <v>44970</v>
      </c>
      <c r="C550" s="1" t="n">
        <v>45827</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45827</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8903-2023</t>
        </is>
      </c>
      <c r="B552" s="1" t="n">
        <v>44973</v>
      </c>
      <c r="C552" s="1" t="n">
        <v>45827</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8984-2023</t>
        </is>
      </c>
      <c r="B553" s="1" t="n">
        <v>44979</v>
      </c>
      <c r="C553" s="1" t="n">
        <v>45827</v>
      </c>
      <c r="D553" t="inlineStr">
        <is>
          <t>NORRBOTTENS LÄN</t>
        </is>
      </c>
      <c r="E553" t="inlineStr">
        <is>
          <t>PAJALA</t>
        </is>
      </c>
      <c r="G553" t="n">
        <v>38.1</v>
      </c>
      <c r="H553" t="n">
        <v>0</v>
      </c>
      <c r="I553" t="n">
        <v>0</v>
      </c>
      <c r="J553" t="n">
        <v>0</v>
      </c>
      <c r="K553" t="n">
        <v>0</v>
      </c>
      <c r="L553" t="n">
        <v>0</v>
      </c>
      <c r="M553" t="n">
        <v>0</v>
      </c>
      <c r="N553" t="n">
        <v>0</v>
      </c>
      <c r="O553" t="n">
        <v>0</v>
      </c>
      <c r="P553" t="n">
        <v>0</v>
      </c>
      <c r="Q553" t="n">
        <v>0</v>
      </c>
      <c r="R553" s="2" t="inlineStr"/>
    </row>
    <row r="554" ht="15" customHeight="1">
      <c r="A554" t="inlineStr">
        <is>
          <t>A 10899-2023</t>
        </is>
      </c>
      <c r="B554" s="1" t="n">
        <v>44985</v>
      </c>
      <c r="C554" s="1" t="n">
        <v>45827</v>
      </c>
      <c r="D554" t="inlineStr">
        <is>
          <t>NORRBOTTENS LÄN</t>
        </is>
      </c>
      <c r="E554" t="inlineStr">
        <is>
          <t>PAJALA</t>
        </is>
      </c>
      <c r="G554" t="n">
        <v>9.4</v>
      </c>
      <c r="H554" t="n">
        <v>0</v>
      </c>
      <c r="I554" t="n">
        <v>0</v>
      </c>
      <c r="J554" t="n">
        <v>0</v>
      </c>
      <c r="K554" t="n">
        <v>0</v>
      </c>
      <c r="L554" t="n">
        <v>0</v>
      </c>
      <c r="M554" t="n">
        <v>0</v>
      </c>
      <c r="N554" t="n">
        <v>0</v>
      </c>
      <c r="O554" t="n">
        <v>0</v>
      </c>
      <c r="P554" t="n">
        <v>0</v>
      </c>
      <c r="Q554" t="n">
        <v>0</v>
      </c>
      <c r="R554" s="2" t="inlineStr"/>
    </row>
    <row r="555" ht="15" customHeight="1">
      <c r="A555" t="inlineStr">
        <is>
          <t>A 11197-2023</t>
        </is>
      </c>
      <c r="B555" s="1" t="n">
        <v>44988</v>
      </c>
      <c r="C555" s="1" t="n">
        <v>45827</v>
      </c>
      <c r="D555" t="inlineStr">
        <is>
          <t>NORRBOTTENS LÄN</t>
        </is>
      </c>
      <c r="E555" t="inlineStr">
        <is>
          <t>PAJALA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11207-2023</t>
        </is>
      </c>
      <c r="B556" s="1" t="n">
        <v>44988</v>
      </c>
      <c r="C556" s="1" t="n">
        <v>45827</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11200-2023</t>
        </is>
      </c>
      <c r="B557" s="1" t="n">
        <v>44988</v>
      </c>
      <c r="C557" s="1" t="n">
        <v>45827</v>
      </c>
      <c r="D557" t="inlineStr">
        <is>
          <t>NORRBOTTENS LÄN</t>
        </is>
      </c>
      <c r="E557" t="inlineStr">
        <is>
          <t>PAJALA</t>
        </is>
      </c>
      <c r="G557" t="n">
        <v>8.5</v>
      </c>
      <c r="H557" t="n">
        <v>0</v>
      </c>
      <c r="I557" t="n">
        <v>0</v>
      </c>
      <c r="J557" t="n">
        <v>0</v>
      </c>
      <c r="K557" t="n">
        <v>0</v>
      </c>
      <c r="L557" t="n">
        <v>0</v>
      </c>
      <c r="M557" t="n">
        <v>0</v>
      </c>
      <c r="N557" t="n">
        <v>0</v>
      </c>
      <c r="O557" t="n">
        <v>0</v>
      </c>
      <c r="P557" t="n">
        <v>0</v>
      </c>
      <c r="Q557" t="n">
        <v>0</v>
      </c>
      <c r="R557" s="2" t="inlineStr"/>
    </row>
    <row r="558" ht="15" customHeight="1">
      <c r="A558" t="inlineStr">
        <is>
          <t>A 11203-2023</t>
        </is>
      </c>
      <c r="B558" s="1" t="n">
        <v>44988</v>
      </c>
      <c r="C558" s="1" t="n">
        <v>45827</v>
      </c>
      <c r="D558" t="inlineStr">
        <is>
          <t>NORRBOTTENS LÄN</t>
        </is>
      </c>
      <c r="E558" t="inlineStr">
        <is>
          <t>PAJALA</t>
        </is>
      </c>
      <c r="G558" t="n">
        <v>6.4</v>
      </c>
      <c r="H558" t="n">
        <v>0</v>
      </c>
      <c r="I558" t="n">
        <v>0</v>
      </c>
      <c r="J558" t="n">
        <v>0</v>
      </c>
      <c r="K558" t="n">
        <v>0</v>
      </c>
      <c r="L558" t="n">
        <v>0</v>
      </c>
      <c r="M558" t="n">
        <v>0</v>
      </c>
      <c r="N558" t="n">
        <v>0</v>
      </c>
      <c r="O558" t="n">
        <v>0</v>
      </c>
      <c r="P558" t="n">
        <v>0</v>
      </c>
      <c r="Q558" t="n">
        <v>0</v>
      </c>
      <c r="R558" s="2" t="inlineStr"/>
    </row>
    <row r="559" ht="15" customHeight="1">
      <c r="A559" t="inlineStr">
        <is>
          <t>A 11512-2023</t>
        </is>
      </c>
      <c r="B559" s="1" t="n">
        <v>44988</v>
      </c>
      <c r="C559" s="1" t="n">
        <v>45827</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13197-2023</t>
        </is>
      </c>
      <c r="B560" s="1" t="n">
        <v>45002</v>
      </c>
      <c r="C560" s="1" t="n">
        <v>45827</v>
      </c>
      <c r="D560" t="inlineStr">
        <is>
          <t>NORRBOTTENS LÄN</t>
        </is>
      </c>
      <c r="E560" t="inlineStr">
        <is>
          <t>PAJALA</t>
        </is>
      </c>
      <c r="F560" t="inlineStr">
        <is>
          <t>Allmännings- och besparingsskogar</t>
        </is>
      </c>
      <c r="G560" t="n">
        <v>26.1</v>
      </c>
      <c r="H560" t="n">
        <v>0</v>
      </c>
      <c r="I560" t="n">
        <v>0</v>
      </c>
      <c r="J560" t="n">
        <v>0</v>
      </c>
      <c r="K560" t="n">
        <v>0</v>
      </c>
      <c r="L560" t="n">
        <v>0</v>
      </c>
      <c r="M560" t="n">
        <v>0</v>
      </c>
      <c r="N560" t="n">
        <v>0</v>
      </c>
      <c r="O560" t="n">
        <v>0</v>
      </c>
      <c r="P560" t="n">
        <v>0</v>
      </c>
      <c r="Q560" t="n">
        <v>0</v>
      </c>
      <c r="R560" s="2" t="inlineStr"/>
    </row>
    <row r="561" ht="15" customHeight="1">
      <c r="A561" t="inlineStr">
        <is>
          <t>A 13212-2023</t>
        </is>
      </c>
      <c r="B561" s="1" t="n">
        <v>45002</v>
      </c>
      <c r="C561" s="1" t="n">
        <v>45827</v>
      </c>
      <c r="D561" t="inlineStr">
        <is>
          <t>NORRBOTTENS LÄN</t>
        </is>
      </c>
      <c r="E561" t="inlineStr">
        <is>
          <t>PAJALA</t>
        </is>
      </c>
      <c r="F561" t="inlineStr">
        <is>
          <t>Allmännings- och besparingsskogar</t>
        </is>
      </c>
      <c r="G561" t="n">
        <v>46.9</v>
      </c>
      <c r="H561" t="n">
        <v>0</v>
      </c>
      <c r="I561" t="n">
        <v>0</v>
      </c>
      <c r="J561" t="n">
        <v>0</v>
      </c>
      <c r="K561" t="n">
        <v>0</v>
      </c>
      <c r="L561" t="n">
        <v>0</v>
      </c>
      <c r="M561" t="n">
        <v>0</v>
      </c>
      <c r="N561" t="n">
        <v>0</v>
      </c>
      <c r="O561" t="n">
        <v>0</v>
      </c>
      <c r="P561" t="n">
        <v>0</v>
      </c>
      <c r="Q561" t="n">
        <v>0</v>
      </c>
      <c r="R561" s="2" t="inlineStr"/>
    </row>
    <row r="562" ht="15" customHeight="1">
      <c r="A562" t="inlineStr">
        <is>
          <t>A 13207-2023</t>
        </is>
      </c>
      <c r="B562" s="1" t="n">
        <v>45002</v>
      </c>
      <c r="C562" s="1" t="n">
        <v>45827</v>
      </c>
      <c r="D562" t="inlineStr">
        <is>
          <t>NORRBOTTENS LÄN</t>
        </is>
      </c>
      <c r="E562" t="inlineStr">
        <is>
          <t>PAJALA</t>
        </is>
      </c>
      <c r="F562" t="inlineStr">
        <is>
          <t>Allmännings- och besparingsskogar</t>
        </is>
      </c>
      <c r="G562" t="n">
        <v>11.2</v>
      </c>
      <c r="H562" t="n">
        <v>0</v>
      </c>
      <c r="I562" t="n">
        <v>0</v>
      </c>
      <c r="J562" t="n">
        <v>0</v>
      </c>
      <c r="K562" t="n">
        <v>0</v>
      </c>
      <c r="L562" t="n">
        <v>0</v>
      </c>
      <c r="M562" t="n">
        <v>0</v>
      </c>
      <c r="N562" t="n">
        <v>0</v>
      </c>
      <c r="O562" t="n">
        <v>0</v>
      </c>
      <c r="P562" t="n">
        <v>0</v>
      </c>
      <c r="Q562" t="n">
        <v>0</v>
      </c>
      <c r="R562" s="2" t="inlineStr"/>
    </row>
    <row r="563" ht="15" customHeight="1">
      <c r="A563" t="inlineStr">
        <is>
          <t>A 13652-2023</t>
        </is>
      </c>
      <c r="B563" s="1" t="n">
        <v>45006</v>
      </c>
      <c r="C563" s="1" t="n">
        <v>45827</v>
      </c>
      <c r="D563" t="inlineStr">
        <is>
          <t>NORRBOTTENS LÄN</t>
        </is>
      </c>
      <c r="E563" t="inlineStr">
        <is>
          <t>PAJALA</t>
        </is>
      </c>
      <c r="F563" t="inlineStr">
        <is>
          <t>Allmännings- och besparingsskogar</t>
        </is>
      </c>
      <c r="G563" t="n">
        <v>31.1</v>
      </c>
      <c r="H563" t="n">
        <v>0</v>
      </c>
      <c r="I563" t="n">
        <v>0</v>
      </c>
      <c r="J563" t="n">
        <v>0</v>
      </c>
      <c r="K563" t="n">
        <v>0</v>
      </c>
      <c r="L563" t="n">
        <v>0</v>
      </c>
      <c r="M563" t="n">
        <v>0</v>
      </c>
      <c r="N563" t="n">
        <v>0</v>
      </c>
      <c r="O563" t="n">
        <v>0</v>
      </c>
      <c r="P563" t="n">
        <v>0</v>
      </c>
      <c r="Q563" t="n">
        <v>0</v>
      </c>
      <c r="R563" s="2" t="inlineStr"/>
    </row>
    <row r="564" ht="15" customHeight="1">
      <c r="A564" t="inlineStr">
        <is>
          <t>A 13659-2023</t>
        </is>
      </c>
      <c r="B564" s="1" t="n">
        <v>45006</v>
      </c>
      <c r="C564" s="1" t="n">
        <v>45827</v>
      </c>
      <c r="D564" t="inlineStr">
        <is>
          <t>NORRBOTTENS LÄN</t>
        </is>
      </c>
      <c r="E564" t="inlineStr">
        <is>
          <t>PAJALA</t>
        </is>
      </c>
      <c r="F564" t="inlineStr">
        <is>
          <t>Allmännings- och besparingsskogar</t>
        </is>
      </c>
      <c r="G564" t="n">
        <v>10.6</v>
      </c>
      <c r="H564" t="n">
        <v>0</v>
      </c>
      <c r="I564" t="n">
        <v>0</v>
      </c>
      <c r="J564" t="n">
        <v>0</v>
      </c>
      <c r="K564" t="n">
        <v>0</v>
      </c>
      <c r="L564" t="n">
        <v>0</v>
      </c>
      <c r="M564" t="n">
        <v>0</v>
      </c>
      <c r="N564" t="n">
        <v>0</v>
      </c>
      <c r="O564" t="n">
        <v>0</v>
      </c>
      <c r="P564" t="n">
        <v>0</v>
      </c>
      <c r="Q564" t="n">
        <v>0</v>
      </c>
      <c r="R564" s="2" t="inlineStr"/>
    </row>
    <row r="565" ht="15" customHeight="1">
      <c r="A565" t="inlineStr">
        <is>
          <t>A 14445-2023</t>
        </is>
      </c>
      <c r="B565" s="1" t="n">
        <v>45012</v>
      </c>
      <c r="C565" s="1" t="n">
        <v>45827</v>
      </c>
      <c r="D565" t="inlineStr">
        <is>
          <t>NORRBOTTENS LÄN</t>
        </is>
      </c>
      <c r="E565" t="inlineStr">
        <is>
          <t>PAJALA</t>
        </is>
      </c>
      <c r="G565" t="n">
        <v>4.9</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v>
      </c>
      <c r="C566" s="1" t="n">
        <v>45827</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14409-2023</t>
        </is>
      </c>
      <c r="B567" s="1" t="n">
        <v>45012</v>
      </c>
      <c r="C567" s="1" t="n">
        <v>45827</v>
      </c>
      <c r="D567" t="inlineStr">
        <is>
          <t>NORRBOTTENS LÄN</t>
        </is>
      </c>
      <c r="E567" t="inlineStr">
        <is>
          <t>PAJALA</t>
        </is>
      </c>
      <c r="G567" t="n">
        <v>2.6</v>
      </c>
      <c r="H567" t="n">
        <v>0</v>
      </c>
      <c r="I567" t="n">
        <v>0</v>
      </c>
      <c r="J567" t="n">
        <v>0</v>
      </c>
      <c r="K567" t="n">
        <v>0</v>
      </c>
      <c r="L567" t="n">
        <v>0</v>
      </c>
      <c r="M567" t="n">
        <v>0</v>
      </c>
      <c r="N567" t="n">
        <v>0</v>
      </c>
      <c r="O567" t="n">
        <v>0</v>
      </c>
      <c r="P567" t="n">
        <v>0</v>
      </c>
      <c r="Q567" t="n">
        <v>0</v>
      </c>
      <c r="R567" s="2" t="inlineStr"/>
    </row>
    <row r="568" ht="15" customHeight="1">
      <c r="A568" t="inlineStr">
        <is>
          <t>A 14573-2023</t>
        </is>
      </c>
      <c r="B568" s="1" t="n">
        <v>45012</v>
      </c>
      <c r="C568" s="1" t="n">
        <v>45827</v>
      </c>
      <c r="D568" t="inlineStr">
        <is>
          <t>NORRBOTTENS LÄN</t>
        </is>
      </c>
      <c r="E568" t="inlineStr">
        <is>
          <t>PAJALA</t>
        </is>
      </c>
      <c r="F568" t="inlineStr">
        <is>
          <t>Allmännings- och besparingsskogar</t>
        </is>
      </c>
      <c r="G568" t="n">
        <v>48.8</v>
      </c>
      <c r="H568" t="n">
        <v>0</v>
      </c>
      <c r="I568" t="n">
        <v>0</v>
      </c>
      <c r="J568" t="n">
        <v>0</v>
      </c>
      <c r="K568" t="n">
        <v>0</v>
      </c>
      <c r="L568" t="n">
        <v>0</v>
      </c>
      <c r="M568" t="n">
        <v>0</v>
      </c>
      <c r="N568" t="n">
        <v>0</v>
      </c>
      <c r="O568" t="n">
        <v>0</v>
      </c>
      <c r="P568" t="n">
        <v>0</v>
      </c>
      <c r="Q568" t="n">
        <v>0</v>
      </c>
      <c r="R568" s="2" t="inlineStr"/>
    </row>
    <row r="569" ht="15" customHeight="1">
      <c r="A569" t="inlineStr">
        <is>
          <t>A 14574-2023</t>
        </is>
      </c>
      <c r="B569" s="1" t="n">
        <v>45012</v>
      </c>
      <c r="C569" s="1" t="n">
        <v>45827</v>
      </c>
      <c r="D569" t="inlineStr">
        <is>
          <t>NORRBOTTENS LÄN</t>
        </is>
      </c>
      <c r="E569" t="inlineStr">
        <is>
          <t>PAJALA</t>
        </is>
      </c>
      <c r="F569" t="inlineStr">
        <is>
          <t>Allmännings- och besparingsskogar</t>
        </is>
      </c>
      <c r="G569" t="n">
        <v>31.2</v>
      </c>
      <c r="H569" t="n">
        <v>0</v>
      </c>
      <c r="I569" t="n">
        <v>0</v>
      </c>
      <c r="J569" t="n">
        <v>0</v>
      </c>
      <c r="K569" t="n">
        <v>0</v>
      </c>
      <c r="L569" t="n">
        <v>0</v>
      </c>
      <c r="M569" t="n">
        <v>0</v>
      </c>
      <c r="N569" t="n">
        <v>0</v>
      </c>
      <c r="O569" t="n">
        <v>0</v>
      </c>
      <c r="P569" t="n">
        <v>0</v>
      </c>
      <c r="Q569" t="n">
        <v>0</v>
      </c>
      <c r="R569" s="2" t="inlineStr"/>
    </row>
    <row r="570" ht="15" customHeight="1">
      <c r="A570" t="inlineStr">
        <is>
          <t>A 15422-2023</t>
        </is>
      </c>
      <c r="B570" s="1" t="n">
        <v>45019</v>
      </c>
      <c r="C570" s="1" t="n">
        <v>45827</v>
      </c>
      <c r="D570" t="inlineStr">
        <is>
          <t>NORRBOTTENS LÄN</t>
        </is>
      </c>
      <c r="E570" t="inlineStr">
        <is>
          <t>PAJALA</t>
        </is>
      </c>
      <c r="G570" t="n">
        <v>4.8</v>
      </c>
      <c r="H570" t="n">
        <v>0</v>
      </c>
      <c r="I570" t="n">
        <v>0</v>
      </c>
      <c r="J570" t="n">
        <v>0</v>
      </c>
      <c r="K570" t="n">
        <v>0</v>
      </c>
      <c r="L570" t="n">
        <v>0</v>
      </c>
      <c r="M570" t="n">
        <v>0</v>
      </c>
      <c r="N570" t="n">
        <v>0</v>
      </c>
      <c r="O570" t="n">
        <v>0</v>
      </c>
      <c r="P570" t="n">
        <v>0</v>
      </c>
      <c r="Q570" t="n">
        <v>0</v>
      </c>
      <c r="R570" s="2" t="inlineStr"/>
    </row>
    <row r="571" ht="15" customHeight="1">
      <c r="A571" t="inlineStr">
        <is>
          <t>A 16402-2023</t>
        </is>
      </c>
      <c r="B571" s="1" t="n">
        <v>45022</v>
      </c>
      <c r="C571" s="1" t="n">
        <v>45827</v>
      </c>
      <c r="D571" t="inlineStr">
        <is>
          <t>NORRBOTTENS LÄN</t>
        </is>
      </c>
      <c r="E571" t="inlineStr">
        <is>
          <t>PAJALA</t>
        </is>
      </c>
      <c r="F571" t="inlineStr">
        <is>
          <t>Allmännings- och besparingsskogar</t>
        </is>
      </c>
      <c r="G571" t="n">
        <v>2.5</v>
      </c>
      <c r="H571" t="n">
        <v>0</v>
      </c>
      <c r="I571" t="n">
        <v>0</v>
      </c>
      <c r="J571" t="n">
        <v>0</v>
      </c>
      <c r="K571" t="n">
        <v>0</v>
      </c>
      <c r="L571" t="n">
        <v>0</v>
      </c>
      <c r="M571" t="n">
        <v>0</v>
      </c>
      <c r="N571" t="n">
        <v>0</v>
      </c>
      <c r="O571" t="n">
        <v>0</v>
      </c>
      <c r="P571" t="n">
        <v>0</v>
      </c>
      <c r="Q571" t="n">
        <v>0</v>
      </c>
      <c r="R571" s="2" t="inlineStr"/>
    </row>
    <row r="572" ht="15" customHeight="1">
      <c r="A572" t="inlineStr">
        <is>
          <t>A 16184-2023</t>
        </is>
      </c>
      <c r="B572" s="1" t="n">
        <v>45027</v>
      </c>
      <c r="C572" s="1" t="n">
        <v>45827</v>
      </c>
      <c r="D572" t="inlineStr">
        <is>
          <t>NORRBOTTENS LÄN</t>
        </is>
      </c>
      <c r="E572" t="inlineStr">
        <is>
          <t>PAJALA</t>
        </is>
      </c>
      <c r="G572" t="n">
        <v>3.5</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v>
      </c>
      <c r="C573" s="1" t="n">
        <v>45827</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17000-2023</t>
        </is>
      </c>
      <c r="B574" s="1" t="n">
        <v>45033</v>
      </c>
      <c r="C574" s="1" t="n">
        <v>45827</v>
      </c>
      <c r="D574" t="inlineStr">
        <is>
          <t>NORRBOTTENS LÄN</t>
        </is>
      </c>
      <c r="E574" t="inlineStr">
        <is>
          <t>PAJALA</t>
        </is>
      </c>
      <c r="G574" t="n">
        <v>1.6</v>
      </c>
      <c r="H574" t="n">
        <v>0</v>
      </c>
      <c r="I574" t="n">
        <v>0</v>
      </c>
      <c r="J574" t="n">
        <v>0</v>
      </c>
      <c r="K574" t="n">
        <v>0</v>
      </c>
      <c r="L574" t="n">
        <v>0</v>
      </c>
      <c r="M574" t="n">
        <v>0</v>
      </c>
      <c r="N574" t="n">
        <v>0</v>
      </c>
      <c r="O574" t="n">
        <v>0</v>
      </c>
      <c r="P574" t="n">
        <v>0</v>
      </c>
      <c r="Q574" t="n">
        <v>0</v>
      </c>
      <c r="R574" s="2" t="inlineStr"/>
    </row>
    <row r="575" ht="15" customHeight="1">
      <c r="A575" t="inlineStr">
        <is>
          <t>A 17491-2023</t>
        </is>
      </c>
      <c r="B575" s="1" t="n">
        <v>45036</v>
      </c>
      <c r="C575" s="1" t="n">
        <v>45827</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17498-2023</t>
        </is>
      </c>
      <c r="B576" s="1" t="n">
        <v>45036</v>
      </c>
      <c r="C576" s="1" t="n">
        <v>45827</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17823-2023</t>
        </is>
      </c>
      <c r="B577" s="1" t="n">
        <v>45036</v>
      </c>
      <c r="C577" s="1" t="n">
        <v>45827</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17829-2023</t>
        </is>
      </c>
      <c r="B578" s="1" t="n">
        <v>45036</v>
      </c>
      <c r="C578" s="1" t="n">
        <v>45827</v>
      </c>
      <c r="D578" t="inlineStr">
        <is>
          <t>NORRBOTTENS LÄN</t>
        </is>
      </c>
      <c r="E578" t="inlineStr">
        <is>
          <t>PAJALA</t>
        </is>
      </c>
      <c r="G578" t="n">
        <v>41.2</v>
      </c>
      <c r="H578" t="n">
        <v>0</v>
      </c>
      <c r="I578" t="n">
        <v>0</v>
      </c>
      <c r="J578" t="n">
        <v>0</v>
      </c>
      <c r="K578" t="n">
        <v>0</v>
      </c>
      <c r="L578" t="n">
        <v>0</v>
      </c>
      <c r="M578" t="n">
        <v>0</v>
      </c>
      <c r="N578" t="n">
        <v>0</v>
      </c>
      <c r="O578" t="n">
        <v>0</v>
      </c>
      <c r="P578" t="n">
        <v>0</v>
      </c>
      <c r="Q578" t="n">
        <v>0</v>
      </c>
      <c r="R578" s="2" t="inlineStr"/>
    </row>
    <row r="579" ht="15" customHeight="1">
      <c r="A579" t="inlineStr">
        <is>
          <t>A 18663-2023</t>
        </is>
      </c>
      <c r="B579" s="1" t="n">
        <v>45043</v>
      </c>
      <c r="C579" s="1" t="n">
        <v>45827</v>
      </c>
      <c r="D579" t="inlineStr">
        <is>
          <t>NORRBOTTENS LÄN</t>
        </is>
      </c>
      <c r="E579" t="inlineStr">
        <is>
          <t>PAJALA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19925-2023</t>
        </is>
      </c>
      <c r="B580" s="1" t="n">
        <v>45054</v>
      </c>
      <c r="C580" s="1" t="n">
        <v>45827</v>
      </c>
      <c r="D580" t="inlineStr">
        <is>
          <t>NORRBOTTENS LÄN</t>
        </is>
      </c>
      <c r="E580" t="inlineStr">
        <is>
          <t>PAJALA</t>
        </is>
      </c>
      <c r="G580" t="n">
        <v>2</v>
      </c>
      <c r="H580" t="n">
        <v>0</v>
      </c>
      <c r="I580" t="n">
        <v>0</v>
      </c>
      <c r="J580" t="n">
        <v>0</v>
      </c>
      <c r="K580" t="n">
        <v>0</v>
      </c>
      <c r="L580" t="n">
        <v>0</v>
      </c>
      <c r="M580" t="n">
        <v>0</v>
      </c>
      <c r="N580" t="n">
        <v>0</v>
      </c>
      <c r="O580" t="n">
        <v>0</v>
      </c>
      <c r="P580" t="n">
        <v>0</v>
      </c>
      <c r="Q580" t="n">
        <v>0</v>
      </c>
      <c r="R580" s="2" t="inlineStr"/>
    </row>
    <row r="581" ht="15" customHeight="1">
      <c r="A581" t="inlineStr">
        <is>
          <t>A 19923-2023</t>
        </is>
      </c>
      <c r="B581" s="1" t="n">
        <v>45054</v>
      </c>
      <c r="C581" s="1" t="n">
        <v>45827</v>
      </c>
      <c r="D581" t="inlineStr">
        <is>
          <t>NORRBOTTENS LÄN</t>
        </is>
      </c>
      <c r="E581" t="inlineStr">
        <is>
          <t>PAJALA</t>
        </is>
      </c>
      <c r="G581" t="n">
        <v>3.1</v>
      </c>
      <c r="H581" t="n">
        <v>0</v>
      </c>
      <c r="I581" t="n">
        <v>0</v>
      </c>
      <c r="J581" t="n">
        <v>0</v>
      </c>
      <c r="K581" t="n">
        <v>0</v>
      </c>
      <c r="L581" t="n">
        <v>0</v>
      </c>
      <c r="M581" t="n">
        <v>0</v>
      </c>
      <c r="N581" t="n">
        <v>0</v>
      </c>
      <c r="O581" t="n">
        <v>0</v>
      </c>
      <c r="P581" t="n">
        <v>0</v>
      </c>
      <c r="Q581" t="n">
        <v>0</v>
      </c>
      <c r="R581" s="2" t="inlineStr"/>
    </row>
    <row r="582" ht="15" customHeight="1">
      <c r="A582" t="inlineStr">
        <is>
          <t>A 19928-2023</t>
        </is>
      </c>
      <c r="B582" s="1" t="n">
        <v>45054</v>
      </c>
      <c r="C582" s="1" t="n">
        <v>45827</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20685-2023</t>
        </is>
      </c>
      <c r="B583" s="1" t="n">
        <v>45055</v>
      </c>
      <c r="C583" s="1" t="n">
        <v>45827</v>
      </c>
      <c r="D583" t="inlineStr">
        <is>
          <t>NORRBOTTENS LÄN</t>
        </is>
      </c>
      <c r="E583" t="inlineStr">
        <is>
          <t>PAJALA</t>
        </is>
      </c>
      <c r="G583" t="n">
        <v>1.9</v>
      </c>
      <c r="H583" t="n">
        <v>0</v>
      </c>
      <c r="I583" t="n">
        <v>0</v>
      </c>
      <c r="J583" t="n">
        <v>0</v>
      </c>
      <c r="K583" t="n">
        <v>0</v>
      </c>
      <c r="L583" t="n">
        <v>0</v>
      </c>
      <c r="M583" t="n">
        <v>0</v>
      </c>
      <c r="N583" t="n">
        <v>0</v>
      </c>
      <c r="O583" t="n">
        <v>0</v>
      </c>
      <c r="P583" t="n">
        <v>0</v>
      </c>
      <c r="Q583" t="n">
        <v>0</v>
      </c>
      <c r="R583" s="2" t="inlineStr"/>
    </row>
    <row r="584" ht="15" customHeight="1">
      <c r="A584" t="inlineStr">
        <is>
          <t>A 20621-2023</t>
        </is>
      </c>
      <c r="B584" s="1" t="n">
        <v>45058</v>
      </c>
      <c r="C584" s="1" t="n">
        <v>45827</v>
      </c>
      <c r="D584" t="inlineStr">
        <is>
          <t>NORRBOTTENS LÄN</t>
        </is>
      </c>
      <c r="E584" t="inlineStr">
        <is>
          <t>PAJALA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20848-2023</t>
        </is>
      </c>
      <c r="B585" s="1" t="n">
        <v>45058</v>
      </c>
      <c r="C585" s="1" t="n">
        <v>45827</v>
      </c>
      <c r="D585" t="inlineStr">
        <is>
          <t>NORRBOTTENS LÄN</t>
        </is>
      </c>
      <c r="E585" t="inlineStr">
        <is>
          <t>PAJALA</t>
        </is>
      </c>
      <c r="G585" t="n">
        <v>1.6</v>
      </c>
      <c r="H585" t="n">
        <v>0</v>
      </c>
      <c r="I585" t="n">
        <v>0</v>
      </c>
      <c r="J585" t="n">
        <v>0</v>
      </c>
      <c r="K585" t="n">
        <v>0</v>
      </c>
      <c r="L585" t="n">
        <v>0</v>
      </c>
      <c r="M585" t="n">
        <v>0</v>
      </c>
      <c r="N585" t="n">
        <v>0</v>
      </c>
      <c r="O585" t="n">
        <v>0</v>
      </c>
      <c r="P585" t="n">
        <v>0</v>
      </c>
      <c r="Q585" t="n">
        <v>0</v>
      </c>
      <c r="R585" s="2" t="inlineStr"/>
    </row>
    <row r="586" ht="15" customHeight="1">
      <c r="A586" t="inlineStr">
        <is>
          <t>A 21123-2023</t>
        </is>
      </c>
      <c r="B586" s="1" t="n">
        <v>45062</v>
      </c>
      <c r="C586" s="1" t="n">
        <v>45827</v>
      </c>
      <c r="D586" t="inlineStr">
        <is>
          <t>NORRBOTTENS LÄN</t>
        </is>
      </c>
      <c r="E586" t="inlineStr">
        <is>
          <t>PAJALA</t>
        </is>
      </c>
      <c r="G586" t="n">
        <v>5</v>
      </c>
      <c r="H586" t="n">
        <v>0</v>
      </c>
      <c r="I586" t="n">
        <v>0</v>
      </c>
      <c r="J586" t="n">
        <v>0</v>
      </c>
      <c r="K586" t="n">
        <v>0</v>
      </c>
      <c r="L586" t="n">
        <v>0</v>
      </c>
      <c r="M586" t="n">
        <v>0</v>
      </c>
      <c r="N586" t="n">
        <v>0</v>
      </c>
      <c r="O586" t="n">
        <v>0</v>
      </c>
      <c r="P586" t="n">
        <v>0</v>
      </c>
      <c r="Q586" t="n">
        <v>0</v>
      </c>
      <c r="R586" s="2" t="inlineStr"/>
    </row>
    <row r="587" ht="15" customHeight="1">
      <c r="A587" t="inlineStr">
        <is>
          <t>A 21139-2023</t>
        </is>
      </c>
      <c r="B587" s="1" t="n">
        <v>45062</v>
      </c>
      <c r="C587" s="1" t="n">
        <v>45827</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21651-2023</t>
        </is>
      </c>
      <c r="B588" s="1" t="n">
        <v>45063</v>
      </c>
      <c r="C588" s="1" t="n">
        <v>45827</v>
      </c>
      <c r="D588" t="inlineStr">
        <is>
          <t>NORRBOTTENS LÄN</t>
        </is>
      </c>
      <c r="E588" t="inlineStr">
        <is>
          <t>PAJALA</t>
        </is>
      </c>
      <c r="F588" t="inlineStr">
        <is>
          <t>Sveaskog</t>
        </is>
      </c>
      <c r="G588" t="n">
        <v>19.5</v>
      </c>
      <c r="H588" t="n">
        <v>0</v>
      </c>
      <c r="I588" t="n">
        <v>0</v>
      </c>
      <c r="J588" t="n">
        <v>0</v>
      </c>
      <c r="K588" t="n">
        <v>0</v>
      </c>
      <c r="L588" t="n">
        <v>0</v>
      </c>
      <c r="M588" t="n">
        <v>0</v>
      </c>
      <c r="N588" t="n">
        <v>0</v>
      </c>
      <c r="O588" t="n">
        <v>0</v>
      </c>
      <c r="P588" t="n">
        <v>0</v>
      </c>
      <c r="Q588" t="n">
        <v>0</v>
      </c>
      <c r="R588" s="2" t="inlineStr"/>
    </row>
    <row r="589" ht="15" customHeight="1">
      <c r="A589" t="inlineStr">
        <is>
          <t>A 21702-2023</t>
        </is>
      </c>
      <c r="B589" s="1" t="n">
        <v>45064</v>
      </c>
      <c r="C589" s="1" t="n">
        <v>45827</v>
      </c>
      <c r="D589" t="inlineStr">
        <is>
          <t>NORRBOTTENS LÄN</t>
        </is>
      </c>
      <c r="E589" t="inlineStr">
        <is>
          <t>PAJALA</t>
        </is>
      </c>
      <c r="G589" t="n">
        <v>3.5</v>
      </c>
      <c r="H589" t="n">
        <v>0</v>
      </c>
      <c r="I589" t="n">
        <v>0</v>
      </c>
      <c r="J589" t="n">
        <v>0</v>
      </c>
      <c r="K589" t="n">
        <v>0</v>
      </c>
      <c r="L589" t="n">
        <v>0</v>
      </c>
      <c r="M589" t="n">
        <v>0</v>
      </c>
      <c r="N589" t="n">
        <v>0</v>
      </c>
      <c r="O589" t="n">
        <v>0</v>
      </c>
      <c r="P589" t="n">
        <v>0</v>
      </c>
      <c r="Q589" t="n">
        <v>0</v>
      </c>
      <c r="R589" s="2" t="inlineStr"/>
    </row>
    <row r="590" ht="15" customHeight="1">
      <c r="A590" t="inlineStr">
        <is>
          <t>A 22909-2023</t>
        </is>
      </c>
      <c r="B590" s="1" t="n">
        <v>45072</v>
      </c>
      <c r="C590" s="1" t="n">
        <v>45827</v>
      </c>
      <c r="D590" t="inlineStr">
        <is>
          <t>NORRBOTTENS LÄN</t>
        </is>
      </c>
      <c r="E590" t="inlineStr">
        <is>
          <t>PAJALA</t>
        </is>
      </c>
      <c r="F590" t="inlineStr">
        <is>
          <t>Sveaskog</t>
        </is>
      </c>
      <c r="G590" t="n">
        <v>22.1</v>
      </c>
      <c r="H590" t="n">
        <v>0</v>
      </c>
      <c r="I590" t="n">
        <v>0</v>
      </c>
      <c r="J590" t="n">
        <v>0</v>
      </c>
      <c r="K590" t="n">
        <v>0</v>
      </c>
      <c r="L590" t="n">
        <v>0</v>
      </c>
      <c r="M590" t="n">
        <v>0</v>
      </c>
      <c r="N590" t="n">
        <v>0</v>
      </c>
      <c r="O590" t="n">
        <v>0</v>
      </c>
      <c r="P590" t="n">
        <v>0</v>
      </c>
      <c r="Q590" t="n">
        <v>0</v>
      </c>
      <c r="R590" s="2" t="inlineStr"/>
    </row>
    <row r="591" ht="15" customHeight="1">
      <c r="A591" t="inlineStr">
        <is>
          <t>A 23351-2023</t>
        </is>
      </c>
      <c r="B591" s="1" t="n">
        <v>45076</v>
      </c>
      <c r="C591" s="1" t="n">
        <v>45827</v>
      </c>
      <c r="D591" t="inlineStr">
        <is>
          <t>NORRBOTTENS LÄN</t>
        </is>
      </c>
      <c r="E591" t="inlineStr">
        <is>
          <t>PAJALA</t>
        </is>
      </c>
      <c r="F591" t="inlineStr">
        <is>
          <t>Sveaskog</t>
        </is>
      </c>
      <c r="G591" t="n">
        <v>12.7</v>
      </c>
      <c r="H591" t="n">
        <v>0</v>
      </c>
      <c r="I591" t="n">
        <v>0</v>
      </c>
      <c r="J591" t="n">
        <v>0</v>
      </c>
      <c r="K591" t="n">
        <v>0</v>
      </c>
      <c r="L591" t="n">
        <v>0</v>
      </c>
      <c r="M591" t="n">
        <v>0</v>
      </c>
      <c r="N591" t="n">
        <v>0</v>
      </c>
      <c r="O591" t="n">
        <v>0</v>
      </c>
      <c r="P591" t="n">
        <v>0</v>
      </c>
      <c r="Q591" t="n">
        <v>0</v>
      </c>
      <c r="R591" s="2" t="inlineStr"/>
    </row>
    <row r="592" ht="15" customHeight="1">
      <c r="A592" t="inlineStr">
        <is>
          <t>A 23357-2023</t>
        </is>
      </c>
      <c r="B592" s="1" t="n">
        <v>45076</v>
      </c>
      <c r="C592" s="1" t="n">
        <v>45827</v>
      </c>
      <c r="D592" t="inlineStr">
        <is>
          <t>NORRBOTTENS LÄN</t>
        </is>
      </c>
      <c r="E592" t="inlineStr">
        <is>
          <t>PAJALA</t>
        </is>
      </c>
      <c r="F592" t="inlineStr">
        <is>
          <t>Sveaskog</t>
        </is>
      </c>
      <c r="G592" t="n">
        <v>11.2</v>
      </c>
      <c r="H592" t="n">
        <v>0</v>
      </c>
      <c r="I592" t="n">
        <v>0</v>
      </c>
      <c r="J592" t="n">
        <v>0</v>
      </c>
      <c r="K592" t="n">
        <v>0</v>
      </c>
      <c r="L592" t="n">
        <v>0</v>
      </c>
      <c r="M592" t="n">
        <v>0</v>
      </c>
      <c r="N592" t="n">
        <v>0</v>
      </c>
      <c r="O592" t="n">
        <v>0</v>
      </c>
      <c r="P592" t="n">
        <v>0</v>
      </c>
      <c r="Q592" t="n">
        <v>0</v>
      </c>
      <c r="R592" s="2" t="inlineStr"/>
    </row>
    <row r="593" ht="15" customHeight="1">
      <c r="A593" t="inlineStr">
        <is>
          <t>A 23502-2023</t>
        </is>
      </c>
      <c r="B593" s="1" t="n">
        <v>45076</v>
      </c>
      <c r="C593" s="1" t="n">
        <v>45827</v>
      </c>
      <c r="D593" t="inlineStr">
        <is>
          <t>NORRBOTTENS LÄN</t>
        </is>
      </c>
      <c r="E593" t="inlineStr">
        <is>
          <t>PAJALA</t>
        </is>
      </c>
      <c r="F593" t="inlineStr">
        <is>
          <t>Sveaskog</t>
        </is>
      </c>
      <c r="G593" t="n">
        <v>30.9</v>
      </c>
      <c r="H593" t="n">
        <v>0</v>
      </c>
      <c r="I593" t="n">
        <v>0</v>
      </c>
      <c r="J593" t="n">
        <v>0</v>
      </c>
      <c r="K593" t="n">
        <v>0</v>
      </c>
      <c r="L593" t="n">
        <v>0</v>
      </c>
      <c r="M593" t="n">
        <v>0</v>
      </c>
      <c r="N593" t="n">
        <v>0</v>
      </c>
      <c r="O593" t="n">
        <v>0</v>
      </c>
      <c r="P593" t="n">
        <v>0</v>
      </c>
      <c r="Q593" t="n">
        <v>0</v>
      </c>
      <c r="R593" s="2" t="inlineStr"/>
    </row>
    <row r="594" ht="15" customHeight="1">
      <c r="A594" t="inlineStr">
        <is>
          <t>A 24269-2023</t>
        </is>
      </c>
      <c r="B594" s="1" t="n">
        <v>45079</v>
      </c>
      <c r="C594" s="1" t="n">
        <v>45827</v>
      </c>
      <c r="D594" t="inlineStr">
        <is>
          <t>NORRBOTTENS LÄN</t>
        </is>
      </c>
      <c r="E594" t="inlineStr">
        <is>
          <t>PAJALA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24266-2023</t>
        </is>
      </c>
      <c r="B595" s="1" t="n">
        <v>45079</v>
      </c>
      <c r="C595" s="1" t="n">
        <v>45827</v>
      </c>
      <c r="D595" t="inlineStr">
        <is>
          <t>NORRBOTTENS LÄN</t>
        </is>
      </c>
      <c r="E595" t="inlineStr">
        <is>
          <t>PAJALA</t>
        </is>
      </c>
      <c r="F595" t="inlineStr">
        <is>
          <t>Sveaskog</t>
        </is>
      </c>
      <c r="G595" t="n">
        <v>15.5</v>
      </c>
      <c r="H595" t="n">
        <v>0</v>
      </c>
      <c r="I595" t="n">
        <v>0</v>
      </c>
      <c r="J595" t="n">
        <v>0</v>
      </c>
      <c r="K595" t="n">
        <v>0</v>
      </c>
      <c r="L595" t="n">
        <v>0</v>
      </c>
      <c r="M595" t="n">
        <v>0</v>
      </c>
      <c r="N595" t="n">
        <v>0</v>
      </c>
      <c r="O595" t="n">
        <v>0</v>
      </c>
      <c r="P595" t="n">
        <v>0</v>
      </c>
      <c r="Q595" t="n">
        <v>0</v>
      </c>
      <c r="R595" s="2" t="inlineStr"/>
    </row>
    <row r="596" ht="15" customHeight="1">
      <c r="A596" t="inlineStr">
        <is>
          <t>A 24860-2023</t>
        </is>
      </c>
      <c r="B596" s="1" t="n">
        <v>45085</v>
      </c>
      <c r="C596" s="1" t="n">
        <v>45827</v>
      </c>
      <c r="D596" t="inlineStr">
        <is>
          <t>NORRBOTTENS LÄN</t>
        </is>
      </c>
      <c r="E596" t="inlineStr">
        <is>
          <t>PAJALA</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25044-2023</t>
        </is>
      </c>
      <c r="B597" s="1" t="n">
        <v>45085</v>
      </c>
      <c r="C597" s="1" t="n">
        <v>45827</v>
      </c>
      <c r="D597" t="inlineStr">
        <is>
          <t>NORRBOTTENS LÄN</t>
        </is>
      </c>
      <c r="E597" t="inlineStr">
        <is>
          <t>PAJALA</t>
        </is>
      </c>
      <c r="F597" t="inlineStr">
        <is>
          <t>SCA</t>
        </is>
      </c>
      <c r="G597" t="n">
        <v>23.8</v>
      </c>
      <c r="H597" t="n">
        <v>0</v>
      </c>
      <c r="I597" t="n">
        <v>0</v>
      </c>
      <c r="J597" t="n">
        <v>0</v>
      </c>
      <c r="K597" t="n">
        <v>0</v>
      </c>
      <c r="L597" t="n">
        <v>0</v>
      </c>
      <c r="M597" t="n">
        <v>0</v>
      </c>
      <c r="N597" t="n">
        <v>0</v>
      </c>
      <c r="O597" t="n">
        <v>0</v>
      </c>
      <c r="P597" t="n">
        <v>0</v>
      </c>
      <c r="Q597" t="n">
        <v>0</v>
      </c>
      <c r="R597" s="2" t="inlineStr"/>
    </row>
    <row r="598" ht="15" customHeight="1">
      <c r="A598" t="inlineStr">
        <is>
          <t>A 25271-2023</t>
        </is>
      </c>
      <c r="B598" s="1" t="n">
        <v>45086</v>
      </c>
      <c r="C598" s="1" t="n">
        <v>45827</v>
      </c>
      <c r="D598" t="inlineStr">
        <is>
          <t>NORRBOTTENS LÄN</t>
        </is>
      </c>
      <c r="E598" t="inlineStr">
        <is>
          <t>PAJALA</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25277-2023</t>
        </is>
      </c>
      <c r="B599" s="1" t="n">
        <v>45086</v>
      </c>
      <c r="C599" s="1" t="n">
        <v>45827</v>
      </c>
      <c r="D599" t="inlineStr">
        <is>
          <t>NORRBOTTENS LÄN</t>
        </is>
      </c>
      <c r="E599" t="inlineStr">
        <is>
          <t>PAJALA</t>
        </is>
      </c>
      <c r="F599" t="inlineStr">
        <is>
          <t>Sveaskog</t>
        </is>
      </c>
      <c r="G599" t="n">
        <v>17.5</v>
      </c>
      <c r="H599" t="n">
        <v>0</v>
      </c>
      <c r="I599" t="n">
        <v>0</v>
      </c>
      <c r="J599" t="n">
        <v>0</v>
      </c>
      <c r="K599" t="n">
        <v>0</v>
      </c>
      <c r="L599" t="n">
        <v>0</v>
      </c>
      <c r="M599" t="n">
        <v>0</v>
      </c>
      <c r="N599" t="n">
        <v>0</v>
      </c>
      <c r="O599" t="n">
        <v>0</v>
      </c>
      <c r="P599" t="n">
        <v>0</v>
      </c>
      <c r="Q599" t="n">
        <v>0</v>
      </c>
      <c r="R599" s="2" t="inlineStr"/>
    </row>
    <row r="600" ht="15" customHeight="1">
      <c r="A600" t="inlineStr">
        <is>
          <t>A 27895-2023</t>
        </is>
      </c>
      <c r="B600" s="1" t="n">
        <v>45098</v>
      </c>
      <c r="C600" s="1" t="n">
        <v>45827</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27982-2023</t>
        </is>
      </c>
      <c r="B601" s="1" t="n">
        <v>45098</v>
      </c>
      <c r="C601" s="1" t="n">
        <v>45827</v>
      </c>
      <c r="D601" t="inlineStr">
        <is>
          <t>NORRBOTTENS LÄN</t>
        </is>
      </c>
      <c r="E601" t="inlineStr">
        <is>
          <t>PAJALA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28100-2023</t>
        </is>
      </c>
      <c r="B602" s="1" t="n">
        <v>45099</v>
      </c>
      <c r="C602" s="1" t="n">
        <v>45827</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28379-2023</t>
        </is>
      </c>
      <c r="B603" s="1" t="n">
        <v>45100</v>
      </c>
      <c r="C603" s="1" t="n">
        <v>45827</v>
      </c>
      <c r="D603" t="inlineStr">
        <is>
          <t>NORRBOTTENS LÄN</t>
        </is>
      </c>
      <c r="E603" t="inlineStr">
        <is>
          <t>PAJALA</t>
        </is>
      </c>
      <c r="F603" t="inlineStr">
        <is>
          <t>SCA</t>
        </is>
      </c>
      <c r="G603" t="n">
        <v>53.1</v>
      </c>
      <c r="H603" t="n">
        <v>0</v>
      </c>
      <c r="I603" t="n">
        <v>0</v>
      </c>
      <c r="J603" t="n">
        <v>0</v>
      </c>
      <c r="K603" t="n">
        <v>0</v>
      </c>
      <c r="L603" t="n">
        <v>0</v>
      </c>
      <c r="M603" t="n">
        <v>0</v>
      </c>
      <c r="N603" t="n">
        <v>0</v>
      </c>
      <c r="O603" t="n">
        <v>0</v>
      </c>
      <c r="P603" t="n">
        <v>0</v>
      </c>
      <c r="Q603" t="n">
        <v>0</v>
      </c>
      <c r="R603" s="2" t="inlineStr"/>
    </row>
    <row r="604" ht="15" customHeight="1">
      <c r="A604" t="inlineStr">
        <is>
          <t>A 30193-2023</t>
        </is>
      </c>
      <c r="B604" s="1" t="n">
        <v>45099</v>
      </c>
      <c r="C604" s="1" t="n">
        <v>45827</v>
      </c>
      <c r="D604" t="inlineStr">
        <is>
          <t>NORRBOTTENS LÄN</t>
        </is>
      </c>
      <c r="E604" t="inlineStr">
        <is>
          <t>PAJALA</t>
        </is>
      </c>
      <c r="G604" t="n">
        <v>26.1</v>
      </c>
      <c r="H604" t="n">
        <v>0</v>
      </c>
      <c r="I604" t="n">
        <v>0</v>
      </c>
      <c r="J604" t="n">
        <v>0</v>
      </c>
      <c r="K604" t="n">
        <v>0</v>
      </c>
      <c r="L604" t="n">
        <v>0</v>
      </c>
      <c r="M604" t="n">
        <v>0</v>
      </c>
      <c r="N604" t="n">
        <v>0</v>
      </c>
      <c r="O604" t="n">
        <v>0</v>
      </c>
      <c r="P604" t="n">
        <v>0</v>
      </c>
      <c r="Q604" t="n">
        <v>0</v>
      </c>
      <c r="R604" s="2" t="inlineStr"/>
    </row>
    <row r="605" ht="15" customHeight="1">
      <c r="A605" t="inlineStr">
        <is>
          <t>A 30480-2023</t>
        </is>
      </c>
      <c r="B605" s="1" t="n">
        <v>45099</v>
      </c>
      <c r="C605" s="1" t="n">
        <v>45827</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28466-2023</t>
        </is>
      </c>
      <c r="B606" s="1" t="n">
        <v>45103</v>
      </c>
      <c r="C606" s="1" t="n">
        <v>45827</v>
      </c>
      <c r="D606" t="inlineStr">
        <is>
          <t>NORRBOTTENS LÄN</t>
        </is>
      </c>
      <c r="E606" t="inlineStr">
        <is>
          <t>PAJALA</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28465-2023</t>
        </is>
      </c>
      <c r="B607" s="1" t="n">
        <v>45103</v>
      </c>
      <c r="C607" s="1" t="n">
        <v>45827</v>
      </c>
      <c r="D607" t="inlineStr">
        <is>
          <t>NORRBOTTENS LÄN</t>
        </is>
      </c>
      <c r="E607" t="inlineStr">
        <is>
          <t>PAJALA</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28691-2023</t>
        </is>
      </c>
      <c r="B608" s="1" t="n">
        <v>45103</v>
      </c>
      <c r="C608" s="1" t="n">
        <v>45827</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28692-2023</t>
        </is>
      </c>
      <c r="B609" s="1" t="n">
        <v>45103</v>
      </c>
      <c r="C609" s="1" t="n">
        <v>45827</v>
      </c>
      <c r="D609" t="inlineStr">
        <is>
          <t>NORRBOTTENS LÄN</t>
        </is>
      </c>
      <c r="E609" t="inlineStr">
        <is>
          <t>PAJALA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28634-2023</t>
        </is>
      </c>
      <c r="B610" s="1" t="n">
        <v>45103</v>
      </c>
      <c r="C610" s="1" t="n">
        <v>45827</v>
      </c>
      <c r="D610" t="inlineStr">
        <is>
          <t>NORRBOTTENS LÄN</t>
        </is>
      </c>
      <c r="E610" t="inlineStr">
        <is>
          <t>PAJALA</t>
        </is>
      </c>
      <c r="F610" t="inlineStr">
        <is>
          <t>Sveaskog</t>
        </is>
      </c>
      <c r="G610" t="n">
        <v>20</v>
      </c>
      <c r="H610" t="n">
        <v>0</v>
      </c>
      <c r="I610" t="n">
        <v>0</v>
      </c>
      <c r="J610" t="n">
        <v>0</v>
      </c>
      <c r="K610" t="n">
        <v>0</v>
      </c>
      <c r="L610" t="n">
        <v>0</v>
      </c>
      <c r="M610" t="n">
        <v>0</v>
      </c>
      <c r="N610" t="n">
        <v>0</v>
      </c>
      <c r="O610" t="n">
        <v>0</v>
      </c>
      <c r="P610" t="n">
        <v>0</v>
      </c>
      <c r="Q610" t="n">
        <v>0</v>
      </c>
      <c r="R610" s="2" t="inlineStr"/>
    </row>
    <row r="611" ht="15" customHeight="1">
      <c r="A611" t="inlineStr">
        <is>
          <t>A 29243-2023</t>
        </is>
      </c>
      <c r="B611" s="1" t="n">
        <v>45105</v>
      </c>
      <c r="C611" s="1" t="n">
        <v>45827</v>
      </c>
      <c r="D611" t="inlineStr">
        <is>
          <t>NORRBOTTENS LÄN</t>
        </is>
      </c>
      <c r="E611" t="inlineStr">
        <is>
          <t>PAJALA</t>
        </is>
      </c>
      <c r="G611" t="n">
        <v>8.6</v>
      </c>
      <c r="H611" t="n">
        <v>0</v>
      </c>
      <c r="I611" t="n">
        <v>0</v>
      </c>
      <c r="J611" t="n">
        <v>0</v>
      </c>
      <c r="K611" t="n">
        <v>0</v>
      </c>
      <c r="L611" t="n">
        <v>0</v>
      </c>
      <c r="M611" t="n">
        <v>0</v>
      </c>
      <c r="N611" t="n">
        <v>0</v>
      </c>
      <c r="O611" t="n">
        <v>0</v>
      </c>
      <c r="P611" t="n">
        <v>0</v>
      </c>
      <c r="Q611" t="n">
        <v>0</v>
      </c>
      <c r="R611" s="2" t="inlineStr"/>
    </row>
    <row r="612" ht="15" customHeight="1">
      <c r="A612" t="inlineStr">
        <is>
          <t>A 29876-2023</t>
        </is>
      </c>
      <c r="B612" s="1" t="n">
        <v>45107</v>
      </c>
      <c r="C612" s="1" t="n">
        <v>45827</v>
      </c>
      <c r="D612" t="inlineStr">
        <is>
          <t>NORRBOTTENS LÄN</t>
        </is>
      </c>
      <c r="E612" t="inlineStr">
        <is>
          <t>PAJALA</t>
        </is>
      </c>
      <c r="F612" t="inlineStr">
        <is>
          <t>Sveaskog</t>
        </is>
      </c>
      <c r="G612" t="n">
        <v>8.6</v>
      </c>
      <c r="H612" t="n">
        <v>0</v>
      </c>
      <c r="I612" t="n">
        <v>0</v>
      </c>
      <c r="J612" t="n">
        <v>0</v>
      </c>
      <c r="K612" t="n">
        <v>0</v>
      </c>
      <c r="L612" t="n">
        <v>0</v>
      </c>
      <c r="M612" t="n">
        <v>0</v>
      </c>
      <c r="N612" t="n">
        <v>0</v>
      </c>
      <c r="O612" t="n">
        <v>0</v>
      </c>
      <c r="P612" t="n">
        <v>0</v>
      </c>
      <c r="Q612" t="n">
        <v>0</v>
      </c>
      <c r="R612" s="2" t="inlineStr"/>
    </row>
    <row r="613" ht="15" customHeight="1">
      <c r="A613" t="inlineStr">
        <is>
          <t>A 30246-2023</t>
        </is>
      </c>
      <c r="B613" s="1" t="n">
        <v>45110</v>
      </c>
      <c r="C613" s="1" t="n">
        <v>45827</v>
      </c>
      <c r="D613" t="inlineStr">
        <is>
          <t>NORRBOTTENS LÄN</t>
        </is>
      </c>
      <c r="E613" t="inlineStr">
        <is>
          <t>PAJALA</t>
        </is>
      </c>
      <c r="F613" t="inlineStr">
        <is>
          <t>Sveaskog</t>
        </is>
      </c>
      <c r="G613" t="n">
        <v>44</v>
      </c>
      <c r="H613" t="n">
        <v>0</v>
      </c>
      <c r="I613" t="n">
        <v>0</v>
      </c>
      <c r="J613" t="n">
        <v>0</v>
      </c>
      <c r="K613" t="n">
        <v>0</v>
      </c>
      <c r="L613" t="n">
        <v>0</v>
      </c>
      <c r="M613" t="n">
        <v>0</v>
      </c>
      <c r="N613" t="n">
        <v>0</v>
      </c>
      <c r="O613" t="n">
        <v>0</v>
      </c>
      <c r="P613" t="n">
        <v>0</v>
      </c>
      <c r="Q613" t="n">
        <v>0</v>
      </c>
      <c r="R613" s="2" t="inlineStr"/>
    </row>
    <row r="614" ht="15" customHeight="1">
      <c r="A614" t="inlineStr">
        <is>
          <t>A 32591-2023</t>
        </is>
      </c>
      <c r="B614" s="1" t="n">
        <v>45111</v>
      </c>
      <c r="C614" s="1" t="n">
        <v>45827</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30739-2023</t>
        </is>
      </c>
      <c r="B615" s="1" t="n">
        <v>45112</v>
      </c>
      <c r="C615" s="1" t="n">
        <v>45827</v>
      </c>
      <c r="D615" t="inlineStr">
        <is>
          <t>NORRBOTTENS LÄN</t>
        </is>
      </c>
      <c r="E615" t="inlineStr">
        <is>
          <t>PAJALA</t>
        </is>
      </c>
      <c r="F615" t="inlineStr">
        <is>
          <t>Sveaskog</t>
        </is>
      </c>
      <c r="G615" t="n">
        <v>9.9</v>
      </c>
      <c r="H615" t="n">
        <v>0</v>
      </c>
      <c r="I615" t="n">
        <v>0</v>
      </c>
      <c r="J615" t="n">
        <v>0</v>
      </c>
      <c r="K615" t="n">
        <v>0</v>
      </c>
      <c r="L615" t="n">
        <v>0</v>
      </c>
      <c r="M615" t="n">
        <v>0</v>
      </c>
      <c r="N615" t="n">
        <v>0</v>
      </c>
      <c r="O615" t="n">
        <v>0</v>
      </c>
      <c r="P615" t="n">
        <v>0</v>
      </c>
      <c r="Q615" t="n">
        <v>0</v>
      </c>
      <c r="R615" s="2" t="inlineStr"/>
    </row>
    <row r="616" ht="15" customHeight="1">
      <c r="A616" t="inlineStr">
        <is>
          <t>A 30734-2023</t>
        </is>
      </c>
      <c r="B616" s="1" t="n">
        <v>45112</v>
      </c>
      <c r="C616" s="1" t="n">
        <v>45827</v>
      </c>
      <c r="D616" t="inlineStr">
        <is>
          <t>NORRBOTTENS LÄN</t>
        </is>
      </c>
      <c r="E616" t="inlineStr">
        <is>
          <t>PAJALA</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32687-2023</t>
        </is>
      </c>
      <c r="B617" s="1" t="n">
        <v>45112</v>
      </c>
      <c r="C617" s="1" t="n">
        <v>45827</v>
      </c>
      <c r="D617" t="inlineStr">
        <is>
          <t>NORRBOTTENS LÄN</t>
        </is>
      </c>
      <c r="E617" t="inlineStr">
        <is>
          <t>PAJALA</t>
        </is>
      </c>
      <c r="G617" t="n">
        <v>5.7</v>
      </c>
      <c r="H617" t="n">
        <v>0</v>
      </c>
      <c r="I617" t="n">
        <v>0</v>
      </c>
      <c r="J617" t="n">
        <v>0</v>
      </c>
      <c r="K617" t="n">
        <v>0</v>
      </c>
      <c r="L617" t="n">
        <v>0</v>
      </c>
      <c r="M617" t="n">
        <v>0</v>
      </c>
      <c r="N617" t="n">
        <v>0</v>
      </c>
      <c r="O617" t="n">
        <v>0</v>
      </c>
      <c r="P617" t="n">
        <v>0</v>
      </c>
      <c r="Q617" t="n">
        <v>0</v>
      </c>
      <c r="R617" s="2" t="inlineStr"/>
    </row>
    <row r="618" ht="15" customHeight="1">
      <c r="A618" t="inlineStr">
        <is>
          <t>A 31055-2023</t>
        </is>
      </c>
      <c r="B618" s="1" t="n">
        <v>45113</v>
      </c>
      <c r="C618" s="1" t="n">
        <v>45827</v>
      </c>
      <c r="D618" t="inlineStr">
        <is>
          <t>NORRBOTTENS LÄN</t>
        </is>
      </c>
      <c r="E618" t="inlineStr">
        <is>
          <t>PAJALA</t>
        </is>
      </c>
      <c r="F618" t="inlineStr">
        <is>
          <t>Sveaskog</t>
        </is>
      </c>
      <c r="G618" t="n">
        <v>6</v>
      </c>
      <c r="H618" t="n">
        <v>0</v>
      </c>
      <c r="I618" t="n">
        <v>0</v>
      </c>
      <c r="J618" t="n">
        <v>0</v>
      </c>
      <c r="K618" t="n">
        <v>0</v>
      </c>
      <c r="L618" t="n">
        <v>0</v>
      </c>
      <c r="M618" t="n">
        <v>0</v>
      </c>
      <c r="N618" t="n">
        <v>0</v>
      </c>
      <c r="O618" t="n">
        <v>0</v>
      </c>
      <c r="P618" t="n">
        <v>0</v>
      </c>
      <c r="Q618" t="n">
        <v>0</v>
      </c>
      <c r="R618" s="2" t="inlineStr"/>
    </row>
    <row r="619" ht="15" customHeight="1">
      <c r="A619" t="inlineStr">
        <is>
          <t>A 31080-2023</t>
        </is>
      </c>
      <c r="B619" s="1" t="n">
        <v>45113</v>
      </c>
      <c r="C619" s="1" t="n">
        <v>45827</v>
      </c>
      <c r="D619" t="inlineStr">
        <is>
          <t>NORRBOTTENS LÄN</t>
        </is>
      </c>
      <c r="E619" t="inlineStr">
        <is>
          <t>PAJALA</t>
        </is>
      </c>
      <c r="F619" t="inlineStr">
        <is>
          <t>Sveaskog</t>
        </is>
      </c>
      <c r="G619" t="n">
        <v>17.4</v>
      </c>
      <c r="H619" t="n">
        <v>0</v>
      </c>
      <c r="I619" t="n">
        <v>0</v>
      </c>
      <c r="J619" t="n">
        <v>0</v>
      </c>
      <c r="K619" t="n">
        <v>0</v>
      </c>
      <c r="L619" t="n">
        <v>0</v>
      </c>
      <c r="M619" t="n">
        <v>0</v>
      </c>
      <c r="N619" t="n">
        <v>0</v>
      </c>
      <c r="O619" t="n">
        <v>0</v>
      </c>
      <c r="P619" t="n">
        <v>0</v>
      </c>
      <c r="Q619" t="n">
        <v>0</v>
      </c>
      <c r="R619" s="2" t="inlineStr"/>
    </row>
    <row r="620" ht="15" customHeight="1">
      <c r="A620" t="inlineStr">
        <is>
          <t>A 31439-2023</t>
        </is>
      </c>
      <c r="B620" s="1" t="n">
        <v>45114</v>
      </c>
      <c r="C620" s="1" t="n">
        <v>45827</v>
      </c>
      <c r="D620" t="inlineStr">
        <is>
          <t>NORRBOTTENS LÄN</t>
        </is>
      </c>
      <c r="E620" t="inlineStr">
        <is>
          <t>PAJALA</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31326-2023</t>
        </is>
      </c>
      <c r="B621" s="1" t="n">
        <v>45114</v>
      </c>
      <c r="C621" s="1" t="n">
        <v>45827</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31660-2023</t>
        </is>
      </c>
      <c r="B622" s="1" t="n">
        <v>45117</v>
      </c>
      <c r="C622" s="1" t="n">
        <v>45827</v>
      </c>
      <c r="D622" t="inlineStr">
        <is>
          <t>NORRBOTTENS LÄN</t>
        </is>
      </c>
      <c r="E622" t="inlineStr">
        <is>
          <t>PAJALA</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31902-2023</t>
        </is>
      </c>
      <c r="B623" s="1" t="n">
        <v>45118</v>
      </c>
      <c r="C623" s="1" t="n">
        <v>45827</v>
      </c>
      <c r="D623" t="inlineStr">
        <is>
          <t>NORRBOTTENS LÄN</t>
        </is>
      </c>
      <c r="E623" t="inlineStr">
        <is>
          <t>PAJALA</t>
        </is>
      </c>
      <c r="G623" t="n">
        <v>21.5</v>
      </c>
      <c r="H623" t="n">
        <v>0</v>
      </c>
      <c r="I623" t="n">
        <v>0</v>
      </c>
      <c r="J623" t="n">
        <v>0</v>
      </c>
      <c r="K623" t="n">
        <v>0</v>
      </c>
      <c r="L623" t="n">
        <v>0</v>
      </c>
      <c r="M623" t="n">
        <v>0</v>
      </c>
      <c r="N623" t="n">
        <v>0</v>
      </c>
      <c r="O623" t="n">
        <v>0</v>
      </c>
      <c r="P623" t="n">
        <v>0</v>
      </c>
      <c r="Q623" t="n">
        <v>0</v>
      </c>
      <c r="R623" s="2" t="inlineStr"/>
    </row>
    <row r="624" ht="15" customHeight="1">
      <c r="A624" t="inlineStr">
        <is>
          <t>A 31941-2023</t>
        </is>
      </c>
      <c r="B624" s="1" t="n">
        <v>45119</v>
      </c>
      <c r="C624" s="1" t="n">
        <v>45827</v>
      </c>
      <c r="D624" t="inlineStr">
        <is>
          <t>NORRBOTTENS LÄN</t>
        </is>
      </c>
      <c r="E624" t="inlineStr">
        <is>
          <t>PAJALA</t>
        </is>
      </c>
      <c r="F624" t="inlineStr">
        <is>
          <t>Sveaskog</t>
        </is>
      </c>
      <c r="G624" t="n">
        <v>32.6</v>
      </c>
      <c r="H624" t="n">
        <v>0</v>
      </c>
      <c r="I624" t="n">
        <v>0</v>
      </c>
      <c r="J624" t="n">
        <v>0</v>
      </c>
      <c r="K624" t="n">
        <v>0</v>
      </c>
      <c r="L624" t="n">
        <v>0</v>
      </c>
      <c r="M624" t="n">
        <v>0</v>
      </c>
      <c r="N624" t="n">
        <v>0</v>
      </c>
      <c r="O624" t="n">
        <v>0</v>
      </c>
      <c r="P624" t="n">
        <v>0</v>
      </c>
      <c r="Q624" t="n">
        <v>0</v>
      </c>
      <c r="R624" s="2" t="inlineStr"/>
    </row>
    <row r="625" ht="15" customHeight="1">
      <c r="A625" t="inlineStr">
        <is>
          <t>A 32457-2023</t>
        </is>
      </c>
      <c r="B625" s="1" t="n">
        <v>45120</v>
      </c>
      <c r="C625" s="1" t="n">
        <v>45827</v>
      </c>
      <c r="D625" t="inlineStr">
        <is>
          <t>NORRBOTTENS LÄN</t>
        </is>
      </c>
      <c r="E625" t="inlineStr">
        <is>
          <t>PAJALA</t>
        </is>
      </c>
      <c r="G625" t="n">
        <v>17.2</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v>
      </c>
      <c r="C626" s="1" t="n">
        <v>45827</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32578-2023</t>
        </is>
      </c>
      <c r="B627" s="1" t="n">
        <v>45121</v>
      </c>
      <c r="C627" s="1" t="n">
        <v>45827</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32608-2023</t>
        </is>
      </c>
      <c r="B628" s="1" t="n">
        <v>45121</v>
      </c>
      <c r="C628" s="1" t="n">
        <v>45827</v>
      </c>
      <c r="D628" t="inlineStr">
        <is>
          <t>NORRBOTTENS LÄN</t>
        </is>
      </c>
      <c r="E628" t="inlineStr">
        <is>
          <t>PAJALA</t>
        </is>
      </c>
      <c r="G628" t="n">
        <v>6.9</v>
      </c>
      <c r="H628" t="n">
        <v>0</v>
      </c>
      <c r="I628" t="n">
        <v>0</v>
      </c>
      <c r="J628" t="n">
        <v>0</v>
      </c>
      <c r="K628" t="n">
        <v>0</v>
      </c>
      <c r="L628" t="n">
        <v>0</v>
      </c>
      <c r="M628" t="n">
        <v>0</v>
      </c>
      <c r="N628" t="n">
        <v>0</v>
      </c>
      <c r="O628" t="n">
        <v>0</v>
      </c>
      <c r="P628" t="n">
        <v>0</v>
      </c>
      <c r="Q628" t="n">
        <v>0</v>
      </c>
      <c r="R628" s="2" t="inlineStr"/>
    </row>
    <row r="629" ht="15" customHeight="1">
      <c r="A629" t="inlineStr">
        <is>
          <t>A 32767-2023</t>
        </is>
      </c>
      <c r="B629" s="1" t="n">
        <v>45123</v>
      </c>
      <c r="C629" s="1" t="n">
        <v>45827</v>
      </c>
      <c r="D629" t="inlineStr">
        <is>
          <t>NORRBOTTENS LÄN</t>
        </is>
      </c>
      <c r="E629" t="inlineStr">
        <is>
          <t>PAJALA</t>
        </is>
      </c>
      <c r="G629" t="n">
        <v>10.8</v>
      </c>
      <c r="H629" t="n">
        <v>0</v>
      </c>
      <c r="I629" t="n">
        <v>0</v>
      </c>
      <c r="J629" t="n">
        <v>0</v>
      </c>
      <c r="K629" t="n">
        <v>0</v>
      </c>
      <c r="L629" t="n">
        <v>0</v>
      </c>
      <c r="M629" t="n">
        <v>0</v>
      </c>
      <c r="N629" t="n">
        <v>0</v>
      </c>
      <c r="O629" t="n">
        <v>0</v>
      </c>
      <c r="P629" t="n">
        <v>0</v>
      </c>
      <c r="Q629" t="n">
        <v>0</v>
      </c>
      <c r="R629" s="2" t="inlineStr"/>
    </row>
    <row r="630" ht="15" customHeight="1">
      <c r="A630" t="inlineStr">
        <is>
          <t>A 33386-2023</t>
        </is>
      </c>
      <c r="B630" s="1" t="n">
        <v>45128</v>
      </c>
      <c r="C630" s="1" t="n">
        <v>45827</v>
      </c>
      <c r="D630" t="inlineStr">
        <is>
          <t>NORRBOTTENS LÄN</t>
        </is>
      </c>
      <c r="E630" t="inlineStr">
        <is>
          <t>PAJALA</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33387-2023</t>
        </is>
      </c>
      <c r="B631" s="1" t="n">
        <v>45128</v>
      </c>
      <c r="C631" s="1" t="n">
        <v>45827</v>
      </c>
      <c r="D631" t="inlineStr">
        <is>
          <t>NORRBOTTENS LÄN</t>
        </is>
      </c>
      <c r="E631" t="inlineStr">
        <is>
          <t>PAJALA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45827</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34152-2023</t>
        </is>
      </c>
      <c r="B633" s="1" t="n">
        <v>45136</v>
      </c>
      <c r="C633" s="1" t="n">
        <v>45827</v>
      </c>
      <c r="D633" t="inlineStr">
        <is>
          <t>NORRBOTTENS LÄN</t>
        </is>
      </c>
      <c r="E633" t="inlineStr">
        <is>
          <t>PAJALA</t>
        </is>
      </c>
      <c r="G633" t="n">
        <v>6</v>
      </c>
      <c r="H633" t="n">
        <v>0</v>
      </c>
      <c r="I633" t="n">
        <v>0</v>
      </c>
      <c r="J633" t="n">
        <v>0</v>
      </c>
      <c r="K633" t="n">
        <v>0</v>
      </c>
      <c r="L633" t="n">
        <v>0</v>
      </c>
      <c r="M633" t="n">
        <v>0</v>
      </c>
      <c r="N633" t="n">
        <v>0</v>
      </c>
      <c r="O633" t="n">
        <v>0</v>
      </c>
      <c r="P633" t="n">
        <v>0</v>
      </c>
      <c r="Q633" t="n">
        <v>0</v>
      </c>
      <c r="R633" s="2" t="inlineStr"/>
    </row>
    <row r="634" ht="15" customHeight="1">
      <c r="A634" t="inlineStr">
        <is>
          <t>A 34150-2023</t>
        </is>
      </c>
      <c r="B634" s="1" t="n">
        <v>45136</v>
      </c>
      <c r="C634" s="1" t="n">
        <v>45827</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34151-2023</t>
        </is>
      </c>
      <c r="B635" s="1" t="n">
        <v>45136</v>
      </c>
      <c r="C635" s="1" t="n">
        <v>45827</v>
      </c>
      <c r="D635" t="inlineStr">
        <is>
          <t>NORRBOTTENS LÄN</t>
        </is>
      </c>
      <c r="E635" t="inlineStr">
        <is>
          <t>PAJALA</t>
        </is>
      </c>
      <c r="G635" t="n">
        <v>21.7</v>
      </c>
      <c r="H635" t="n">
        <v>0</v>
      </c>
      <c r="I635" t="n">
        <v>0</v>
      </c>
      <c r="J635" t="n">
        <v>0</v>
      </c>
      <c r="K635" t="n">
        <v>0</v>
      </c>
      <c r="L635" t="n">
        <v>0</v>
      </c>
      <c r="M635" t="n">
        <v>0</v>
      </c>
      <c r="N635" t="n">
        <v>0</v>
      </c>
      <c r="O635" t="n">
        <v>0</v>
      </c>
      <c r="P635" t="n">
        <v>0</v>
      </c>
      <c r="Q635" t="n">
        <v>0</v>
      </c>
      <c r="R635" s="2" t="inlineStr"/>
    </row>
    <row r="636" ht="15" customHeight="1">
      <c r="A636" t="inlineStr">
        <is>
          <t>A 34295-2023</t>
        </is>
      </c>
      <c r="B636" s="1" t="n">
        <v>45138</v>
      </c>
      <c r="C636" s="1" t="n">
        <v>45827</v>
      </c>
      <c r="D636" t="inlineStr">
        <is>
          <t>NORRBOTTENS LÄN</t>
        </is>
      </c>
      <c r="E636" t="inlineStr">
        <is>
          <t>PAJALA</t>
        </is>
      </c>
      <c r="F636" t="inlineStr">
        <is>
          <t>Sveaskog</t>
        </is>
      </c>
      <c r="G636" t="n">
        <v>14.5</v>
      </c>
      <c r="H636" t="n">
        <v>0</v>
      </c>
      <c r="I636" t="n">
        <v>0</v>
      </c>
      <c r="J636" t="n">
        <v>0</v>
      </c>
      <c r="K636" t="n">
        <v>0</v>
      </c>
      <c r="L636" t="n">
        <v>0</v>
      </c>
      <c r="M636" t="n">
        <v>0</v>
      </c>
      <c r="N636" t="n">
        <v>0</v>
      </c>
      <c r="O636" t="n">
        <v>0</v>
      </c>
      <c r="P636" t="n">
        <v>0</v>
      </c>
      <c r="Q636" t="n">
        <v>0</v>
      </c>
      <c r="R636" s="2" t="inlineStr"/>
    </row>
    <row r="637" ht="15" customHeight="1">
      <c r="A637" t="inlineStr">
        <is>
          <t>A 35687-2023</t>
        </is>
      </c>
      <c r="B637" s="1" t="n">
        <v>45147</v>
      </c>
      <c r="C637" s="1" t="n">
        <v>45827</v>
      </c>
      <c r="D637" t="inlineStr">
        <is>
          <t>NORRBOTTENS LÄN</t>
        </is>
      </c>
      <c r="E637" t="inlineStr">
        <is>
          <t>PAJALA</t>
        </is>
      </c>
      <c r="G637" t="n">
        <v>2.5</v>
      </c>
      <c r="H637" t="n">
        <v>0</v>
      </c>
      <c r="I637" t="n">
        <v>0</v>
      </c>
      <c r="J637" t="n">
        <v>0</v>
      </c>
      <c r="K637" t="n">
        <v>0</v>
      </c>
      <c r="L637" t="n">
        <v>0</v>
      </c>
      <c r="M637" t="n">
        <v>0</v>
      </c>
      <c r="N637" t="n">
        <v>0</v>
      </c>
      <c r="O637" t="n">
        <v>0</v>
      </c>
      <c r="P637" t="n">
        <v>0</v>
      </c>
      <c r="Q637" t="n">
        <v>0</v>
      </c>
      <c r="R637" s="2" t="inlineStr"/>
    </row>
    <row r="638" ht="15" customHeight="1">
      <c r="A638" t="inlineStr">
        <is>
          <t>A 35627-2023</t>
        </is>
      </c>
      <c r="B638" s="1" t="n">
        <v>45147</v>
      </c>
      <c r="C638" s="1" t="n">
        <v>45827</v>
      </c>
      <c r="D638" t="inlineStr">
        <is>
          <t>NORRBOTTENS LÄN</t>
        </is>
      </c>
      <c r="E638" t="inlineStr">
        <is>
          <t>PAJALA</t>
        </is>
      </c>
      <c r="G638" t="n">
        <v>11.2</v>
      </c>
      <c r="H638" t="n">
        <v>0</v>
      </c>
      <c r="I638" t="n">
        <v>0</v>
      </c>
      <c r="J638" t="n">
        <v>0</v>
      </c>
      <c r="K638" t="n">
        <v>0</v>
      </c>
      <c r="L638" t="n">
        <v>0</v>
      </c>
      <c r="M638" t="n">
        <v>0</v>
      </c>
      <c r="N638" t="n">
        <v>0</v>
      </c>
      <c r="O638" t="n">
        <v>0</v>
      </c>
      <c r="P638" t="n">
        <v>0</v>
      </c>
      <c r="Q638" t="n">
        <v>0</v>
      </c>
      <c r="R638" s="2" t="inlineStr"/>
    </row>
    <row r="639" ht="15" customHeight="1">
      <c r="A639" t="inlineStr">
        <is>
          <t>A 36391-2023</t>
        </is>
      </c>
      <c r="B639" s="1" t="n">
        <v>45152</v>
      </c>
      <c r="C639" s="1" t="n">
        <v>45827</v>
      </c>
      <c r="D639" t="inlineStr">
        <is>
          <t>NORRBOTTENS LÄN</t>
        </is>
      </c>
      <c r="E639" t="inlineStr">
        <is>
          <t>PAJALA</t>
        </is>
      </c>
      <c r="G639" t="n">
        <v>10.5</v>
      </c>
      <c r="H639" t="n">
        <v>0</v>
      </c>
      <c r="I639" t="n">
        <v>0</v>
      </c>
      <c r="J639" t="n">
        <v>0</v>
      </c>
      <c r="K639" t="n">
        <v>0</v>
      </c>
      <c r="L639" t="n">
        <v>0</v>
      </c>
      <c r="M639" t="n">
        <v>0</v>
      </c>
      <c r="N639" t="n">
        <v>0</v>
      </c>
      <c r="O639" t="n">
        <v>0</v>
      </c>
      <c r="P639" t="n">
        <v>0</v>
      </c>
      <c r="Q639" t="n">
        <v>0</v>
      </c>
      <c r="R639" s="2" t="inlineStr"/>
    </row>
    <row r="640" ht="15" customHeight="1">
      <c r="A640" t="inlineStr">
        <is>
          <t>A 36498-2023</t>
        </is>
      </c>
      <c r="B640" s="1" t="n">
        <v>45153</v>
      </c>
      <c r="C640" s="1" t="n">
        <v>45827</v>
      </c>
      <c r="D640" t="inlineStr">
        <is>
          <t>NORRBOTTENS LÄN</t>
        </is>
      </c>
      <c r="E640" t="inlineStr">
        <is>
          <t>PAJALA</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36459-2023</t>
        </is>
      </c>
      <c r="B641" s="1" t="n">
        <v>45152</v>
      </c>
      <c r="C641" s="1" t="n">
        <v>45827</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row r="642" ht="15" customHeight="1">
      <c r="A642" t="inlineStr">
        <is>
          <t>A 36928-2023</t>
        </is>
      </c>
      <c r="B642" s="1" t="n">
        <v>45153</v>
      </c>
      <c r="C642" s="1" t="n">
        <v>45827</v>
      </c>
      <c r="D642" t="inlineStr">
        <is>
          <t>NORRBOTTENS LÄN</t>
        </is>
      </c>
      <c r="E642" t="inlineStr">
        <is>
          <t>PAJALA</t>
        </is>
      </c>
      <c r="G642" t="n">
        <v>9.1</v>
      </c>
      <c r="H642" t="n">
        <v>0</v>
      </c>
      <c r="I642" t="n">
        <v>0</v>
      </c>
      <c r="J642" t="n">
        <v>0</v>
      </c>
      <c r="K642" t="n">
        <v>0</v>
      </c>
      <c r="L642" t="n">
        <v>0</v>
      </c>
      <c r="M642" t="n">
        <v>0</v>
      </c>
      <c r="N642" t="n">
        <v>0</v>
      </c>
      <c r="O642" t="n">
        <v>0</v>
      </c>
      <c r="P642" t="n">
        <v>0</v>
      </c>
      <c r="Q642" t="n">
        <v>0</v>
      </c>
      <c r="R642" s="2" t="inlineStr"/>
    </row>
    <row r="643" ht="15" customHeight="1">
      <c r="A643" t="inlineStr">
        <is>
          <t>A 36894-2023</t>
        </is>
      </c>
      <c r="B643" s="1" t="n">
        <v>45154</v>
      </c>
      <c r="C643" s="1" t="n">
        <v>45827</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36933-2023</t>
        </is>
      </c>
      <c r="B644" s="1" t="n">
        <v>45154</v>
      </c>
      <c r="C644" s="1" t="n">
        <v>45827</v>
      </c>
      <c r="D644" t="inlineStr">
        <is>
          <t>NORRBOTTENS LÄN</t>
        </is>
      </c>
      <c r="E644" t="inlineStr">
        <is>
          <t>PAJALA</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36856-2023</t>
        </is>
      </c>
      <c r="B645" s="1" t="n">
        <v>45154</v>
      </c>
      <c r="C645" s="1" t="n">
        <v>45827</v>
      </c>
      <c r="D645" t="inlineStr">
        <is>
          <t>NORRBOTTENS LÄN</t>
        </is>
      </c>
      <c r="E645" t="inlineStr">
        <is>
          <t>PAJALA</t>
        </is>
      </c>
      <c r="G645" t="n">
        <v>9.4</v>
      </c>
      <c r="H645" t="n">
        <v>0</v>
      </c>
      <c r="I645" t="n">
        <v>0</v>
      </c>
      <c r="J645" t="n">
        <v>0</v>
      </c>
      <c r="K645" t="n">
        <v>0</v>
      </c>
      <c r="L645" t="n">
        <v>0</v>
      </c>
      <c r="M645" t="n">
        <v>0</v>
      </c>
      <c r="N645" t="n">
        <v>0</v>
      </c>
      <c r="O645" t="n">
        <v>0</v>
      </c>
      <c r="P645" t="n">
        <v>0</v>
      </c>
      <c r="Q645" t="n">
        <v>0</v>
      </c>
      <c r="R645" s="2" t="inlineStr"/>
    </row>
    <row r="646" ht="15" customHeight="1">
      <c r="A646" t="inlineStr">
        <is>
          <t>A 36961-2023</t>
        </is>
      </c>
      <c r="B646" s="1" t="n">
        <v>45154</v>
      </c>
      <c r="C646" s="1" t="n">
        <v>45827</v>
      </c>
      <c r="D646" t="inlineStr">
        <is>
          <t>NORRBOTTENS LÄN</t>
        </is>
      </c>
      <c r="E646" t="inlineStr">
        <is>
          <t>PAJALA</t>
        </is>
      </c>
      <c r="G646" t="n">
        <v>5.8</v>
      </c>
      <c r="H646" t="n">
        <v>0</v>
      </c>
      <c r="I646" t="n">
        <v>0</v>
      </c>
      <c r="J646" t="n">
        <v>0</v>
      </c>
      <c r="K646" t="n">
        <v>0</v>
      </c>
      <c r="L646" t="n">
        <v>0</v>
      </c>
      <c r="M646" t="n">
        <v>0</v>
      </c>
      <c r="N646" t="n">
        <v>0</v>
      </c>
      <c r="O646" t="n">
        <v>0</v>
      </c>
      <c r="P646" t="n">
        <v>0</v>
      </c>
      <c r="Q646" t="n">
        <v>0</v>
      </c>
      <c r="R646" s="2" t="inlineStr"/>
    </row>
    <row r="647" ht="15" customHeight="1">
      <c r="A647" t="inlineStr">
        <is>
          <t>A 36962-2023</t>
        </is>
      </c>
      <c r="B647" s="1" t="n">
        <v>45155</v>
      </c>
      <c r="C647" s="1" t="n">
        <v>45827</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36963-2023</t>
        </is>
      </c>
      <c r="B648" s="1" t="n">
        <v>45155</v>
      </c>
      <c r="C648" s="1" t="n">
        <v>45827</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37245-2023</t>
        </is>
      </c>
      <c r="B649" s="1" t="n">
        <v>45156</v>
      </c>
      <c r="C649" s="1" t="n">
        <v>45827</v>
      </c>
      <c r="D649" t="inlineStr">
        <is>
          <t>NORRBOTTENS LÄN</t>
        </is>
      </c>
      <c r="E649" t="inlineStr">
        <is>
          <t>PAJALA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37244-2023</t>
        </is>
      </c>
      <c r="B650" s="1" t="n">
        <v>45156</v>
      </c>
      <c r="C650" s="1" t="n">
        <v>45827</v>
      </c>
      <c r="D650" t="inlineStr">
        <is>
          <t>NORRBOTTENS LÄN</t>
        </is>
      </c>
      <c r="E650" t="inlineStr">
        <is>
          <t>PAJALA</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37792-2023</t>
        </is>
      </c>
      <c r="B651" s="1" t="n">
        <v>45160</v>
      </c>
      <c r="C651" s="1" t="n">
        <v>45827</v>
      </c>
      <c r="D651" t="inlineStr">
        <is>
          <t>NORRBOTTENS LÄN</t>
        </is>
      </c>
      <c r="E651" t="inlineStr">
        <is>
          <t>PAJALA</t>
        </is>
      </c>
      <c r="G651" t="n">
        <v>2.1</v>
      </c>
      <c r="H651" t="n">
        <v>0</v>
      </c>
      <c r="I651" t="n">
        <v>0</v>
      </c>
      <c r="J651" t="n">
        <v>0</v>
      </c>
      <c r="K651" t="n">
        <v>0</v>
      </c>
      <c r="L651" t="n">
        <v>0</v>
      </c>
      <c r="M651" t="n">
        <v>0</v>
      </c>
      <c r="N651" t="n">
        <v>0</v>
      </c>
      <c r="O651" t="n">
        <v>0</v>
      </c>
      <c r="P651" t="n">
        <v>0</v>
      </c>
      <c r="Q651" t="n">
        <v>0</v>
      </c>
      <c r="R651" s="2" t="inlineStr"/>
    </row>
    <row r="652" ht="15" customHeight="1">
      <c r="A652" t="inlineStr">
        <is>
          <t>A 37793-2023</t>
        </is>
      </c>
      <c r="B652" s="1" t="n">
        <v>45160</v>
      </c>
      <c r="C652" s="1" t="n">
        <v>45827</v>
      </c>
      <c r="D652" t="inlineStr">
        <is>
          <t>NORRBOTTENS LÄN</t>
        </is>
      </c>
      <c r="E652" t="inlineStr">
        <is>
          <t>PAJALA</t>
        </is>
      </c>
      <c r="G652" t="n">
        <v>11.3</v>
      </c>
      <c r="H652" t="n">
        <v>0</v>
      </c>
      <c r="I652" t="n">
        <v>0</v>
      </c>
      <c r="J652" t="n">
        <v>0</v>
      </c>
      <c r="K652" t="n">
        <v>0</v>
      </c>
      <c r="L652" t="n">
        <v>0</v>
      </c>
      <c r="M652" t="n">
        <v>0</v>
      </c>
      <c r="N652" t="n">
        <v>0</v>
      </c>
      <c r="O652" t="n">
        <v>0</v>
      </c>
      <c r="P652" t="n">
        <v>0</v>
      </c>
      <c r="Q652" t="n">
        <v>0</v>
      </c>
      <c r="R652" s="2" t="inlineStr"/>
    </row>
    <row r="653" ht="15" customHeight="1">
      <c r="A653" t="inlineStr">
        <is>
          <t>A 38033-2023</t>
        </is>
      </c>
      <c r="B653" s="1" t="n">
        <v>45159</v>
      </c>
      <c r="C653" s="1" t="n">
        <v>45827</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38540-2023</t>
        </is>
      </c>
      <c r="B654" s="1" t="n">
        <v>45160</v>
      </c>
      <c r="C654" s="1" t="n">
        <v>45827</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38545-2023</t>
        </is>
      </c>
      <c r="B655" s="1" t="n">
        <v>45160</v>
      </c>
      <c r="C655" s="1" t="n">
        <v>45827</v>
      </c>
      <c r="D655" t="inlineStr">
        <is>
          <t>NORRBOTTENS LÄN</t>
        </is>
      </c>
      <c r="E655" t="inlineStr">
        <is>
          <t>PAJALA</t>
        </is>
      </c>
      <c r="G655" t="n">
        <v>1</v>
      </c>
      <c r="H655" t="n">
        <v>0</v>
      </c>
      <c r="I655" t="n">
        <v>0</v>
      </c>
      <c r="J655" t="n">
        <v>0</v>
      </c>
      <c r="K655" t="n">
        <v>0</v>
      </c>
      <c r="L655" t="n">
        <v>0</v>
      </c>
      <c r="M655" t="n">
        <v>0</v>
      </c>
      <c r="N655" t="n">
        <v>0</v>
      </c>
      <c r="O655" t="n">
        <v>0</v>
      </c>
      <c r="P655" t="n">
        <v>0</v>
      </c>
      <c r="Q655" t="n">
        <v>0</v>
      </c>
      <c r="R655" s="2" t="inlineStr"/>
    </row>
    <row r="656" ht="15" customHeight="1">
      <c r="A656" t="inlineStr">
        <is>
          <t>A 38556-2023</t>
        </is>
      </c>
      <c r="B656" s="1" t="n">
        <v>45160</v>
      </c>
      <c r="C656" s="1" t="n">
        <v>45827</v>
      </c>
      <c r="D656" t="inlineStr">
        <is>
          <t>NORRBOTTENS LÄN</t>
        </is>
      </c>
      <c r="E656" t="inlineStr">
        <is>
          <t>PAJALA</t>
        </is>
      </c>
      <c r="G656" t="n">
        <v>6.2</v>
      </c>
      <c r="H656" t="n">
        <v>0</v>
      </c>
      <c r="I656" t="n">
        <v>0</v>
      </c>
      <c r="J656" t="n">
        <v>0</v>
      </c>
      <c r="K656" t="n">
        <v>0</v>
      </c>
      <c r="L656" t="n">
        <v>0</v>
      </c>
      <c r="M656" t="n">
        <v>0</v>
      </c>
      <c r="N656" t="n">
        <v>0</v>
      </c>
      <c r="O656" t="n">
        <v>0</v>
      </c>
      <c r="P656" t="n">
        <v>0</v>
      </c>
      <c r="Q656" t="n">
        <v>0</v>
      </c>
      <c r="R656" s="2" t="inlineStr"/>
    </row>
    <row r="657" ht="15" customHeight="1">
      <c r="A657" t="inlineStr">
        <is>
          <t>A 38529-2023</t>
        </is>
      </c>
      <c r="B657" s="1" t="n">
        <v>45160</v>
      </c>
      <c r="C657" s="1" t="n">
        <v>45827</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38550-2023</t>
        </is>
      </c>
      <c r="B658" s="1" t="n">
        <v>45160</v>
      </c>
      <c r="C658" s="1" t="n">
        <v>45827</v>
      </c>
      <c r="D658" t="inlineStr">
        <is>
          <t>NORRBOTTENS LÄN</t>
        </is>
      </c>
      <c r="E658" t="inlineStr">
        <is>
          <t>PAJALA</t>
        </is>
      </c>
      <c r="G658" t="n">
        <v>5</v>
      </c>
      <c r="H658" t="n">
        <v>0</v>
      </c>
      <c r="I658" t="n">
        <v>0</v>
      </c>
      <c r="J658" t="n">
        <v>0</v>
      </c>
      <c r="K658" t="n">
        <v>0</v>
      </c>
      <c r="L658" t="n">
        <v>0</v>
      </c>
      <c r="M658" t="n">
        <v>0</v>
      </c>
      <c r="N658" t="n">
        <v>0</v>
      </c>
      <c r="O658" t="n">
        <v>0</v>
      </c>
      <c r="P658" t="n">
        <v>0</v>
      </c>
      <c r="Q658" t="n">
        <v>0</v>
      </c>
      <c r="R658" s="2" t="inlineStr"/>
    </row>
    <row r="659" ht="15" customHeight="1">
      <c r="A659" t="inlineStr">
        <is>
          <t>A 38660-2023</t>
        </is>
      </c>
      <c r="B659" s="1" t="n">
        <v>45162</v>
      </c>
      <c r="C659" s="1" t="n">
        <v>45827</v>
      </c>
      <c r="D659" t="inlineStr">
        <is>
          <t>NORRBOTTENS LÄN</t>
        </is>
      </c>
      <c r="E659" t="inlineStr">
        <is>
          <t>PAJALA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38576-2023</t>
        </is>
      </c>
      <c r="B660" s="1" t="n">
        <v>45162</v>
      </c>
      <c r="C660" s="1" t="n">
        <v>45827</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38590-2023</t>
        </is>
      </c>
      <c r="B661" s="1" t="n">
        <v>45162</v>
      </c>
      <c r="C661" s="1" t="n">
        <v>45827</v>
      </c>
      <c r="D661" t="inlineStr">
        <is>
          <t>NORRBOTTENS LÄN</t>
        </is>
      </c>
      <c r="E661" t="inlineStr">
        <is>
          <t>PAJALA</t>
        </is>
      </c>
      <c r="G661" t="n">
        <v>0.9</v>
      </c>
      <c r="H661" t="n">
        <v>0</v>
      </c>
      <c r="I661" t="n">
        <v>0</v>
      </c>
      <c r="J661" t="n">
        <v>0</v>
      </c>
      <c r="K661" t="n">
        <v>0</v>
      </c>
      <c r="L661" t="n">
        <v>0</v>
      </c>
      <c r="M661" t="n">
        <v>0</v>
      </c>
      <c r="N661" t="n">
        <v>0</v>
      </c>
      <c r="O661" t="n">
        <v>0</v>
      </c>
      <c r="P661" t="n">
        <v>0</v>
      </c>
      <c r="Q661" t="n">
        <v>0</v>
      </c>
      <c r="R661" s="2" t="inlineStr"/>
    </row>
    <row r="662" ht="15" customHeight="1">
      <c r="A662" t="inlineStr">
        <is>
          <t>A 38860-2023</t>
        </is>
      </c>
      <c r="B662" s="1" t="n">
        <v>45163</v>
      </c>
      <c r="C662" s="1" t="n">
        <v>45827</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38939-2023</t>
        </is>
      </c>
      <c r="B663" s="1" t="n">
        <v>45163</v>
      </c>
      <c r="C663" s="1" t="n">
        <v>45827</v>
      </c>
      <c r="D663" t="inlineStr">
        <is>
          <t>NORRBOTTENS LÄN</t>
        </is>
      </c>
      <c r="E663" t="inlineStr">
        <is>
          <t>PAJALA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39275-2023</t>
        </is>
      </c>
      <c r="B664" s="1" t="n">
        <v>45166</v>
      </c>
      <c r="C664" s="1" t="n">
        <v>45827</v>
      </c>
      <c r="D664" t="inlineStr">
        <is>
          <t>NORRBOTTENS LÄN</t>
        </is>
      </c>
      <c r="E664" t="inlineStr">
        <is>
          <t>PAJALA</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39653-2023</t>
        </is>
      </c>
      <c r="B665" s="1" t="n">
        <v>45167</v>
      </c>
      <c r="C665" s="1" t="n">
        <v>45827</v>
      </c>
      <c r="D665" t="inlineStr">
        <is>
          <t>NORRBOTTENS LÄN</t>
        </is>
      </c>
      <c r="E665" t="inlineStr">
        <is>
          <t>PAJALA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40252-2023</t>
        </is>
      </c>
      <c r="B666" s="1" t="n">
        <v>45169</v>
      </c>
      <c r="C666" s="1" t="n">
        <v>45827</v>
      </c>
      <c r="D666" t="inlineStr">
        <is>
          <t>NORRBOTTENS LÄN</t>
        </is>
      </c>
      <c r="E666" t="inlineStr">
        <is>
          <t>PAJALA</t>
        </is>
      </c>
      <c r="G666" t="n">
        <v>11.4</v>
      </c>
      <c r="H666" t="n">
        <v>0</v>
      </c>
      <c r="I666" t="n">
        <v>0</v>
      </c>
      <c r="J666" t="n">
        <v>0</v>
      </c>
      <c r="K666" t="n">
        <v>0</v>
      </c>
      <c r="L666" t="n">
        <v>0</v>
      </c>
      <c r="M666" t="n">
        <v>0</v>
      </c>
      <c r="N666" t="n">
        <v>0</v>
      </c>
      <c r="O666" t="n">
        <v>0</v>
      </c>
      <c r="P666" t="n">
        <v>0</v>
      </c>
      <c r="Q666" t="n">
        <v>0</v>
      </c>
      <c r="R666" s="2" t="inlineStr"/>
    </row>
    <row r="667" ht="15" customHeight="1">
      <c r="A667" t="inlineStr">
        <is>
          <t>A 40240-2023</t>
        </is>
      </c>
      <c r="B667" s="1" t="n">
        <v>45169</v>
      </c>
      <c r="C667" s="1" t="n">
        <v>45827</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40411-2023</t>
        </is>
      </c>
      <c r="B668" s="1" t="n">
        <v>45169</v>
      </c>
      <c r="C668" s="1" t="n">
        <v>45827</v>
      </c>
      <c r="D668" t="inlineStr">
        <is>
          <t>NORRBOTTENS LÄN</t>
        </is>
      </c>
      <c r="E668" t="inlineStr">
        <is>
          <t>PAJALA</t>
        </is>
      </c>
      <c r="F668" t="inlineStr">
        <is>
          <t>SCA</t>
        </is>
      </c>
      <c r="G668" t="n">
        <v>11.3</v>
      </c>
      <c r="H668" t="n">
        <v>0</v>
      </c>
      <c r="I668" t="n">
        <v>0</v>
      </c>
      <c r="J668" t="n">
        <v>0</v>
      </c>
      <c r="K668" t="n">
        <v>0</v>
      </c>
      <c r="L668" t="n">
        <v>0</v>
      </c>
      <c r="M668" t="n">
        <v>0</v>
      </c>
      <c r="N668" t="n">
        <v>0</v>
      </c>
      <c r="O668" t="n">
        <v>0</v>
      </c>
      <c r="P668" t="n">
        <v>0</v>
      </c>
      <c r="Q668" t="n">
        <v>0</v>
      </c>
      <c r="R668" s="2" t="inlineStr"/>
    </row>
    <row r="669" ht="15" customHeight="1">
      <c r="A669" t="inlineStr">
        <is>
          <t>A 40412-2023</t>
        </is>
      </c>
      <c r="B669" s="1" t="n">
        <v>45170</v>
      </c>
      <c r="C669" s="1" t="n">
        <v>45827</v>
      </c>
      <c r="D669" t="inlineStr">
        <is>
          <t>NORRBOTTENS LÄN</t>
        </is>
      </c>
      <c r="E669" t="inlineStr">
        <is>
          <t>PAJALA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41151-2023</t>
        </is>
      </c>
      <c r="B670" s="1" t="n">
        <v>45174</v>
      </c>
      <c r="C670" s="1" t="n">
        <v>45827</v>
      </c>
      <c r="D670" t="inlineStr">
        <is>
          <t>NORRBOTTENS LÄN</t>
        </is>
      </c>
      <c r="E670" t="inlineStr">
        <is>
          <t>PAJALA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42604-2023</t>
        </is>
      </c>
      <c r="B671" s="1" t="n">
        <v>45176</v>
      </c>
      <c r="C671" s="1" t="n">
        <v>45827</v>
      </c>
      <c r="D671" t="inlineStr">
        <is>
          <t>NORRBOTTENS LÄN</t>
        </is>
      </c>
      <c r="E671" t="inlineStr">
        <is>
          <t>PAJALA</t>
        </is>
      </c>
      <c r="G671" t="n">
        <v>1.6</v>
      </c>
      <c r="H671" t="n">
        <v>0</v>
      </c>
      <c r="I671" t="n">
        <v>0</v>
      </c>
      <c r="J671" t="n">
        <v>0</v>
      </c>
      <c r="K671" t="n">
        <v>0</v>
      </c>
      <c r="L671" t="n">
        <v>0</v>
      </c>
      <c r="M671" t="n">
        <v>0</v>
      </c>
      <c r="N671" t="n">
        <v>0</v>
      </c>
      <c r="O671" t="n">
        <v>0</v>
      </c>
      <c r="P671" t="n">
        <v>0</v>
      </c>
      <c r="Q671" t="n">
        <v>0</v>
      </c>
      <c r="R671" s="2" t="inlineStr"/>
    </row>
    <row r="672" ht="15" customHeight="1">
      <c r="A672" t="inlineStr">
        <is>
          <t>A 42835-2023</t>
        </is>
      </c>
      <c r="B672" s="1" t="n">
        <v>45177</v>
      </c>
      <c r="C672" s="1" t="n">
        <v>45827</v>
      </c>
      <c r="D672" t="inlineStr">
        <is>
          <t>NORRBOTTENS LÄN</t>
        </is>
      </c>
      <c r="E672" t="inlineStr">
        <is>
          <t>PAJALA</t>
        </is>
      </c>
      <c r="G672" t="n">
        <v>1.3</v>
      </c>
      <c r="H672" t="n">
        <v>0</v>
      </c>
      <c r="I672" t="n">
        <v>0</v>
      </c>
      <c r="J672" t="n">
        <v>0</v>
      </c>
      <c r="K672" t="n">
        <v>0</v>
      </c>
      <c r="L672" t="n">
        <v>0</v>
      </c>
      <c r="M672" t="n">
        <v>0</v>
      </c>
      <c r="N672" t="n">
        <v>0</v>
      </c>
      <c r="O672" t="n">
        <v>0</v>
      </c>
      <c r="P672" t="n">
        <v>0</v>
      </c>
      <c r="Q672" t="n">
        <v>0</v>
      </c>
      <c r="R672" s="2" t="inlineStr"/>
    </row>
    <row r="673" ht="15" customHeight="1">
      <c r="A673" t="inlineStr">
        <is>
          <t>A 42849-2023</t>
        </is>
      </c>
      <c r="B673" s="1" t="n">
        <v>45177</v>
      </c>
      <c r="C673" s="1" t="n">
        <v>45827</v>
      </c>
      <c r="D673" t="inlineStr">
        <is>
          <t>NORRBOTTENS LÄN</t>
        </is>
      </c>
      <c r="E673" t="inlineStr">
        <is>
          <t>PAJALA</t>
        </is>
      </c>
      <c r="G673" t="n">
        <v>0.3</v>
      </c>
      <c r="H673" t="n">
        <v>0</v>
      </c>
      <c r="I673" t="n">
        <v>0</v>
      </c>
      <c r="J673" t="n">
        <v>0</v>
      </c>
      <c r="K673" t="n">
        <v>0</v>
      </c>
      <c r="L673" t="n">
        <v>0</v>
      </c>
      <c r="M673" t="n">
        <v>0</v>
      </c>
      <c r="N673" t="n">
        <v>0</v>
      </c>
      <c r="O673" t="n">
        <v>0</v>
      </c>
      <c r="P673" t="n">
        <v>0</v>
      </c>
      <c r="Q673" t="n">
        <v>0</v>
      </c>
      <c r="R673" s="2" t="inlineStr"/>
    </row>
    <row r="674" ht="15" customHeight="1">
      <c r="A674" t="inlineStr">
        <is>
          <t>A 42845-2023</t>
        </is>
      </c>
      <c r="B674" s="1" t="n">
        <v>45177</v>
      </c>
      <c r="C674" s="1" t="n">
        <v>45827</v>
      </c>
      <c r="D674" t="inlineStr">
        <is>
          <t>NORRBOTTENS LÄN</t>
        </is>
      </c>
      <c r="E674" t="inlineStr">
        <is>
          <t>PAJALA</t>
        </is>
      </c>
      <c r="G674" t="n">
        <v>0.4</v>
      </c>
      <c r="H674" t="n">
        <v>0</v>
      </c>
      <c r="I674" t="n">
        <v>0</v>
      </c>
      <c r="J674" t="n">
        <v>0</v>
      </c>
      <c r="K674" t="n">
        <v>0</v>
      </c>
      <c r="L674" t="n">
        <v>0</v>
      </c>
      <c r="M674" t="n">
        <v>0</v>
      </c>
      <c r="N674" t="n">
        <v>0</v>
      </c>
      <c r="O674" t="n">
        <v>0</v>
      </c>
      <c r="P674" t="n">
        <v>0</v>
      </c>
      <c r="Q674" t="n">
        <v>0</v>
      </c>
      <c r="R674" s="2" t="inlineStr"/>
    </row>
    <row r="675" ht="15" customHeight="1">
      <c r="A675" t="inlineStr">
        <is>
          <t>A 42249-2023</t>
        </is>
      </c>
      <c r="B675" s="1" t="n">
        <v>45180</v>
      </c>
      <c r="C675" s="1" t="n">
        <v>45827</v>
      </c>
      <c r="D675" t="inlineStr">
        <is>
          <t>NORRBOTTENS LÄN</t>
        </is>
      </c>
      <c r="E675" t="inlineStr">
        <is>
          <t>PAJALA</t>
        </is>
      </c>
      <c r="G675" t="n">
        <v>0.8</v>
      </c>
      <c r="H675" t="n">
        <v>0</v>
      </c>
      <c r="I675" t="n">
        <v>0</v>
      </c>
      <c r="J675" t="n">
        <v>0</v>
      </c>
      <c r="K675" t="n">
        <v>0</v>
      </c>
      <c r="L675" t="n">
        <v>0</v>
      </c>
      <c r="M675" t="n">
        <v>0</v>
      </c>
      <c r="N675" t="n">
        <v>0</v>
      </c>
      <c r="O675" t="n">
        <v>0</v>
      </c>
      <c r="P675" t="n">
        <v>0</v>
      </c>
      <c r="Q675" t="n">
        <v>0</v>
      </c>
      <c r="R675" s="2" t="inlineStr"/>
    </row>
    <row r="676" ht="15" customHeight="1">
      <c r="A676" t="inlineStr">
        <is>
          <t>A 42470-2023</t>
        </is>
      </c>
      <c r="B676" s="1" t="n">
        <v>45180</v>
      </c>
      <c r="C676" s="1" t="n">
        <v>45827</v>
      </c>
      <c r="D676" t="inlineStr">
        <is>
          <t>NORRBOTTENS LÄN</t>
        </is>
      </c>
      <c r="E676" t="inlineStr">
        <is>
          <t>PAJALA</t>
        </is>
      </c>
      <c r="G676" t="n">
        <v>6.3</v>
      </c>
      <c r="H676" t="n">
        <v>0</v>
      </c>
      <c r="I676" t="n">
        <v>0</v>
      </c>
      <c r="J676" t="n">
        <v>0</v>
      </c>
      <c r="K676" t="n">
        <v>0</v>
      </c>
      <c r="L676" t="n">
        <v>0</v>
      </c>
      <c r="M676" t="n">
        <v>0</v>
      </c>
      <c r="N676" t="n">
        <v>0</v>
      </c>
      <c r="O676" t="n">
        <v>0</v>
      </c>
      <c r="P676" t="n">
        <v>0</v>
      </c>
      <c r="Q676" t="n">
        <v>0</v>
      </c>
      <c r="R676" s="2" t="inlineStr"/>
    </row>
    <row r="677" ht="15" customHeight="1">
      <c r="A677" t="inlineStr">
        <is>
          <t>A 42479-2023</t>
        </is>
      </c>
      <c r="B677" s="1" t="n">
        <v>45180</v>
      </c>
      <c r="C677" s="1" t="n">
        <v>45827</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42499-2023</t>
        </is>
      </c>
      <c r="B678" s="1" t="n">
        <v>45181</v>
      </c>
      <c r="C678" s="1" t="n">
        <v>45827</v>
      </c>
      <c r="D678" t="inlineStr">
        <is>
          <t>NORRBOTTENS LÄN</t>
        </is>
      </c>
      <c r="E678" t="inlineStr">
        <is>
          <t>PAJALA</t>
        </is>
      </c>
      <c r="G678" t="n">
        <v>13.8</v>
      </c>
      <c r="H678" t="n">
        <v>0</v>
      </c>
      <c r="I678" t="n">
        <v>0</v>
      </c>
      <c r="J678" t="n">
        <v>0</v>
      </c>
      <c r="K678" t="n">
        <v>0</v>
      </c>
      <c r="L678" t="n">
        <v>0</v>
      </c>
      <c r="M678" t="n">
        <v>0</v>
      </c>
      <c r="N678" t="n">
        <v>0</v>
      </c>
      <c r="O678" t="n">
        <v>0</v>
      </c>
      <c r="P678" t="n">
        <v>0</v>
      </c>
      <c r="Q678" t="n">
        <v>0</v>
      </c>
      <c r="R678" s="2" t="inlineStr"/>
    </row>
    <row r="679" ht="15" customHeight="1">
      <c r="A679" t="inlineStr">
        <is>
          <t>A 42773-2023</t>
        </is>
      </c>
      <c r="B679" s="1" t="n">
        <v>45181</v>
      </c>
      <c r="C679" s="1" t="n">
        <v>45827</v>
      </c>
      <c r="D679" t="inlineStr">
        <is>
          <t>NORRBOTTENS LÄN</t>
        </is>
      </c>
      <c r="E679" t="inlineStr">
        <is>
          <t>PAJALA</t>
        </is>
      </c>
      <c r="G679" t="n">
        <v>6.1</v>
      </c>
      <c r="H679" t="n">
        <v>0</v>
      </c>
      <c r="I679" t="n">
        <v>0</v>
      </c>
      <c r="J679" t="n">
        <v>0</v>
      </c>
      <c r="K679" t="n">
        <v>0</v>
      </c>
      <c r="L679" t="n">
        <v>0</v>
      </c>
      <c r="M679" t="n">
        <v>0</v>
      </c>
      <c r="N679" t="n">
        <v>0</v>
      </c>
      <c r="O679" t="n">
        <v>0</v>
      </c>
      <c r="P679" t="n">
        <v>0</v>
      </c>
      <c r="Q679" t="n">
        <v>0</v>
      </c>
      <c r="R679" s="2" t="inlineStr"/>
    </row>
    <row r="680" ht="15" customHeight="1">
      <c r="A680" t="inlineStr">
        <is>
          <t>A 42839-2023</t>
        </is>
      </c>
      <c r="B680" s="1" t="n">
        <v>45182</v>
      </c>
      <c r="C680" s="1" t="n">
        <v>45827</v>
      </c>
      <c r="D680" t="inlineStr">
        <is>
          <t>NORRBOTTENS LÄN</t>
        </is>
      </c>
      <c r="E680" t="inlineStr">
        <is>
          <t>PAJALA</t>
        </is>
      </c>
      <c r="G680" t="n">
        <v>14.7</v>
      </c>
      <c r="H680" t="n">
        <v>0</v>
      </c>
      <c r="I680" t="n">
        <v>0</v>
      </c>
      <c r="J680" t="n">
        <v>0</v>
      </c>
      <c r="K680" t="n">
        <v>0</v>
      </c>
      <c r="L680" t="n">
        <v>0</v>
      </c>
      <c r="M680" t="n">
        <v>0</v>
      </c>
      <c r="N680" t="n">
        <v>0</v>
      </c>
      <c r="O680" t="n">
        <v>0</v>
      </c>
      <c r="P680" t="n">
        <v>0</v>
      </c>
      <c r="Q680" t="n">
        <v>0</v>
      </c>
      <c r="R680" s="2" t="inlineStr"/>
    </row>
    <row r="681" ht="15" customHeight="1">
      <c r="A681" t="inlineStr">
        <is>
          <t>A 43010-2023</t>
        </is>
      </c>
      <c r="B681" s="1" t="n">
        <v>45182</v>
      </c>
      <c r="C681" s="1" t="n">
        <v>45827</v>
      </c>
      <c r="D681" t="inlineStr">
        <is>
          <t>NORRBOTTENS LÄN</t>
        </is>
      </c>
      <c r="E681" t="inlineStr">
        <is>
          <t>PAJALA</t>
        </is>
      </c>
      <c r="F681" t="inlineStr">
        <is>
          <t>Sveaskog</t>
        </is>
      </c>
      <c r="G681" t="n">
        <v>11.5</v>
      </c>
      <c r="H681" t="n">
        <v>0</v>
      </c>
      <c r="I681" t="n">
        <v>0</v>
      </c>
      <c r="J681" t="n">
        <v>0</v>
      </c>
      <c r="K681" t="n">
        <v>0</v>
      </c>
      <c r="L681" t="n">
        <v>0</v>
      </c>
      <c r="M681" t="n">
        <v>0</v>
      </c>
      <c r="N681" t="n">
        <v>0</v>
      </c>
      <c r="O681" t="n">
        <v>0</v>
      </c>
      <c r="P681" t="n">
        <v>0</v>
      </c>
      <c r="Q681" t="n">
        <v>0</v>
      </c>
      <c r="R681" s="2" t="inlineStr"/>
    </row>
    <row r="682" ht="15" customHeight="1">
      <c r="A682" t="inlineStr">
        <is>
          <t>A 43646-2023</t>
        </is>
      </c>
      <c r="B682" s="1" t="n">
        <v>45187</v>
      </c>
      <c r="C682" s="1" t="n">
        <v>45827</v>
      </c>
      <c r="D682" t="inlineStr">
        <is>
          <t>NORRBOTTENS LÄN</t>
        </is>
      </c>
      <c r="E682" t="inlineStr">
        <is>
          <t>PAJALA</t>
        </is>
      </c>
      <c r="F682" t="inlineStr">
        <is>
          <t>Sveaskog</t>
        </is>
      </c>
      <c r="G682" t="n">
        <v>18.3</v>
      </c>
      <c r="H682" t="n">
        <v>0</v>
      </c>
      <c r="I682" t="n">
        <v>0</v>
      </c>
      <c r="J682" t="n">
        <v>0</v>
      </c>
      <c r="K682" t="n">
        <v>0</v>
      </c>
      <c r="L682" t="n">
        <v>0</v>
      </c>
      <c r="M682" t="n">
        <v>0</v>
      </c>
      <c r="N682" t="n">
        <v>0</v>
      </c>
      <c r="O682" t="n">
        <v>0</v>
      </c>
      <c r="P682" t="n">
        <v>0</v>
      </c>
      <c r="Q682" t="n">
        <v>0</v>
      </c>
      <c r="R682" s="2" t="inlineStr"/>
    </row>
    <row r="683" ht="15" customHeight="1">
      <c r="A683" t="inlineStr">
        <is>
          <t>A 43819-2023</t>
        </is>
      </c>
      <c r="B683" s="1" t="n">
        <v>45187</v>
      </c>
      <c r="C683" s="1" t="n">
        <v>45827</v>
      </c>
      <c r="D683" t="inlineStr">
        <is>
          <t>NORRBOTTENS LÄN</t>
        </is>
      </c>
      <c r="E683" t="inlineStr">
        <is>
          <t>PAJALA</t>
        </is>
      </c>
      <c r="G683" t="n">
        <v>25.8</v>
      </c>
      <c r="H683" t="n">
        <v>0</v>
      </c>
      <c r="I683" t="n">
        <v>0</v>
      </c>
      <c r="J683" t="n">
        <v>0</v>
      </c>
      <c r="K683" t="n">
        <v>0</v>
      </c>
      <c r="L683" t="n">
        <v>0</v>
      </c>
      <c r="M683" t="n">
        <v>0</v>
      </c>
      <c r="N683" t="n">
        <v>0</v>
      </c>
      <c r="O683" t="n">
        <v>0</v>
      </c>
      <c r="P683" t="n">
        <v>0</v>
      </c>
      <c r="Q683" t="n">
        <v>0</v>
      </c>
      <c r="R683" s="2" t="inlineStr"/>
    </row>
    <row r="684" ht="15" customHeight="1">
      <c r="A684" t="inlineStr">
        <is>
          <t>A 43936-2023</t>
        </is>
      </c>
      <c r="B684" s="1" t="n">
        <v>45187</v>
      </c>
      <c r="C684" s="1" t="n">
        <v>45827</v>
      </c>
      <c r="D684" t="inlineStr">
        <is>
          <t>NORRBOTTENS LÄN</t>
        </is>
      </c>
      <c r="E684" t="inlineStr">
        <is>
          <t>PAJALA</t>
        </is>
      </c>
      <c r="G684" t="n">
        <v>3.8</v>
      </c>
      <c r="H684" t="n">
        <v>0</v>
      </c>
      <c r="I684" t="n">
        <v>0</v>
      </c>
      <c r="J684" t="n">
        <v>0</v>
      </c>
      <c r="K684" t="n">
        <v>0</v>
      </c>
      <c r="L684" t="n">
        <v>0</v>
      </c>
      <c r="M684" t="n">
        <v>0</v>
      </c>
      <c r="N684" t="n">
        <v>0</v>
      </c>
      <c r="O684" t="n">
        <v>0</v>
      </c>
      <c r="P684" t="n">
        <v>0</v>
      </c>
      <c r="Q684" t="n">
        <v>0</v>
      </c>
      <c r="R684" s="2" t="inlineStr"/>
    </row>
    <row r="685" ht="15" customHeight="1">
      <c r="A685" t="inlineStr">
        <is>
          <t>A 43860-2023</t>
        </is>
      </c>
      <c r="B685" s="1" t="n">
        <v>45187</v>
      </c>
      <c r="C685" s="1" t="n">
        <v>45827</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43933-2023</t>
        </is>
      </c>
      <c r="B686" s="1" t="n">
        <v>45187</v>
      </c>
      <c r="C686" s="1" t="n">
        <v>45827</v>
      </c>
      <c r="D686" t="inlineStr">
        <is>
          <t>NORRBOTTENS LÄN</t>
        </is>
      </c>
      <c r="E686" t="inlineStr">
        <is>
          <t>PAJALA</t>
        </is>
      </c>
      <c r="G686" t="n">
        <v>4.7</v>
      </c>
      <c r="H686" t="n">
        <v>0</v>
      </c>
      <c r="I686" t="n">
        <v>0</v>
      </c>
      <c r="J686" t="n">
        <v>0</v>
      </c>
      <c r="K686" t="n">
        <v>0</v>
      </c>
      <c r="L686" t="n">
        <v>0</v>
      </c>
      <c r="M686" t="n">
        <v>0</v>
      </c>
      <c r="N686" t="n">
        <v>0</v>
      </c>
      <c r="O686" t="n">
        <v>0</v>
      </c>
      <c r="P686" t="n">
        <v>0</v>
      </c>
      <c r="Q686" t="n">
        <v>0</v>
      </c>
      <c r="R686" s="2" t="inlineStr"/>
    </row>
    <row r="687" ht="15" customHeight="1">
      <c r="A687" t="inlineStr">
        <is>
          <t>A 45185-2023</t>
        </is>
      </c>
      <c r="B687" s="1" t="n">
        <v>45187</v>
      </c>
      <c r="C687" s="1" t="n">
        <v>45827</v>
      </c>
      <c r="D687" t="inlineStr">
        <is>
          <t>NORRBOTTENS LÄN</t>
        </is>
      </c>
      <c r="E687" t="inlineStr">
        <is>
          <t>PAJALA</t>
        </is>
      </c>
      <c r="G687" t="n">
        <v>1.8</v>
      </c>
      <c r="H687" t="n">
        <v>0</v>
      </c>
      <c r="I687" t="n">
        <v>0</v>
      </c>
      <c r="J687" t="n">
        <v>0</v>
      </c>
      <c r="K687" t="n">
        <v>0</v>
      </c>
      <c r="L687" t="n">
        <v>0</v>
      </c>
      <c r="M687" t="n">
        <v>0</v>
      </c>
      <c r="N687" t="n">
        <v>0</v>
      </c>
      <c r="O687" t="n">
        <v>0</v>
      </c>
      <c r="P687" t="n">
        <v>0</v>
      </c>
      <c r="Q687" t="n">
        <v>0</v>
      </c>
      <c r="R687" s="2" t="inlineStr"/>
    </row>
    <row r="688" ht="15" customHeight="1">
      <c r="A688" t="inlineStr">
        <is>
          <t>A 45630-2023</t>
        </is>
      </c>
      <c r="B688" s="1" t="n">
        <v>45188</v>
      </c>
      <c r="C688" s="1" t="n">
        <v>45827</v>
      </c>
      <c r="D688" t="inlineStr">
        <is>
          <t>NORRBOTTENS LÄN</t>
        </is>
      </c>
      <c r="E688" t="inlineStr">
        <is>
          <t>PAJALA</t>
        </is>
      </c>
      <c r="F688" t="inlineStr">
        <is>
          <t>Allmännings- och besparingsskogar</t>
        </is>
      </c>
      <c r="G688" t="n">
        <v>5.5</v>
      </c>
      <c r="H688" t="n">
        <v>0</v>
      </c>
      <c r="I688" t="n">
        <v>0</v>
      </c>
      <c r="J688" t="n">
        <v>0</v>
      </c>
      <c r="K688" t="n">
        <v>0</v>
      </c>
      <c r="L688" t="n">
        <v>0</v>
      </c>
      <c r="M688" t="n">
        <v>0</v>
      </c>
      <c r="N688" t="n">
        <v>0</v>
      </c>
      <c r="O688" t="n">
        <v>0</v>
      </c>
      <c r="P688" t="n">
        <v>0</v>
      </c>
      <c r="Q688" t="n">
        <v>0</v>
      </c>
      <c r="R688" s="2" t="inlineStr"/>
    </row>
    <row r="689" ht="15" customHeight="1">
      <c r="A689" t="inlineStr">
        <is>
          <t>A 44572-2023</t>
        </is>
      </c>
      <c r="B689" s="1" t="n">
        <v>45189</v>
      </c>
      <c r="C689" s="1" t="n">
        <v>45827</v>
      </c>
      <c r="D689" t="inlineStr">
        <is>
          <t>NORRBOTTENS LÄN</t>
        </is>
      </c>
      <c r="E689" t="inlineStr">
        <is>
          <t>PAJALA</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45156-2023</t>
        </is>
      </c>
      <c r="B690" s="1" t="n">
        <v>45191</v>
      </c>
      <c r="C690" s="1" t="n">
        <v>45827</v>
      </c>
      <c r="D690" t="inlineStr">
        <is>
          <t>NORRBOTTENS LÄN</t>
        </is>
      </c>
      <c r="E690" t="inlineStr">
        <is>
          <t>PAJALA</t>
        </is>
      </c>
      <c r="F690" t="inlineStr">
        <is>
          <t>Sveaskog</t>
        </is>
      </c>
      <c r="G690" t="n">
        <v>12.3</v>
      </c>
      <c r="H690" t="n">
        <v>0</v>
      </c>
      <c r="I690" t="n">
        <v>0</v>
      </c>
      <c r="J690" t="n">
        <v>0</v>
      </c>
      <c r="K690" t="n">
        <v>0</v>
      </c>
      <c r="L690" t="n">
        <v>0</v>
      </c>
      <c r="M690" t="n">
        <v>0</v>
      </c>
      <c r="N690" t="n">
        <v>0</v>
      </c>
      <c r="O690" t="n">
        <v>0</v>
      </c>
      <c r="P690" t="n">
        <v>0</v>
      </c>
      <c r="Q690" t="n">
        <v>0</v>
      </c>
      <c r="R690" s="2" t="inlineStr"/>
    </row>
    <row r="691" ht="15" customHeight="1">
      <c r="A691" t="inlineStr">
        <is>
          <t>A 45276-2023</t>
        </is>
      </c>
      <c r="B691" s="1" t="n">
        <v>45191</v>
      </c>
      <c r="C691" s="1" t="n">
        <v>45827</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45290-2023</t>
        </is>
      </c>
      <c r="B692" s="1" t="n">
        <v>45191</v>
      </c>
      <c r="C692" s="1" t="n">
        <v>45827</v>
      </c>
      <c r="D692" t="inlineStr">
        <is>
          <t>NORRBOTTENS LÄN</t>
        </is>
      </c>
      <c r="E692" t="inlineStr">
        <is>
          <t>PAJALA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45238-2023</t>
        </is>
      </c>
      <c r="B693" s="1" t="n">
        <v>45191</v>
      </c>
      <c r="C693" s="1" t="n">
        <v>45827</v>
      </c>
      <c r="D693" t="inlineStr">
        <is>
          <t>NORRBOTTENS LÄN</t>
        </is>
      </c>
      <c r="E693" t="inlineStr">
        <is>
          <t>PAJALA</t>
        </is>
      </c>
      <c r="G693" t="n">
        <v>2.6</v>
      </c>
      <c r="H693" t="n">
        <v>0</v>
      </c>
      <c r="I693" t="n">
        <v>0</v>
      </c>
      <c r="J693" t="n">
        <v>0</v>
      </c>
      <c r="K693" t="n">
        <v>0</v>
      </c>
      <c r="L693" t="n">
        <v>0</v>
      </c>
      <c r="M693" t="n">
        <v>0</v>
      </c>
      <c r="N693" t="n">
        <v>0</v>
      </c>
      <c r="O693" t="n">
        <v>0</v>
      </c>
      <c r="P693" t="n">
        <v>0</v>
      </c>
      <c r="Q693" t="n">
        <v>0</v>
      </c>
      <c r="R693" s="2" t="inlineStr"/>
    </row>
    <row r="694" ht="15" customHeight="1">
      <c r="A694" t="inlineStr">
        <is>
          <t>A 45283-2023</t>
        </is>
      </c>
      <c r="B694" s="1" t="n">
        <v>45191</v>
      </c>
      <c r="C694" s="1" t="n">
        <v>45827</v>
      </c>
      <c r="D694" t="inlineStr">
        <is>
          <t>NORRBOTTENS LÄN</t>
        </is>
      </c>
      <c r="E694" t="inlineStr">
        <is>
          <t>PAJALA</t>
        </is>
      </c>
      <c r="G694" t="n">
        <v>6.3</v>
      </c>
      <c r="H694" t="n">
        <v>0</v>
      </c>
      <c r="I694" t="n">
        <v>0</v>
      </c>
      <c r="J694" t="n">
        <v>0</v>
      </c>
      <c r="K694" t="n">
        <v>0</v>
      </c>
      <c r="L694" t="n">
        <v>0</v>
      </c>
      <c r="M694" t="n">
        <v>0</v>
      </c>
      <c r="N694" t="n">
        <v>0</v>
      </c>
      <c r="O694" t="n">
        <v>0</v>
      </c>
      <c r="P694" t="n">
        <v>0</v>
      </c>
      <c r="Q694" t="n">
        <v>0</v>
      </c>
      <c r="R694" s="2" t="inlineStr"/>
    </row>
    <row r="695" ht="15" customHeight="1">
      <c r="A695" t="inlineStr">
        <is>
          <t>A 45781-2023</t>
        </is>
      </c>
      <c r="B695" s="1" t="n">
        <v>45195</v>
      </c>
      <c r="C695" s="1" t="n">
        <v>45827</v>
      </c>
      <c r="D695" t="inlineStr">
        <is>
          <t>NORRBOTTENS LÄN</t>
        </is>
      </c>
      <c r="E695" t="inlineStr">
        <is>
          <t>PAJALA</t>
        </is>
      </c>
      <c r="G695" t="n">
        <v>0.7</v>
      </c>
      <c r="H695" t="n">
        <v>0</v>
      </c>
      <c r="I695" t="n">
        <v>0</v>
      </c>
      <c r="J695" t="n">
        <v>0</v>
      </c>
      <c r="K695" t="n">
        <v>0</v>
      </c>
      <c r="L695" t="n">
        <v>0</v>
      </c>
      <c r="M695" t="n">
        <v>0</v>
      </c>
      <c r="N695" t="n">
        <v>0</v>
      </c>
      <c r="O695" t="n">
        <v>0</v>
      </c>
      <c r="P695" t="n">
        <v>0</v>
      </c>
      <c r="Q695" t="n">
        <v>0</v>
      </c>
      <c r="R695" s="2" t="inlineStr"/>
    </row>
    <row r="696" ht="15" customHeight="1">
      <c r="A696" t="inlineStr">
        <is>
          <t>A 47102-2023</t>
        </is>
      </c>
      <c r="B696" s="1" t="n">
        <v>45196</v>
      </c>
      <c r="C696" s="1" t="n">
        <v>45827</v>
      </c>
      <c r="D696" t="inlineStr">
        <is>
          <t>NORRBOTTENS LÄN</t>
        </is>
      </c>
      <c r="E696" t="inlineStr">
        <is>
          <t>PAJALA</t>
        </is>
      </c>
      <c r="G696" t="n">
        <v>27.5</v>
      </c>
      <c r="H696" t="n">
        <v>0</v>
      </c>
      <c r="I696" t="n">
        <v>0</v>
      </c>
      <c r="J696" t="n">
        <v>0</v>
      </c>
      <c r="K696" t="n">
        <v>0</v>
      </c>
      <c r="L696" t="n">
        <v>0</v>
      </c>
      <c r="M696" t="n">
        <v>0</v>
      </c>
      <c r="N696" t="n">
        <v>0</v>
      </c>
      <c r="O696" t="n">
        <v>0</v>
      </c>
      <c r="P696" t="n">
        <v>0</v>
      </c>
      <c r="Q696" t="n">
        <v>0</v>
      </c>
      <c r="R696" s="2" t="inlineStr"/>
    </row>
    <row r="697" ht="15" customHeight="1">
      <c r="A697" t="inlineStr">
        <is>
          <t>A 47126-2023</t>
        </is>
      </c>
      <c r="B697" s="1" t="n">
        <v>45196</v>
      </c>
      <c r="C697" s="1" t="n">
        <v>45827</v>
      </c>
      <c r="D697" t="inlineStr">
        <is>
          <t>NORRBOTTENS LÄN</t>
        </is>
      </c>
      <c r="E697" t="inlineStr">
        <is>
          <t>PAJALA</t>
        </is>
      </c>
      <c r="G697" t="n">
        <v>6.8</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45827</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47975-2023</t>
        </is>
      </c>
      <c r="B699" s="1" t="n">
        <v>45204</v>
      </c>
      <c r="C699" s="1" t="n">
        <v>45827</v>
      </c>
      <c r="D699" t="inlineStr">
        <is>
          <t>NORRBOTTENS LÄN</t>
        </is>
      </c>
      <c r="E699" t="inlineStr">
        <is>
          <t>PAJALA</t>
        </is>
      </c>
      <c r="G699" t="n">
        <v>5.5</v>
      </c>
      <c r="H699" t="n">
        <v>0</v>
      </c>
      <c r="I699" t="n">
        <v>0</v>
      </c>
      <c r="J699" t="n">
        <v>0</v>
      </c>
      <c r="K699" t="n">
        <v>0</v>
      </c>
      <c r="L699" t="n">
        <v>0</v>
      </c>
      <c r="M699" t="n">
        <v>0</v>
      </c>
      <c r="N699" t="n">
        <v>0</v>
      </c>
      <c r="O699" t="n">
        <v>0</v>
      </c>
      <c r="P699" t="n">
        <v>0</v>
      </c>
      <c r="Q699" t="n">
        <v>0</v>
      </c>
      <c r="R699" s="2" t="inlineStr"/>
    </row>
    <row r="700" ht="15" customHeight="1">
      <c r="A700" t="inlineStr">
        <is>
          <t>A 48914-2023</t>
        </is>
      </c>
      <c r="B700" s="1" t="n">
        <v>45204</v>
      </c>
      <c r="C700" s="1" t="n">
        <v>45827</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50705-2023</t>
        </is>
      </c>
      <c r="B701" s="1" t="n">
        <v>45210</v>
      </c>
      <c r="C701" s="1" t="n">
        <v>45827</v>
      </c>
      <c r="D701" t="inlineStr">
        <is>
          <t>NORRBOTTENS LÄN</t>
        </is>
      </c>
      <c r="E701" t="inlineStr">
        <is>
          <t>PAJALA</t>
        </is>
      </c>
      <c r="G701" t="n">
        <v>1.1</v>
      </c>
      <c r="H701" t="n">
        <v>0</v>
      </c>
      <c r="I701" t="n">
        <v>0</v>
      </c>
      <c r="J701" t="n">
        <v>0</v>
      </c>
      <c r="K701" t="n">
        <v>0</v>
      </c>
      <c r="L701" t="n">
        <v>0</v>
      </c>
      <c r="M701" t="n">
        <v>0</v>
      </c>
      <c r="N701" t="n">
        <v>0</v>
      </c>
      <c r="O701" t="n">
        <v>0</v>
      </c>
      <c r="P701" t="n">
        <v>0</v>
      </c>
      <c r="Q701" t="n">
        <v>0</v>
      </c>
      <c r="R701" s="2" t="inlineStr"/>
    </row>
    <row r="702" ht="15" customHeight="1">
      <c r="A702" t="inlineStr">
        <is>
          <t>A 50702-2023</t>
        </is>
      </c>
      <c r="B702" s="1" t="n">
        <v>45210</v>
      </c>
      <c r="C702" s="1" t="n">
        <v>45827</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50696-2023</t>
        </is>
      </c>
      <c r="B703" s="1" t="n">
        <v>45210</v>
      </c>
      <c r="C703" s="1" t="n">
        <v>45827</v>
      </c>
      <c r="D703" t="inlineStr">
        <is>
          <t>NORRBOTTENS LÄN</t>
        </is>
      </c>
      <c r="E703" t="inlineStr">
        <is>
          <t>PAJALA</t>
        </is>
      </c>
      <c r="G703" t="n">
        <v>10.7</v>
      </c>
      <c r="H703" t="n">
        <v>0</v>
      </c>
      <c r="I703" t="n">
        <v>0</v>
      </c>
      <c r="J703" t="n">
        <v>0</v>
      </c>
      <c r="K703" t="n">
        <v>0</v>
      </c>
      <c r="L703" t="n">
        <v>0</v>
      </c>
      <c r="M703" t="n">
        <v>0</v>
      </c>
      <c r="N703" t="n">
        <v>0</v>
      </c>
      <c r="O703" t="n">
        <v>0</v>
      </c>
      <c r="P703" t="n">
        <v>0</v>
      </c>
      <c r="Q703" t="n">
        <v>0</v>
      </c>
      <c r="R703" s="2" t="inlineStr"/>
    </row>
    <row r="704" ht="15" customHeight="1">
      <c r="A704" t="inlineStr">
        <is>
          <t>A 49830-2023</t>
        </is>
      </c>
      <c r="B704" s="1" t="n">
        <v>45212</v>
      </c>
      <c r="C704" s="1" t="n">
        <v>45827</v>
      </c>
      <c r="D704" t="inlineStr">
        <is>
          <t>NORRBOTTENS LÄN</t>
        </is>
      </c>
      <c r="E704" t="inlineStr">
        <is>
          <t>PAJALA</t>
        </is>
      </c>
      <c r="G704" t="n">
        <v>1.4</v>
      </c>
      <c r="H704" t="n">
        <v>0</v>
      </c>
      <c r="I704" t="n">
        <v>0</v>
      </c>
      <c r="J704" t="n">
        <v>0</v>
      </c>
      <c r="K704" t="n">
        <v>0</v>
      </c>
      <c r="L704" t="n">
        <v>0</v>
      </c>
      <c r="M704" t="n">
        <v>0</v>
      </c>
      <c r="N704" t="n">
        <v>0</v>
      </c>
      <c r="O704" t="n">
        <v>0</v>
      </c>
      <c r="P704" t="n">
        <v>0</v>
      </c>
      <c r="Q704" t="n">
        <v>0</v>
      </c>
      <c r="R704" s="2" t="inlineStr"/>
    </row>
    <row r="705" ht="15" customHeight="1">
      <c r="A705" t="inlineStr">
        <is>
          <t>A 50097-2023</t>
        </is>
      </c>
      <c r="B705" s="1" t="n">
        <v>45215</v>
      </c>
      <c r="C705" s="1" t="n">
        <v>45827</v>
      </c>
      <c r="D705" t="inlineStr">
        <is>
          <t>NORRBOTTENS LÄN</t>
        </is>
      </c>
      <c r="E705" t="inlineStr">
        <is>
          <t>PAJALA</t>
        </is>
      </c>
      <c r="F705" t="inlineStr">
        <is>
          <t>Sveaskog</t>
        </is>
      </c>
      <c r="G705" t="n">
        <v>41.2</v>
      </c>
      <c r="H705" t="n">
        <v>0</v>
      </c>
      <c r="I705" t="n">
        <v>0</v>
      </c>
      <c r="J705" t="n">
        <v>0</v>
      </c>
      <c r="K705" t="n">
        <v>0</v>
      </c>
      <c r="L705" t="n">
        <v>0</v>
      </c>
      <c r="M705" t="n">
        <v>0</v>
      </c>
      <c r="N705" t="n">
        <v>0</v>
      </c>
      <c r="O705" t="n">
        <v>0</v>
      </c>
      <c r="P705" t="n">
        <v>0</v>
      </c>
      <c r="Q705" t="n">
        <v>0</v>
      </c>
      <c r="R705" s="2" t="inlineStr"/>
    </row>
    <row r="706" ht="15" customHeight="1">
      <c r="A706" t="inlineStr">
        <is>
          <t>A 51689-2023</t>
        </is>
      </c>
      <c r="B706" s="1" t="n">
        <v>45215</v>
      </c>
      <c r="C706" s="1" t="n">
        <v>45827</v>
      </c>
      <c r="D706" t="inlineStr">
        <is>
          <t>NORRBOTTENS LÄN</t>
        </is>
      </c>
      <c r="E706" t="inlineStr">
        <is>
          <t>PAJALA</t>
        </is>
      </c>
      <c r="G706" t="n">
        <v>5.9</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45827</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50381-2023</t>
        </is>
      </c>
      <c r="B708" s="1" t="n">
        <v>45216</v>
      </c>
      <c r="C708" s="1" t="n">
        <v>45827</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50323-2023</t>
        </is>
      </c>
      <c r="B709" s="1" t="n">
        <v>45216</v>
      </c>
      <c r="C709" s="1" t="n">
        <v>45827</v>
      </c>
      <c r="D709" t="inlineStr">
        <is>
          <t>NORRBOTTENS LÄN</t>
        </is>
      </c>
      <c r="E709" t="inlineStr">
        <is>
          <t>PAJALA</t>
        </is>
      </c>
      <c r="F709" t="inlineStr">
        <is>
          <t>Sveaskog</t>
        </is>
      </c>
      <c r="G709" t="n">
        <v>7.5</v>
      </c>
      <c r="H709" t="n">
        <v>0</v>
      </c>
      <c r="I709" t="n">
        <v>0</v>
      </c>
      <c r="J709" t="n">
        <v>0</v>
      </c>
      <c r="K709" t="n">
        <v>0</v>
      </c>
      <c r="L709" t="n">
        <v>0</v>
      </c>
      <c r="M709" t="n">
        <v>0</v>
      </c>
      <c r="N709" t="n">
        <v>0</v>
      </c>
      <c r="O709" t="n">
        <v>0</v>
      </c>
      <c r="P709" t="n">
        <v>0</v>
      </c>
      <c r="Q709" t="n">
        <v>0</v>
      </c>
      <c r="R709" s="2" t="inlineStr"/>
    </row>
    <row r="710" ht="15" customHeight="1">
      <c r="A710" t="inlineStr">
        <is>
          <t>A 52448-2023</t>
        </is>
      </c>
      <c r="B710" s="1" t="n">
        <v>45217</v>
      </c>
      <c r="C710" s="1" t="n">
        <v>45827</v>
      </c>
      <c r="D710" t="inlineStr">
        <is>
          <t>NORRBOTTENS LÄN</t>
        </is>
      </c>
      <c r="E710" t="inlineStr">
        <is>
          <t>PAJALA</t>
        </is>
      </c>
      <c r="F710" t="inlineStr">
        <is>
          <t>Kommuner</t>
        </is>
      </c>
      <c r="G710" t="n">
        <v>3.6</v>
      </c>
      <c r="H710" t="n">
        <v>0</v>
      </c>
      <c r="I710" t="n">
        <v>0</v>
      </c>
      <c r="J710" t="n">
        <v>0</v>
      </c>
      <c r="K710" t="n">
        <v>0</v>
      </c>
      <c r="L710" t="n">
        <v>0</v>
      </c>
      <c r="M710" t="n">
        <v>0</v>
      </c>
      <c r="N710" t="n">
        <v>0</v>
      </c>
      <c r="O710" t="n">
        <v>0</v>
      </c>
      <c r="P710" t="n">
        <v>0</v>
      </c>
      <c r="Q710" t="n">
        <v>0</v>
      </c>
      <c r="R710" s="2" t="inlineStr"/>
    </row>
    <row r="711" ht="15" customHeight="1">
      <c r="A711" t="inlineStr">
        <is>
          <t>A 52454-2023</t>
        </is>
      </c>
      <c r="B711" s="1" t="n">
        <v>45217</v>
      </c>
      <c r="C711" s="1" t="n">
        <v>45827</v>
      </c>
      <c r="D711" t="inlineStr">
        <is>
          <t>NORRBOTTENS LÄN</t>
        </is>
      </c>
      <c r="E711" t="inlineStr">
        <is>
          <t>PAJALA</t>
        </is>
      </c>
      <c r="F711" t="inlineStr">
        <is>
          <t>Kommuner</t>
        </is>
      </c>
      <c r="G711" t="n">
        <v>7.3</v>
      </c>
      <c r="H711" t="n">
        <v>0</v>
      </c>
      <c r="I711" t="n">
        <v>0</v>
      </c>
      <c r="J711" t="n">
        <v>0</v>
      </c>
      <c r="K711" t="n">
        <v>0</v>
      </c>
      <c r="L711" t="n">
        <v>0</v>
      </c>
      <c r="M711" t="n">
        <v>0</v>
      </c>
      <c r="N711" t="n">
        <v>0</v>
      </c>
      <c r="O711" t="n">
        <v>0</v>
      </c>
      <c r="P711" t="n">
        <v>0</v>
      </c>
      <c r="Q711" t="n">
        <v>0</v>
      </c>
      <c r="R711" s="2" t="inlineStr"/>
    </row>
    <row r="712" ht="15" customHeight="1">
      <c r="A712" t="inlineStr">
        <is>
          <t>A 52446-2023</t>
        </is>
      </c>
      <c r="B712" s="1" t="n">
        <v>45217</v>
      </c>
      <c r="C712" s="1" t="n">
        <v>45827</v>
      </c>
      <c r="D712" t="inlineStr">
        <is>
          <t>NORRBOTTENS LÄN</t>
        </is>
      </c>
      <c r="E712" t="inlineStr">
        <is>
          <t>PAJALA</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52457-2023</t>
        </is>
      </c>
      <c r="B713" s="1" t="n">
        <v>45217</v>
      </c>
      <c r="C713" s="1" t="n">
        <v>45827</v>
      </c>
      <c r="D713" t="inlineStr">
        <is>
          <t>NORRBOTTENS LÄN</t>
        </is>
      </c>
      <c r="E713" t="inlineStr">
        <is>
          <t>PAJALA</t>
        </is>
      </c>
      <c r="F713" t="inlineStr">
        <is>
          <t>Kommuner</t>
        </is>
      </c>
      <c r="G713" t="n">
        <v>20</v>
      </c>
      <c r="H713" t="n">
        <v>0</v>
      </c>
      <c r="I713" t="n">
        <v>0</v>
      </c>
      <c r="J713" t="n">
        <v>0</v>
      </c>
      <c r="K713" t="n">
        <v>0</v>
      </c>
      <c r="L713" t="n">
        <v>0</v>
      </c>
      <c r="M713" t="n">
        <v>0</v>
      </c>
      <c r="N713" t="n">
        <v>0</v>
      </c>
      <c r="O713" t="n">
        <v>0</v>
      </c>
      <c r="P713" t="n">
        <v>0</v>
      </c>
      <c r="Q713" t="n">
        <v>0</v>
      </c>
      <c r="R713" s="2" t="inlineStr"/>
    </row>
    <row r="714" ht="15" customHeight="1">
      <c r="A714" t="inlineStr">
        <is>
          <t>A 52452-2023</t>
        </is>
      </c>
      <c r="B714" s="1" t="n">
        <v>45217</v>
      </c>
      <c r="C714" s="1" t="n">
        <v>45827</v>
      </c>
      <c r="D714" t="inlineStr">
        <is>
          <t>NORRBOTTENS LÄN</t>
        </is>
      </c>
      <c r="E714" t="inlineStr">
        <is>
          <t>PAJALA</t>
        </is>
      </c>
      <c r="F714" t="inlineStr">
        <is>
          <t>Kommuner</t>
        </is>
      </c>
      <c r="G714" t="n">
        <v>6.7</v>
      </c>
      <c r="H714" t="n">
        <v>0</v>
      </c>
      <c r="I714" t="n">
        <v>0</v>
      </c>
      <c r="J714" t="n">
        <v>0</v>
      </c>
      <c r="K714" t="n">
        <v>0</v>
      </c>
      <c r="L714" t="n">
        <v>0</v>
      </c>
      <c r="M714" t="n">
        <v>0</v>
      </c>
      <c r="N714" t="n">
        <v>0</v>
      </c>
      <c r="O714" t="n">
        <v>0</v>
      </c>
      <c r="P714" t="n">
        <v>0</v>
      </c>
      <c r="Q714" t="n">
        <v>0</v>
      </c>
      <c r="R714" s="2" t="inlineStr"/>
    </row>
    <row r="715" ht="15" customHeight="1">
      <c r="A715" t="inlineStr">
        <is>
          <t>A 52422-2023</t>
        </is>
      </c>
      <c r="B715" s="1" t="n">
        <v>45217</v>
      </c>
      <c r="C715" s="1" t="n">
        <v>45827</v>
      </c>
      <c r="D715" t="inlineStr">
        <is>
          <t>NORRBOTTENS LÄN</t>
        </is>
      </c>
      <c r="E715" t="inlineStr">
        <is>
          <t>PAJALA</t>
        </is>
      </c>
      <c r="F715" t="inlineStr">
        <is>
          <t>Kommuner</t>
        </is>
      </c>
      <c r="G715" t="n">
        <v>11.6</v>
      </c>
      <c r="H715" t="n">
        <v>0</v>
      </c>
      <c r="I715" t="n">
        <v>0</v>
      </c>
      <c r="J715" t="n">
        <v>0</v>
      </c>
      <c r="K715" t="n">
        <v>0</v>
      </c>
      <c r="L715" t="n">
        <v>0</v>
      </c>
      <c r="M715" t="n">
        <v>0</v>
      </c>
      <c r="N715" t="n">
        <v>0</v>
      </c>
      <c r="O715" t="n">
        <v>0</v>
      </c>
      <c r="P715" t="n">
        <v>0</v>
      </c>
      <c r="Q715" t="n">
        <v>0</v>
      </c>
      <c r="R715" s="2" t="inlineStr"/>
    </row>
    <row r="716" ht="15" customHeight="1">
      <c r="A716" t="inlineStr">
        <is>
          <t>A 51083-2023</t>
        </is>
      </c>
      <c r="B716" s="1" t="n">
        <v>45218</v>
      </c>
      <c r="C716" s="1" t="n">
        <v>45827</v>
      </c>
      <c r="D716" t="inlineStr">
        <is>
          <t>NORRBOTTENS LÄN</t>
        </is>
      </c>
      <c r="E716" t="inlineStr">
        <is>
          <t>PAJALA</t>
        </is>
      </c>
      <c r="F716" t="inlineStr">
        <is>
          <t>Sveaskog</t>
        </is>
      </c>
      <c r="G716" t="n">
        <v>25.1</v>
      </c>
      <c r="H716" t="n">
        <v>0</v>
      </c>
      <c r="I716" t="n">
        <v>0</v>
      </c>
      <c r="J716" t="n">
        <v>0</v>
      </c>
      <c r="K716" t="n">
        <v>0</v>
      </c>
      <c r="L716" t="n">
        <v>0</v>
      </c>
      <c r="M716" t="n">
        <v>0</v>
      </c>
      <c r="N716" t="n">
        <v>0</v>
      </c>
      <c r="O716" t="n">
        <v>0</v>
      </c>
      <c r="P716" t="n">
        <v>0</v>
      </c>
      <c r="Q716" t="n">
        <v>0</v>
      </c>
      <c r="R716" s="2" t="inlineStr"/>
    </row>
    <row r="717" ht="15" customHeight="1">
      <c r="A717" t="inlineStr">
        <is>
          <t>A 52558-2023</t>
        </is>
      </c>
      <c r="B717" s="1" t="n">
        <v>45218</v>
      </c>
      <c r="C717" s="1" t="n">
        <v>45827</v>
      </c>
      <c r="D717" t="inlineStr">
        <is>
          <t>NORRBOTTENS LÄN</t>
        </is>
      </c>
      <c r="E717" t="inlineStr">
        <is>
          <t>PAJALA</t>
        </is>
      </c>
      <c r="G717" t="n">
        <v>7.6</v>
      </c>
      <c r="H717" t="n">
        <v>0</v>
      </c>
      <c r="I717" t="n">
        <v>0</v>
      </c>
      <c r="J717" t="n">
        <v>0</v>
      </c>
      <c r="K717" t="n">
        <v>0</v>
      </c>
      <c r="L717" t="n">
        <v>0</v>
      </c>
      <c r="M717" t="n">
        <v>0</v>
      </c>
      <c r="N717" t="n">
        <v>0</v>
      </c>
      <c r="O717" t="n">
        <v>0</v>
      </c>
      <c r="P717" t="n">
        <v>0</v>
      </c>
      <c r="Q717" t="n">
        <v>0</v>
      </c>
      <c r="R717" s="2" t="inlineStr"/>
    </row>
    <row r="718" ht="15" customHeight="1">
      <c r="A718" t="inlineStr">
        <is>
          <t>A 51326-2023</t>
        </is>
      </c>
      <c r="B718" s="1" t="n">
        <v>45219</v>
      </c>
      <c r="C718" s="1" t="n">
        <v>45827</v>
      </c>
      <c r="D718" t="inlineStr">
        <is>
          <t>NORRBOTTENS LÄN</t>
        </is>
      </c>
      <c r="E718" t="inlineStr">
        <is>
          <t>PAJALA</t>
        </is>
      </c>
      <c r="G718" t="n">
        <v>6.2</v>
      </c>
      <c r="H718" t="n">
        <v>0</v>
      </c>
      <c r="I718" t="n">
        <v>0</v>
      </c>
      <c r="J718" t="n">
        <v>0</v>
      </c>
      <c r="K718" t="n">
        <v>0</v>
      </c>
      <c r="L718" t="n">
        <v>0</v>
      </c>
      <c r="M718" t="n">
        <v>0</v>
      </c>
      <c r="N718" t="n">
        <v>0</v>
      </c>
      <c r="O718" t="n">
        <v>0</v>
      </c>
      <c r="P718" t="n">
        <v>0</v>
      </c>
      <c r="Q718" t="n">
        <v>0</v>
      </c>
      <c r="R718" s="2" t="inlineStr"/>
    </row>
    <row r="719" ht="15" customHeight="1">
      <c r="A719" t="inlineStr">
        <is>
          <t>A 51330-2023</t>
        </is>
      </c>
      <c r="B719" s="1" t="n">
        <v>45219</v>
      </c>
      <c r="C719" s="1" t="n">
        <v>45827</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53015-2023</t>
        </is>
      </c>
      <c r="B720" s="1" t="n">
        <v>45226</v>
      </c>
      <c r="C720" s="1" t="n">
        <v>45827</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53091-2023</t>
        </is>
      </c>
      <c r="B721" s="1" t="n">
        <v>45227</v>
      </c>
      <c r="C721" s="1" t="n">
        <v>45827</v>
      </c>
      <c r="D721" t="inlineStr">
        <is>
          <t>NORRBOTTENS LÄN</t>
        </is>
      </c>
      <c r="E721" t="inlineStr">
        <is>
          <t>PAJALA</t>
        </is>
      </c>
      <c r="G721" t="n">
        <v>3.7</v>
      </c>
      <c r="H721" t="n">
        <v>0</v>
      </c>
      <c r="I721" t="n">
        <v>0</v>
      </c>
      <c r="J721" t="n">
        <v>0</v>
      </c>
      <c r="K721" t="n">
        <v>0</v>
      </c>
      <c r="L721" t="n">
        <v>0</v>
      </c>
      <c r="M721" t="n">
        <v>0</v>
      </c>
      <c r="N721" t="n">
        <v>0</v>
      </c>
      <c r="O721" t="n">
        <v>0</v>
      </c>
      <c r="P721" t="n">
        <v>0</v>
      </c>
      <c r="Q721" t="n">
        <v>0</v>
      </c>
      <c r="R721" s="2" t="inlineStr"/>
    </row>
    <row r="722" ht="15" customHeight="1">
      <c r="A722" t="inlineStr">
        <is>
          <t>A 53086-2023</t>
        </is>
      </c>
      <c r="B722" s="1" t="n">
        <v>45227</v>
      </c>
      <c r="C722" s="1" t="n">
        <v>45827</v>
      </c>
      <c r="D722" t="inlineStr">
        <is>
          <t>NORRBOTTENS LÄN</t>
        </is>
      </c>
      <c r="E722" t="inlineStr">
        <is>
          <t>PAJALA</t>
        </is>
      </c>
      <c r="G722" t="n">
        <v>15.3</v>
      </c>
      <c r="H722" t="n">
        <v>0</v>
      </c>
      <c r="I722" t="n">
        <v>0</v>
      </c>
      <c r="J722" t="n">
        <v>0</v>
      </c>
      <c r="K722" t="n">
        <v>0</v>
      </c>
      <c r="L722" t="n">
        <v>0</v>
      </c>
      <c r="M722" t="n">
        <v>0</v>
      </c>
      <c r="N722" t="n">
        <v>0</v>
      </c>
      <c r="O722" t="n">
        <v>0</v>
      </c>
      <c r="P722" t="n">
        <v>0</v>
      </c>
      <c r="Q722" t="n">
        <v>0</v>
      </c>
      <c r="R722" s="2" t="inlineStr"/>
    </row>
    <row r="723" ht="15" customHeight="1">
      <c r="A723" t="inlineStr">
        <is>
          <t>A 53092-2023</t>
        </is>
      </c>
      <c r="B723" s="1" t="n">
        <v>45227</v>
      </c>
      <c r="C723" s="1" t="n">
        <v>45827</v>
      </c>
      <c r="D723" t="inlineStr">
        <is>
          <t>NORRBOTTENS LÄN</t>
        </is>
      </c>
      <c r="E723" t="inlineStr">
        <is>
          <t>PAJALA</t>
        </is>
      </c>
      <c r="G723" t="n">
        <v>5.2</v>
      </c>
      <c r="H723" t="n">
        <v>0</v>
      </c>
      <c r="I723" t="n">
        <v>0</v>
      </c>
      <c r="J723" t="n">
        <v>0</v>
      </c>
      <c r="K723" t="n">
        <v>0</v>
      </c>
      <c r="L723" t="n">
        <v>0</v>
      </c>
      <c r="M723" t="n">
        <v>0</v>
      </c>
      <c r="N723" t="n">
        <v>0</v>
      </c>
      <c r="O723" t="n">
        <v>0</v>
      </c>
      <c r="P723" t="n">
        <v>0</v>
      </c>
      <c r="Q723" t="n">
        <v>0</v>
      </c>
      <c r="R723" s="2" t="inlineStr"/>
    </row>
    <row r="724" ht="15" customHeight="1">
      <c r="A724" t="inlineStr">
        <is>
          <t>A 53094-2023</t>
        </is>
      </c>
      <c r="B724" s="1" t="n">
        <v>45227</v>
      </c>
      <c r="C724" s="1" t="n">
        <v>45827</v>
      </c>
      <c r="D724" t="inlineStr">
        <is>
          <t>NORRBOTTENS LÄN</t>
        </is>
      </c>
      <c r="E724" t="inlineStr">
        <is>
          <t>PAJALA</t>
        </is>
      </c>
      <c r="G724" t="n">
        <v>2</v>
      </c>
      <c r="H724" t="n">
        <v>0</v>
      </c>
      <c r="I724" t="n">
        <v>0</v>
      </c>
      <c r="J724" t="n">
        <v>0</v>
      </c>
      <c r="K724" t="n">
        <v>0</v>
      </c>
      <c r="L724" t="n">
        <v>0</v>
      </c>
      <c r="M724" t="n">
        <v>0</v>
      </c>
      <c r="N724" t="n">
        <v>0</v>
      </c>
      <c r="O724" t="n">
        <v>0</v>
      </c>
      <c r="P724" t="n">
        <v>0</v>
      </c>
      <c r="Q724" t="n">
        <v>0</v>
      </c>
      <c r="R724" s="2" t="inlineStr"/>
    </row>
    <row r="725" ht="15" customHeight="1">
      <c r="A725" t="inlineStr">
        <is>
          <t>A 53795-2023</t>
        </is>
      </c>
      <c r="B725" s="1" t="n">
        <v>45231</v>
      </c>
      <c r="C725" s="1" t="n">
        <v>45827</v>
      </c>
      <c r="D725" t="inlineStr">
        <is>
          <t>NORRBOTTENS LÄN</t>
        </is>
      </c>
      <c r="E725" t="inlineStr">
        <is>
          <t>PAJALA</t>
        </is>
      </c>
      <c r="G725" t="n">
        <v>8</v>
      </c>
      <c r="H725" t="n">
        <v>0</v>
      </c>
      <c r="I725" t="n">
        <v>0</v>
      </c>
      <c r="J725" t="n">
        <v>0</v>
      </c>
      <c r="K725" t="n">
        <v>0</v>
      </c>
      <c r="L725" t="n">
        <v>0</v>
      </c>
      <c r="M725" t="n">
        <v>0</v>
      </c>
      <c r="N725" t="n">
        <v>0</v>
      </c>
      <c r="O725" t="n">
        <v>0</v>
      </c>
      <c r="P725" t="n">
        <v>0</v>
      </c>
      <c r="Q725" t="n">
        <v>0</v>
      </c>
      <c r="R725" s="2" t="inlineStr"/>
    </row>
    <row r="726" ht="15" customHeight="1">
      <c r="A726" t="inlineStr">
        <is>
          <t>A 55531-2023</t>
        </is>
      </c>
      <c r="B726" s="1" t="n">
        <v>45232</v>
      </c>
      <c r="C726" s="1" t="n">
        <v>45827</v>
      </c>
      <c r="D726" t="inlineStr">
        <is>
          <t>NORRBOTTENS LÄN</t>
        </is>
      </c>
      <c r="E726" t="inlineStr">
        <is>
          <t>PAJALA</t>
        </is>
      </c>
      <c r="F726" t="inlineStr">
        <is>
          <t>Kommuner</t>
        </is>
      </c>
      <c r="G726" t="n">
        <v>3.6</v>
      </c>
      <c r="H726" t="n">
        <v>0</v>
      </c>
      <c r="I726" t="n">
        <v>0</v>
      </c>
      <c r="J726" t="n">
        <v>0</v>
      </c>
      <c r="K726" t="n">
        <v>0</v>
      </c>
      <c r="L726" t="n">
        <v>0</v>
      </c>
      <c r="M726" t="n">
        <v>0</v>
      </c>
      <c r="N726" t="n">
        <v>0</v>
      </c>
      <c r="O726" t="n">
        <v>0</v>
      </c>
      <c r="P726" t="n">
        <v>0</v>
      </c>
      <c r="Q726" t="n">
        <v>0</v>
      </c>
      <c r="R726" s="2" t="inlineStr"/>
    </row>
    <row r="727" ht="15" customHeight="1">
      <c r="A727" t="inlineStr">
        <is>
          <t>A 55563-2023</t>
        </is>
      </c>
      <c r="B727" s="1" t="n">
        <v>45232</v>
      </c>
      <c r="C727" s="1" t="n">
        <v>45827</v>
      </c>
      <c r="D727" t="inlineStr">
        <is>
          <t>NORRBOTTENS LÄN</t>
        </is>
      </c>
      <c r="E727" t="inlineStr">
        <is>
          <t>PAJALA</t>
        </is>
      </c>
      <c r="F727" t="inlineStr">
        <is>
          <t>Allmännings- och besparingsskogar</t>
        </is>
      </c>
      <c r="G727" t="n">
        <v>2.2</v>
      </c>
      <c r="H727" t="n">
        <v>0</v>
      </c>
      <c r="I727" t="n">
        <v>0</v>
      </c>
      <c r="J727" t="n">
        <v>0</v>
      </c>
      <c r="K727" t="n">
        <v>0</v>
      </c>
      <c r="L727" t="n">
        <v>0</v>
      </c>
      <c r="M727" t="n">
        <v>0</v>
      </c>
      <c r="N727" t="n">
        <v>0</v>
      </c>
      <c r="O727" t="n">
        <v>0</v>
      </c>
      <c r="P727" t="n">
        <v>0</v>
      </c>
      <c r="Q727" t="n">
        <v>0</v>
      </c>
      <c r="R727" s="2" t="inlineStr"/>
    </row>
    <row r="728" ht="15" customHeight="1">
      <c r="A728" t="inlineStr">
        <is>
          <t>A 54764-2023</t>
        </is>
      </c>
      <c r="B728" s="1" t="n">
        <v>45236</v>
      </c>
      <c r="C728" s="1" t="n">
        <v>45827</v>
      </c>
      <c r="D728" t="inlineStr">
        <is>
          <t>NORRBOTTENS LÄN</t>
        </is>
      </c>
      <c r="E728" t="inlineStr">
        <is>
          <t>PAJALA</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54768-2023</t>
        </is>
      </c>
      <c r="B729" s="1" t="n">
        <v>45236</v>
      </c>
      <c r="C729" s="1" t="n">
        <v>45827</v>
      </c>
      <c r="D729" t="inlineStr">
        <is>
          <t>NORRBOTTENS LÄN</t>
        </is>
      </c>
      <c r="E729" t="inlineStr">
        <is>
          <t>PAJALA</t>
        </is>
      </c>
      <c r="F729" t="inlineStr">
        <is>
          <t>Sveaskog</t>
        </is>
      </c>
      <c r="G729" t="n">
        <v>6.9</v>
      </c>
      <c r="H729" t="n">
        <v>0</v>
      </c>
      <c r="I729" t="n">
        <v>0</v>
      </c>
      <c r="J729" t="n">
        <v>0</v>
      </c>
      <c r="K729" t="n">
        <v>0</v>
      </c>
      <c r="L729" t="n">
        <v>0</v>
      </c>
      <c r="M729" t="n">
        <v>0</v>
      </c>
      <c r="N729" t="n">
        <v>0</v>
      </c>
      <c r="O729" t="n">
        <v>0</v>
      </c>
      <c r="P729" t="n">
        <v>0</v>
      </c>
      <c r="Q729" t="n">
        <v>0</v>
      </c>
      <c r="R729" s="2" t="inlineStr"/>
    </row>
    <row r="730" ht="15" customHeight="1">
      <c r="A730" t="inlineStr">
        <is>
          <t>A 54818-2023</t>
        </is>
      </c>
      <c r="B730" s="1" t="n">
        <v>45236</v>
      </c>
      <c r="C730" s="1" t="n">
        <v>45827</v>
      </c>
      <c r="D730" t="inlineStr">
        <is>
          <t>NORRBOTTENS LÄN</t>
        </is>
      </c>
      <c r="E730" t="inlineStr">
        <is>
          <t>PAJALA</t>
        </is>
      </c>
      <c r="G730" t="n">
        <v>25.4</v>
      </c>
      <c r="H730" t="n">
        <v>0</v>
      </c>
      <c r="I730" t="n">
        <v>0</v>
      </c>
      <c r="J730" t="n">
        <v>0</v>
      </c>
      <c r="K730" t="n">
        <v>0</v>
      </c>
      <c r="L730" t="n">
        <v>0</v>
      </c>
      <c r="M730" t="n">
        <v>0</v>
      </c>
      <c r="N730" t="n">
        <v>0</v>
      </c>
      <c r="O730" t="n">
        <v>0</v>
      </c>
      <c r="P730" t="n">
        <v>0</v>
      </c>
      <c r="Q730" t="n">
        <v>0</v>
      </c>
      <c r="R730" s="2" t="inlineStr"/>
    </row>
    <row r="731" ht="15" customHeight="1">
      <c r="A731" t="inlineStr">
        <is>
          <t>A 55175-2023</t>
        </is>
      </c>
      <c r="B731" s="1" t="n">
        <v>45237</v>
      </c>
      <c r="C731" s="1" t="n">
        <v>45827</v>
      </c>
      <c r="D731" t="inlineStr">
        <is>
          <t>NORRBOTTENS LÄN</t>
        </is>
      </c>
      <c r="E731" t="inlineStr">
        <is>
          <t>PAJALA</t>
        </is>
      </c>
      <c r="F731" t="inlineStr">
        <is>
          <t>Sveaskog</t>
        </is>
      </c>
      <c r="G731" t="n">
        <v>8</v>
      </c>
      <c r="H731" t="n">
        <v>0</v>
      </c>
      <c r="I731" t="n">
        <v>0</v>
      </c>
      <c r="J731" t="n">
        <v>0</v>
      </c>
      <c r="K731" t="n">
        <v>0</v>
      </c>
      <c r="L731" t="n">
        <v>0</v>
      </c>
      <c r="M731" t="n">
        <v>0</v>
      </c>
      <c r="N731" t="n">
        <v>0</v>
      </c>
      <c r="O731" t="n">
        <v>0</v>
      </c>
      <c r="P731" t="n">
        <v>0</v>
      </c>
      <c r="Q731" t="n">
        <v>0</v>
      </c>
      <c r="R731" s="2" t="inlineStr"/>
    </row>
    <row r="732" ht="15" customHeight="1">
      <c r="A732" t="inlineStr">
        <is>
          <t>A 55484-2023</t>
        </is>
      </c>
      <c r="B732" s="1" t="n">
        <v>45238</v>
      </c>
      <c r="C732" s="1" t="n">
        <v>45827</v>
      </c>
      <c r="D732" t="inlineStr">
        <is>
          <t>NORRBOTTENS LÄN</t>
        </is>
      </c>
      <c r="E732" t="inlineStr">
        <is>
          <t>PAJALA</t>
        </is>
      </c>
      <c r="G732" t="n">
        <v>1.5</v>
      </c>
      <c r="H732" t="n">
        <v>0</v>
      </c>
      <c r="I732" t="n">
        <v>0</v>
      </c>
      <c r="J732" t="n">
        <v>0</v>
      </c>
      <c r="K732" t="n">
        <v>0</v>
      </c>
      <c r="L732" t="n">
        <v>0</v>
      </c>
      <c r="M732" t="n">
        <v>0</v>
      </c>
      <c r="N732" t="n">
        <v>0</v>
      </c>
      <c r="O732" t="n">
        <v>0</v>
      </c>
      <c r="P732" t="n">
        <v>0</v>
      </c>
      <c r="Q732" t="n">
        <v>0</v>
      </c>
      <c r="R732" s="2" t="inlineStr"/>
    </row>
    <row r="733" ht="15" customHeight="1">
      <c r="A733" t="inlineStr">
        <is>
          <t>A 55503-2023</t>
        </is>
      </c>
      <c r="B733" s="1" t="n">
        <v>45238</v>
      </c>
      <c r="C733" s="1" t="n">
        <v>45827</v>
      </c>
      <c r="D733" t="inlineStr">
        <is>
          <t>NORRBOTTENS LÄN</t>
        </is>
      </c>
      <c r="E733" t="inlineStr">
        <is>
          <t>PAJALA</t>
        </is>
      </c>
      <c r="G733" t="n">
        <v>4.6</v>
      </c>
      <c r="H733" t="n">
        <v>0</v>
      </c>
      <c r="I733" t="n">
        <v>0</v>
      </c>
      <c r="J733" t="n">
        <v>0</v>
      </c>
      <c r="K733" t="n">
        <v>0</v>
      </c>
      <c r="L733" t="n">
        <v>0</v>
      </c>
      <c r="M733" t="n">
        <v>0</v>
      </c>
      <c r="N733" t="n">
        <v>0</v>
      </c>
      <c r="O733" t="n">
        <v>0</v>
      </c>
      <c r="P733" t="n">
        <v>0</v>
      </c>
      <c r="Q733" t="n">
        <v>0</v>
      </c>
      <c r="R733" s="2" t="inlineStr"/>
    </row>
    <row r="734" ht="15" customHeight="1">
      <c r="A734" t="inlineStr">
        <is>
          <t>A 55481-2023</t>
        </is>
      </c>
      <c r="B734" s="1" t="n">
        <v>45238</v>
      </c>
      <c r="C734" s="1" t="n">
        <v>45827</v>
      </c>
      <c r="D734" t="inlineStr">
        <is>
          <t>NORRBOTTENS LÄN</t>
        </is>
      </c>
      <c r="E734" t="inlineStr">
        <is>
          <t>PAJALA</t>
        </is>
      </c>
      <c r="G734" t="n">
        <v>1.9</v>
      </c>
      <c r="H734" t="n">
        <v>0</v>
      </c>
      <c r="I734" t="n">
        <v>0</v>
      </c>
      <c r="J734" t="n">
        <v>0</v>
      </c>
      <c r="K734" t="n">
        <v>0</v>
      </c>
      <c r="L734" t="n">
        <v>0</v>
      </c>
      <c r="M734" t="n">
        <v>0</v>
      </c>
      <c r="N734" t="n">
        <v>0</v>
      </c>
      <c r="O734" t="n">
        <v>0</v>
      </c>
      <c r="P734" t="n">
        <v>0</v>
      </c>
      <c r="Q734" t="n">
        <v>0</v>
      </c>
      <c r="R734" s="2" t="inlineStr"/>
    </row>
    <row r="735" ht="15" customHeight="1">
      <c r="A735" t="inlineStr">
        <is>
          <t>A 56477-2023</t>
        </is>
      </c>
      <c r="B735" s="1" t="n">
        <v>45243</v>
      </c>
      <c r="C735" s="1" t="n">
        <v>45827</v>
      </c>
      <c r="D735" t="inlineStr">
        <is>
          <t>NORRBOTTENS LÄN</t>
        </is>
      </c>
      <c r="E735" t="inlineStr">
        <is>
          <t>PAJALA</t>
        </is>
      </c>
      <c r="G735" t="n">
        <v>11.6</v>
      </c>
      <c r="H735" t="n">
        <v>0</v>
      </c>
      <c r="I735" t="n">
        <v>0</v>
      </c>
      <c r="J735" t="n">
        <v>0</v>
      </c>
      <c r="K735" t="n">
        <v>0</v>
      </c>
      <c r="L735" t="n">
        <v>0</v>
      </c>
      <c r="M735" t="n">
        <v>0</v>
      </c>
      <c r="N735" t="n">
        <v>0</v>
      </c>
      <c r="O735" t="n">
        <v>0</v>
      </c>
      <c r="P735" t="n">
        <v>0</v>
      </c>
      <c r="Q735" t="n">
        <v>0</v>
      </c>
      <c r="R735" s="2" t="inlineStr"/>
    </row>
    <row r="736" ht="15" customHeight="1">
      <c r="A736" t="inlineStr">
        <is>
          <t>A 57602-2023</t>
        </is>
      </c>
      <c r="B736" s="1" t="n">
        <v>45246</v>
      </c>
      <c r="C736" s="1" t="n">
        <v>45827</v>
      </c>
      <c r="D736" t="inlineStr">
        <is>
          <t>NORRBOTTENS LÄN</t>
        </is>
      </c>
      <c r="E736" t="inlineStr">
        <is>
          <t>PAJALA</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57608-2023</t>
        </is>
      </c>
      <c r="B737" s="1" t="n">
        <v>45246</v>
      </c>
      <c r="C737" s="1" t="n">
        <v>45827</v>
      </c>
      <c r="D737" t="inlineStr">
        <is>
          <t>NORRBOTTENS LÄN</t>
        </is>
      </c>
      <c r="E737" t="inlineStr">
        <is>
          <t>PAJALA</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57945-2023</t>
        </is>
      </c>
      <c r="B738" s="1" t="n">
        <v>45247</v>
      </c>
      <c r="C738" s="1" t="n">
        <v>45827</v>
      </c>
      <c r="D738" t="inlineStr">
        <is>
          <t>NORRBOTTENS LÄN</t>
        </is>
      </c>
      <c r="E738" t="inlineStr">
        <is>
          <t>PAJALA</t>
        </is>
      </c>
      <c r="G738" t="n">
        <v>17.3</v>
      </c>
      <c r="H738" t="n">
        <v>0</v>
      </c>
      <c r="I738" t="n">
        <v>0</v>
      </c>
      <c r="J738" t="n">
        <v>0</v>
      </c>
      <c r="K738" t="n">
        <v>0</v>
      </c>
      <c r="L738" t="n">
        <v>0</v>
      </c>
      <c r="M738" t="n">
        <v>0</v>
      </c>
      <c r="N738" t="n">
        <v>0</v>
      </c>
      <c r="O738" t="n">
        <v>0</v>
      </c>
      <c r="P738" t="n">
        <v>0</v>
      </c>
      <c r="Q738" t="n">
        <v>0</v>
      </c>
      <c r="R738" s="2" t="inlineStr"/>
    </row>
    <row r="739" ht="15" customHeight="1">
      <c r="A739" t="inlineStr">
        <is>
          <t>A 58056-2023</t>
        </is>
      </c>
      <c r="B739" s="1" t="n">
        <v>45247</v>
      </c>
      <c r="C739" s="1" t="n">
        <v>45827</v>
      </c>
      <c r="D739" t="inlineStr">
        <is>
          <t>NORRBOTTENS LÄN</t>
        </is>
      </c>
      <c r="E739" t="inlineStr">
        <is>
          <t>PAJALA</t>
        </is>
      </c>
      <c r="G739" t="n">
        <v>5.4</v>
      </c>
      <c r="H739" t="n">
        <v>0</v>
      </c>
      <c r="I739" t="n">
        <v>0</v>
      </c>
      <c r="J739" t="n">
        <v>0</v>
      </c>
      <c r="K739" t="n">
        <v>0</v>
      </c>
      <c r="L739" t="n">
        <v>0</v>
      </c>
      <c r="M739" t="n">
        <v>0</v>
      </c>
      <c r="N739" t="n">
        <v>0</v>
      </c>
      <c r="O739" t="n">
        <v>0</v>
      </c>
      <c r="P739" t="n">
        <v>0</v>
      </c>
      <c r="Q739" t="n">
        <v>0</v>
      </c>
      <c r="R739" s="2" t="inlineStr"/>
    </row>
    <row r="740" ht="15" customHeight="1">
      <c r="A740" t="inlineStr">
        <is>
          <t>A 57906-2023</t>
        </is>
      </c>
      <c r="B740" s="1" t="n">
        <v>45247</v>
      </c>
      <c r="C740" s="1" t="n">
        <v>45827</v>
      </c>
      <c r="D740" t="inlineStr">
        <is>
          <t>NORRBOTTENS LÄN</t>
        </is>
      </c>
      <c r="E740" t="inlineStr">
        <is>
          <t>PAJALA</t>
        </is>
      </c>
      <c r="G740" t="n">
        <v>2.4</v>
      </c>
      <c r="H740" t="n">
        <v>0</v>
      </c>
      <c r="I740" t="n">
        <v>0</v>
      </c>
      <c r="J740" t="n">
        <v>0</v>
      </c>
      <c r="K740" t="n">
        <v>0</v>
      </c>
      <c r="L740" t="n">
        <v>0</v>
      </c>
      <c r="M740" t="n">
        <v>0</v>
      </c>
      <c r="N740" t="n">
        <v>0</v>
      </c>
      <c r="O740" t="n">
        <v>0</v>
      </c>
      <c r="P740" t="n">
        <v>0</v>
      </c>
      <c r="Q740" t="n">
        <v>0</v>
      </c>
      <c r="R740" s="2" t="inlineStr"/>
    </row>
    <row r="741" ht="15" customHeight="1">
      <c r="A741" t="inlineStr">
        <is>
          <t>A 58281-2023</t>
        </is>
      </c>
      <c r="B741" s="1" t="n">
        <v>45250</v>
      </c>
      <c r="C741" s="1" t="n">
        <v>45827</v>
      </c>
      <c r="D741" t="inlineStr">
        <is>
          <t>NORRBOTTENS LÄN</t>
        </is>
      </c>
      <c r="E741" t="inlineStr">
        <is>
          <t>PAJALA</t>
        </is>
      </c>
      <c r="G741" t="n">
        <v>3.6</v>
      </c>
      <c r="H741" t="n">
        <v>0</v>
      </c>
      <c r="I741" t="n">
        <v>0</v>
      </c>
      <c r="J741" t="n">
        <v>0</v>
      </c>
      <c r="K741" t="n">
        <v>0</v>
      </c>
      <c r="L741" t="n">
        <v>0</v>
      </c>
      <c r="M741" t="n">
        <v>0</v>
      </c>
      <c r="N741" t="n">
        <v>0</v>
      </c>
      <c r="O741" t="n">
        <v>0</v>
      </c>
      <c r="P741" t="n">
        <v>0</v>
      </c>
      <c r="Q741" t="n">
        <v>0</v>
      </c>
      <c r="R741" s="2" t="inlineStr"/>
    </row>
    <row r="742" ht="15" customHeight="1">
      <c r="A742" t="inlineStr">
        <is>
          <t>A 58289-2023</t>
        </is>
      </c>
      <c r="B742" s="1" t="n">
        <v>45250</v>
      </c>
      <c r="C742" s="1" t="n">
        <v>45827</v>
      </c>
      <c r="D742" t="inlineStr">
        <is>
          <t>NORRBOTTENS LÄN</t>
        </is>
      </c>
      <c r="E742" t="inlineStr">
        <is>
          <t>PAJALA</t>
        </is>
      </c>
      <c r="G742" t="n">
        <v>5.7</v>
      </c>
      <c r="H742" t="n">
        <v>0</v>
      </c>
      <c r="I742" t="n">
        <v>0</v>
      </c>
      <c r="J742" t="n">
        <v>0</v>
      </c>
      <c r="K742" t="n">
        <v>0</v>
      </c>
      <c r="L742" t="n">
        <v>0</v>
      </c>
      <c r="M742" t="n">
        <v>0</v>
      </c>
      <c r="N742" t="n">
        <v>0</v>
      </c>
      <c r="O742" t="n">
        <v>0</v>
      </c>
      <c r="P742" t="n">
        <v>0</v>
      </c>
      <c r="Q742" t="n">
        <v>0</v>
      </c>
      <c r="R742" s="2" t="inlineStr"/>
    </row>
    <row r="743" ht="15" customHeight="1">
      <c r="A743" t="inlineStr">
        <is>
          <t>A 58699-2023</t>
        </is>
      </c>
      <c r="B743" s="1" t="n">
        <v>45251</v>
      </c>
      <c r="C743" s="1" t="n">
        <v>45827</v>
      </c>
      <c r="D743" t="inlineStr">
        <is>
          <t>NORRBOTTENS LÄN</t>
        </is>
      </c>
      <c r="E743" t="inlineStr">
        <is>
          <t>PAJALA</t>
        </is>
      </c>
      <c r="G743" t="n">
        <v>0.9</v>
      </c>
      <c r="H743" t="n">
        <v>0</v>
      </c>
      <c r="I743" t="n">
        <v>0</v>
      </c>
      <c r="J743" t="n">
        <v>0</v>
      </c>
      <c r="K743" t="n">
        <v>0</v>
      </c>
      <c r="L743" t="n">
        <v>0</v>
      </c>
      <c r="M743" t="n">
        <v>0</v>
      </c>
      <c r="N743" t="n">
        <v>0</v>
      </c>
      <c r="O743" t="n">
        <v>0</v>
      </c>
      <c r="P743" t="n">
        <v>0</v>
      </c>
      <c r="Q743" t="n">
        <v>0</v>
      </c>
      <c r="R743" s="2" t="inlineStr"/>
    </row>
    <row r="744" ht="15" customHeight="1">
      <c r="A744" t="inlineStr">
        <is>
          <t>A 58744-2023</t>
        </is>
      </c>
      <c r="B744" s="1" t="n">
        <v>45251</v>
      </c>
      <c r="C744" s="1" t="n">
        <v>45827</v>
      </c>
      <c r="D744" t="inlineStr">
        <is>
          <t>NORRBOTTENS LÄN</t>
        </is>
      </c>
      <c r="E744" t="inlineStr">
        <is>
          <t>PAJALA</t>
        </is>
      </c>
      <c r="G744" t="n">
        <v>6.2</v>
      </c>
      <c r="H744" t="n">
        <v>0</v>
      </c>
      <c r="I744" t="n">
        <v>0</v>
      </c>
      <c r="J744" t="n">
        <v>0</v>
      </c>
      <c r="K744" t="n">
        <v>0</v>
      </c>
      <c r="L744" t="n">
        <v>0</v>
      </c>
      <c r="M744" t="n">
        <v>0</v>
      </c>
      <c r="N744" t="n">
        <v>0</v>
      </c>
      <c r="O744" t="n">
        <v>0</v>
      </c>
      <c r="P744" t="n">
        <v>0</v>
      </c>
      <c r="Q744" t="n">
        <v>0</v>
      </c>
      <c r="R744" s="2" t="inlineStr"/>
    </row>
    <row r="745" ht="15" customHeight="1">
      <c r="A745" t="inlineStr">
        <is>
          <t>A 58695-2023</t>
        </is>
      </c>
      <c r="B745" s="1" t="n">
        <v>45251</v>
      </c>
      <c r="C745" s="1" t="n">
        <v>45827</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59971-2023</t>
        </is>
      </c>
      <c r="B746" s="1" t="n">
        <v>45254</v>
      </c>
      <c r="C746" s="1" t="n">
        <v>45827</v>
      </c>
      <c r="D746" t="inlineStr">
        <is>
          <t>NORRBOTTENS LÄN</t>
        </is>
      </c>
      <c r="E746" t="inlineStr">
        <is>
          <t>PAJALA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v>
      </c>
      <c r="C747" s="1" t="n">
        <v>45827</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61133-2023</t>
        </is>
      </c>
      <c r="B748" s="1" t="n">
        <v>45261</v>
      </c>
      <c r="C748" s="1" t="n">
        <v>45827</v>
      </c>
      <c r="D748" t="inlineStr">
        <is>
          <t>NORRBOTTENS LÄN</t>
        </is>
      </c>
      <c r="E748" t="inlineStr">
        <is>
          <t>PAJALA</t>
        </is>
      </c>
      <c r="G748" t="n">
        <v>4.9</v>
      </c>
      <c r="H748" t="n">
        <v>0</v>
      </c>
      <c r="I748" t="n">
        <v>0</v>
      </c>
      <c r="J748" t="n">
        <v>0</v>
      </c>
      <c r="K748" t="n">
        <v>0</v>
      </c>
      <c r="L748" t="n">
        <v>0</v>
      </c>
      <c r="M748" t="n">
        <v>0</v>
      </c>
      <c r="N748" t="n">
        <v>0</v>
      </c>
      <c r="O748" t="n">
        <v>0</v>
      </c>
      <c r="P748" t="n">
        <v>0</v>
      </c>
      <c r="Q748" t="n">
        <v>0</v>
      </c>
      <c r="R748" s="2" t="inlineStr"/>
    </row>
    <row r="749" ht="15" customHeight="1">
      <c r="A749" t="inlineStr">
        <is>
          <t>A 61134-2023</t>
        </is>
      </c>
      <c r="B749" s="1" t="n">
        <v>45261</v>
      </c>
      <c r="C749" s="1" t="n">
        <v>45827</v>
      </c>
      <c r="D749" t="inlineStr">
        <is>
          <t>NORRBOTTENS LÄN</t>
        </is>
      </c>
      <c r="E749" t="inlineStr">
        <is>
          <t>PAJALA</t>
        </is>
      </c>
      <c r="G749" t="n">
        <v>3</v>
      </c>
      <c r="H749" t="n">
        <v>0</v>
      </c>
      <c r="I749" t="n">
        <v>0</v>
      </c>
      <c r="J749" t="n">
        <v>0</v>
      </c>
      <c r="K749" t="n">
        <v>0</v>
      </c>
      <c r="L749" t="n">
        <v>0</v>
      </c>
      <c r="M749" t="n">
        <v>0</v>
      </c>
      <c r="N749" t="n">
        <v>0</v>
      </c>
      <c r="O749" t="n">
        <v>0</v>
      </c>
      <c r="P749" t="n">
        <v>0</v>
      </c>
      <c r="Q749" t="n">
        <v>0</v>
      </c>
      <c r="R749" s="2" t="inlineStr"/>
    </row>
    <row r="750" ht="15" customHeight="1">
      <c r="A750" t="inlineStr">
        <is>
          <t>A 61668-2023</t>
        </is>
      </c>
      <c r="B750" s="1" t="n">
        <v>45265</v>
      </c>
      <c r="C750" s="1" t="n">
        <v>45827</v>
      </c>
      <c r="D750" t="inlineStr">
        <is>
          <t>NORRBOTTENS LÄN</t>
        </is>
      </c>
      <c r="E750" t="inlineStr">
        <is>
          <t>PAJALA</t>
        </is>
      </c>
      <c r="G750" t="n">
        <v>2.8</v>
      </c>
      <c r="H750" t="n">
        <v>0</v>
      </c>
      <c r="I750" t="n">
        <v>0</v>
      </c>
      <c r="J750" t="n">
        <v>0</v>
      </c>
      <c r="K750" t="n">
        <v>0</v>
      </c>
      <c r="L750" t="n">
        <v>0</v>
      </c>
      <c r="M750" t="n">
        <v>0</v>
      </c>
      <c r="N750" t="n">
        <v>0</v>
      </c>
      <c r="O750" t="n">
        <v>0</v>
      </c>
      <c r="P750" t="n">
        <v>0</v>
      </c>
      <c r="Q750" t="n">
        <v>0</v>
      </c>
      <c r="R750" s="2" t="inlineStr"/>
    </row>
    <row r="751" ht="15" customHeight="1">
      <c r="A751" t="inlineStr">
        <is>
          <t>A 61761-2023</t>
        </is>
      </c>
      <c r="B751" s="1" t="n">
        <v>45265</v>
      </c>
      <c r="C751" s="1" t="n">
        <v>45827</v>
      </c>
      <c r="D751" t="inlineStr">
        <is>
          <t>NORRBOTTENS LÄN</t>
        </is>
      </c>
      <c r="E751" t="inlineStr">
        <is>
          <t>PAJALA</t>
        </is>
      </c>
      <c r="G751" t="n">
        <v>35</v>
      </c>
      <c r="H751" t="n">
        <v>0</v>
      </c>
      <c r="I751" t="n">
        <v>0</v>
      </c>
      <c r="J751" t="n">
        <v>0</v>
      </c>
      <c r="K751" t="n">
        <v>0</v>
      </c>
      <c r="L751" t="n">
        <v>0</v>
      </c>
      <c r="M751" t="n">
        <v>0</v>
      </c>
      <c r="N751" t="n">
        <v>0</v>
      </c>
      <c r="O751" t="n">
        <v>0</v>
      </c>
      <c r="P751" t="n">
        <v>0</v>
      </c>
      <c r="Q751" t="n">
        <v>0</v>
      </c>
      <c r="R751" s="2" t="inlineStr"/>
    </row>
    <row r="752" ht="15" customHeight="1">
      <c r="A752" t="inlineStr">
        <is>
          <t>A 61660-2023</t>
        </is>
      </c>
      <c r="B752" s="1" t="n">
        <v>45265</v>
      </c>
      <c r="C752" s="1" t="n">
        <v>45827</v>
      </c>
      <c r="D752" t="inlineStr">
        <is>
          <t>NORRBOTTENS LÄN</t>
        </is>
      </c>
      <c r="E752" t="inlineStr">
        <is>
          <t>PAJALA</t>
        </is>
      </c>
      <c r="G752" t="n">
        <v>9.6</v>
      </c>
      <c r="H752" t="n">
        <v>0</v>
      </c>
      <c r="I752" t="n">
        <v>0</v>
      </c>
      <c r="J752" t="n">
        <v>0</v>
      </c>
      <c r="K752" t="n">
        <v>0</v>
      </c>
      <c r="L752" t="n">
        <v>0</v>
      </c>
      <c r="M752" t="n">
        <v>0</v>
      </c>
      <c r="N752" t="n">
        <v>0</v>
      </c>
      <c r="O752" t="n">
        <v>0</v>
      </c>
      <c r="P752" t="n">
        <v>0</v>
      </c>
      <c r="Q752" t="n">
        <v>0</v>
      </c>
      <c r="R752" s="2" t="inlineStr"/>
    </row>
    <row r="753" ht="15" customHeight="1">
      <c r="A753" t="inlineStr">
        <is>
          <t>A 62536-2023</t>
        </is>
      </c>
      <c r="B753" s="1" t="n">
        <v>45268</v>
      </c>
      <c r="C753" s="1" t="n">
        <v>45827</v>
      </c>
      <c r="D753" t="inlineStr">
        <is>
          <t>NORRBOTTENS LÄN</t>
        </is>
      </c>
      <c r="E753" t="inlineStr">
        <is>
          <t>PAJALA</t>
        </is>
      </c>
      <c r="F753" t="inlineStr">
        <is>
          <t>Sveaskog</t>
        </is>
      </c>
      <c r="G753" t="n">
        <v>26.2</v>
      </c>
      <c r="H753" t="n">
        <v>0</v>
      </c>
      <c r="I753" t="n">
        <v>0</v>
      </c>
      <c r="J753" t="n">
        <v>0</v>
      </c>
      <c r="K753" t="n">
        <v>0</v>
      </c>
      <c r="L753" t="n">
        <v>0</v>
      </c>
      <c r="M753" t="n">
        <v>0</v>
      </c>
      <c r="N753" t="n">
        <v>0</v>
      </c>
      <c r="O753" t="n">
        <v>0</v>
      </c>
      <c r="P753" t="n">
        <v>0</v>
      </c>
      <c r="Q753" t="n">
        <v>0</v>
      </c>
      <c r="R753" s="2" t="inlineStr"/>
    </row>
    <row r="754" ht="15" customHeight="1">
      <c r="A754" t="inlineStr">
        <is>
          <t>A 62576-2023</t>
        </is>
      </c>
      <c r="B754" s="1" t="n">
        <v>45270</v>
      </c>
      <c r="C754" s="1" t="n">
        <v>45827</v>
      </c>
      <c r="D754" t="inlineStr">
        <is>
          <t>NORRBOTTENS LÄN</t>
        </is>
      </c>
      <c r="E754" t="inlineStr">
        <is>
          <t>PAJALA</t>
        </is>
      </c>
      <c r="G754" t="n">
        <v>4.2</v>
      </c>
      <c r="H754" t="n">
        <v>0</v>
      </c>
      <c r="I754" t="n">
        <v>0</v>
      </c>
      <c r="J754" t="n">
        <v>0</v>
      </c>
      <c r="K754" t="n">
        <v>0</v>
      </c>
      <c r="L754" t="n">
        <v>0</v>
      </c>
      <c r="M754" t="n">
        <v>0</v>
      </c>
      <c r="N754" t="n">
        <v>0</v>
      </c>
      <c r="O754" t="n">
        <v>0</v>
      </c>
      <c r="P754" t="n">
        <v>0</v>
      </c>
      <c r="Q754" t="n">
        <v>0</v>
      </c>
      <c r="R754" s="2" t="inlineStr"/>
    </row>
    <row r="755" ht="15" customHeight="1">
      <c r="A755" t="inlineStr">
        <is>
          <t>A 62580-2023</t>
        </is>
      </c>
      <c r="B755" s="1" t="n">
        <v>45270</v>
      </c>
      <c r="C755" s="1" t="n">
        <v>45827</v>
      </c>
      <c r="D755" t="inlineStr">
        <is>
          <t>NORRBOTTENS LÄN</t>
        </is>
      </c>
      <c r="E755" t="inlineStr">
        <is>
          <t>PAJALA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62829-2023</t>
        </is>
      </c>
      <c r="B756" s="1" t="n">
        <v>45271</v>
      </c>
      <c r="C756" s="1" t="n">
        <v>45827</v>
      </c>
      <c r="D756" t="inlineStr">
        <is>
          <t>NORRBOTTENS LÄN</t>
        </is>
      </c>
      <c r="E756" t="inlineStr">
        <is>
          <t>PAJALA</t>
        </is>
      </c>
      <c r="G756" t="n">
        <v>3.1</v>
      </c>
      <c r="H756" t="n">
        <v>0</v>
      </c>
      <c r="I756" t="n">
        <v>0</v>
      </c>
      <c r="J756" t="n">
        <v>0</v>
      </c>
      <c r="K756" t="n">
        <v>0</v>
      </c>
      <c r="L756" t="n">
        <v>0</v>
      </c>
      <c r="M756" t="n">
        <v>0</v>
      </c>
      <c r="N756" t="n">
        <v>0</v>
      </c>
      <c r="O756" t="n">
        <v>0</v>
      </c>
      <c r="P756" t="n">
        <v>0</v>
      </c>
      <c r="Q756" t="n">
        <v>0</v>
      </c>
      <c r="R756" s="2" t="inlineStr"/>
    </row>
    <row r="757" ht="15" customHeight="1">
      <c r="A757" t="inlineStr">
        <is>
          <t>A 62828-2023</t>
        </is>
      </c>
      <c r="B757" s="1" t="n">
        <v>45271</v>
      </c>
      <c r="C757" s="1" t="n">
        <v>45827</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62830-2023</t>
        </is>
      </c>
      <c r="B758" s="1" t="n">
        <v>45271</v>
      </c>
      <c r="C758" s="1" t="n">
        <v>45827</v>
      </c>
      <c r="D758" t="inlineStr">
        <is>
          <t>NORRBOTTENS LÄN</t>
        </is>
      </c>
      <c r="E758" t="inlineStr">
        <is>
          <t>PAJALA</t>
        </is>
      </c>
      <c r="G758" t="n">
        <v>2.7</v>
      </c>
      <c r="H758" t="n">
        <v>0</v>
      </c>
      <c r="I758" t="n">
        <v>0</v>
      </c>
      <c r="J758" t="n">
        <v>0</v>
      </c>
      <c r="K758" t="n">
        <v>0</v>
      </c>
      <c r="L758" t="n">
        <v>0</v>
      </c>
      <c r="M758" t="n">
        <v>0</v>
      </c>
      <c r="N758" t="n">
        <v>0</v>
      </c>
      <c r="O758" t="n">
        <v>0</v>
      </c>
      <c r="P758" t="n">
        <v>0</v>
      </c>
      <c r="Q758" t="n">
        <v>0</v>
      </c>
      <c r="R758" s="2" t="inlineStr"/>
    </row>
    <row r="759" ht="15" customHeight="1">
      <c r="A759" t="inlineStr">
        <is>
          <t>A 62881-2023</t>
        </is>
      </c>
      <c r="B759" s="1" t="n">
        <v>45272</v>
      </c>
      <c r="C759" s="1" t="n">
        <v>45827</v>
      </c>
      <c r="D759" t="inlineStr">
        <is>
          <t>NORRBOTTENS LÄN</t>
        </is>
      </c>
      <c r="E759" t="inlineStr">
        <is>
          <t>PAJALA</t>
        </is>
      </c>
      <c r="F759" t="inlineStr">
        <is>
          <t>Sveaskog</t>
        </is>
      </c>
      <c r="G759" t="n">
        <v>18.8</v>
      </c>
      <c r="H759" t="n">
        <v>0</v>
      </c>
      <c r="I759" t="n">
        <v>0</v>
      </c>
      <c r="J759" t="n">
        <v>0</v>
      </c>
      <c r="K759" t="n">
        <v>0</v>
      </c>
      <c r="L759" t="n">
        <v>0</v>
      </c>
      <c r="M759" t="n">
        <v>0</v>
      </c>
      <c r="N759" t="n">
        <v>0</v>
      </c>
      <c r="O759" t="n">
        <v>0</v>
      </c>
      <c r="P759" t="n">
        <v>0</v>
      </c>
      <c r="Q759" t="n">
        <v>0</v>
      </c>
      <c r="R759" s="2" t="inlineStr"/>
    </row>
    <row r="760" ht="15" customHeight="1">
      <c r="A760" t="inlineStr">
        <is>
          <t>A 62990-2023</t>
        </is>
      </c>
      <c r="B760" s="1" t="n">
        <v>45272</v>
      </c>
      <c r="C760" s="1" t="n">
        <v>45827</v>
      </c>
      <c r="D760" t="inlineStr">
        <is>
          <t>NORRBOTTENS LÄN</t>
        </is>
      </c>
      <c r="E760" t="inlineStr">
        <is>
          <t>PAJALA</t>
        </is>
      </c>
      <c r="G760" t="n">
        <v>2.3</v>
      </c>
      <c r="H760" t="n">
        <v>0</v>
      </c>
      <c r="I760" t="n">
        <v>0</v>
      </c>
      <c r="J760" t="n">
        <v>0</v>
      </c>
      <c r="K760" t="n">
        <v>0</v>
      </c>
      <c r="L760" t="n">
        <v>0</v>
      </c>
      <c r="M760" t="n">
        <v>0</v>
      </c>
      <c r="N760" t="n">
        <v>0</v>
      </c>
      <c r="O760" t="n">
        <v>0</v>
      </c>
      <c r="P760" t="n">
        <v>0</v>
      </c>
      <c r="Q760" t="n">
        <v>0</v>
      </c>
      <c r="R760" s="2" t="inlineStr"/>
    </row>
    <row r="761" ht="15" customHeight="1">
      <c r="A761" t="inlineStr">
        <is>
          <t>A 62989-2023</t>
        </is>
      </c>
      <c r="B761" s="1" t="n">
        <v>45272</v>
      </c>
      <c r="C761" s="1" t="n">
        <v>45827</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63772-2023</t>
        </is>
      </c>
      <c r="B762" s="1" t="n">
        <v>45275</v>
      </c>
      <c r="C762" s="1" t="n">
        <v>45827</v>
      </c>
      <c r="D762" t="inlineStr">
        <is>
          <t>NORRBOTTENS LÄN</t>
        </is>
      </c>
      <c r="E762" t="inlineStr">
        <is>
          <t>PAJALA</t>
        </is>
      </c>
      <c r="G762" t="n">
        <v>1.1</v>
      </c>
      <c r="H762" t="n">
        <v>0</v>
      </c>
      <c r="I762" t="n">
        <v>0</v>
      </c>
      <c r="J762" t="n">
        <v>0</v>
      </c>
      <c r="K762" t="n">
        <v>0</v>
      </c>
      <c r="L762" t="n">
        <v>0</v>
      </c>
      <c r="M762" t="n">
        <v>0</v>
      </c>
      <c r="N762" t="n">
        <v>0</v>
      </c>
      <c r="O762" t="n">
        <v>0</v>
      </c>
      <c r="P762" t="n">
        <v>0</v>
      </c>
      <c r="Q762" t="n">
        <v>0</v>
      </c>
      <c r="R762" s="2" t="inlineStr"/>
    </row>
    <row r="763" ht="15" customHeight="1">
      <c r="A763" t="inlineStr">
        <is>
          <t>A 63937-2023</t>
        </is>
      </c>
      <c r="B763" s="1" t="n">
        <v>45278</v>
      </c>
      <c r="C763" s="1" t="n">
        <v>45827</v>
      </c>
      <c r="D763" t="inlineStr">
        <is>
          <t>NORRBOTTENS LÄN</t>
        </is>
      </c>
      <c r="E763" t="inlineStr">
        <is>
          <t>PAJALA</t>
        </is>
      </c>
      <c r="G763" t="n">
        <v>0.8</v>
      </c>
      <c r="H763" t="n">
        <v>0</v>
      </c>
      <c r="I763" t="n">
        <v>0</v>
      </c>
      <c r="J763" t="n">
        <v>0</v>
      </c>
      <c r="K763" t="n">
        <v>0</v>
      </c>
      <c r="L763" t="n">
        <v>0</v>
      </c>
      <c r="M763" t="n">
        <v>0</v>
      </c>
      <c r="N763" t="n">
        <v>0</v>
      </c>
      <c r="O763" t="n">
        <v>0</v>
      </c>
      <c r="P763" t="n">
        <v>0</v>
      </c>
      <c r="Q763" t="n">
        <v>0</v>
      </c>
      <c r="R763" s="2" t="inlineStr"/>
    </row>
    <row r="764" ht="15" customHeight="1">
      <c r="A764" t="inlineStr">
        <is>
          <t>A 460-2024</t>
        </is>
      </c>
      <c r="B764" s="1" t="n">
        <v>45297</v>
      </c>
      <c r="C764" s="1" t="n">
        <v>45827</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1730-2024</t>
        </is>
      </c>
      <c r="B765" s="1" t="n">
        <v>45307</v>
      </c>
      <c r="C765" s="1" t="n">
        <v>45827</v>
      </c>
      <c r="D765" t="inlineStr">
        <is>
          <t>NORRBOTTENS LÄN</t>
        </is>
      </c>
      <c r="E765" t="inlineStr">
        <is>
          <t>PAJALA</t>
        </is>
      </c>
      <c r="G765" t="n">
        <v>6.4</v>
      </c>
      <c r="H765" t="n">
        <v>0</v>
      </c>
      <c r="I765" t="n">
        <v>0</v>
      </c>
      <c r="J765" t="n">
        <v>0</v>
      </c>
      <c r="K765" t="n">
        <v>0</v>
      </c>
      <c r="L765" t="n">
        <v>0</v>
      </c>
      <c r="M765" t="n">
        <v>0</v>
      </c>
      <c r="N765" t="n">
        <v>0</v>
      </c>
      <c r="O765" t="n">
        <v>0</v>
      </c>
      <c r="P765" t="n">
        <v>0</v>
      </c>
      <c r="Q765" t="n">
        <v>0</v>
      </c>
      <c r="R765" s="2" t="inlineStr"/>
    </row>
    <row r="766" ht="15" customHeight="1">
      <c r="A766" t="inlineStr">
        <is>
          <t>A 2234-2024</t>
        </is>
      </c>
      <c r="B766" s="1" t="n">
        <v>45309</v>
      </c>
      <c r="C766" s="1" t="n">
        <v>45827</v>
      </c>
      <c r="D766" t="inlineStr">
        <is>
          <t>NORRBOTTENS LÄN</t>
        </is>
      </c>
      <c r="E766" t="inlineStr">
        <is>
          <t>PAJALA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2235-2024</t>
        </is>
      </c>
      <c r="B767" s="1" t="n">
        <v>45309</v>
      </c>
      <c r="C767" s="1" t="n">
        <v>45827</v>
      </c>
      <c r="D767" t="inlineStr">
        <is>
          <t>NORRBOTTENS LÄN</t>
        </is>
      </c>
      <c r="E767" t="inlineStr">
        <is>
          <t>PAJALA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2823-2024</t>
        </is>
      </c>
      <c r="B768" s="1" t="n">
        <v>45314</v>
      </c>
      <c r="C768" s="1" t="n">
        <v>45827</v>
      </c>
      <c r="D768" t="inlineStr">
        <is>
          <t>NORRBOTTENS LÄN</t>
        </is>
      </c>
      <c r="E768" t="inlineStr">
        <is>
          <t>PAJALA</t>
        </is>
      </c>
      <c r="G768" t="n">
        <v>7.3</v>
      </c>
      <c r="H768" t="n">
        <v>0</v>
      </c>
      <c r="I768" t="n">
        <v>0</v>
      </c>
      <c r="J768" t="n">
        <v>0</v>
      </c>
      <c r="K768" t="n">
        <v>0</v>
      </c>
      <c r="L768" t="n">
        <v>0</v>
      </c>
      <c r="M768" t="n">
        <v>0</v>
      </c>
      <c r="N768" t="n">
        <v>0</v>
      </c>
      <c r="O768" t="n">
        <v>0</v>
      </c>
      <c r="P768" t="n">
        <v>0</v>
      </c>
      <c r="Q768" t="n">
        <v>0</v>
      </c>
      <c r="R768" s="2" t="inlineStr"/>
    </row>
    <row r="769" ht="15" customHeight="1">
      <c r="A769" t="inlineStr">
        <is>
          <t>A 3000-2024</t>
        </is>
      </c>
      <c r="B769" s="1" t="n">
        <v>45315</v>
      </c>
      <c r="C769" s="1" t="n">
        <v>45827</v>
      </c>
      <c r="D769" t="inlineStr">
        <is>
          <t>NORRBOTTENS LÄN</t>
        </is>
      </c>
      <c r="E769" t="inlineStr">
        <is>
          <t>PAJALA</t>
        </is>
      </c>
      <c r="G769" t="n">
        <v>6.8</v>
      </c>
      <c r="H769" t="n">
        <v>0</v>
      </c>
      <c r="I769" t="n">
        <v>0</v>
      </c>
      <c r="J769" t="n">
        <v>0</v>
      </c>
      <c r="K769" t="n">
        <v>0</v>
      </c>
      <c r="L769" t="n">
        <v>0</v>
      </c>
      <c r="M769" t="n">
        <v>0</v>
      </c>
      <c r="N769" t="n">
        <v>0</v>
      </c>
      <c r="O769" t="n">
        <v>0</v>
      </c>
      <c r="P769" t="n">
        <v>0</v>
      </c>
      <c r="Q769" t="n">
        <v>0</v>
      </c>
      <c r="R769" s="2" t="inlineStr"/>
    </row>
    <row r="770" ht="15" customHeight="1">
      <c r="A770" t="inlineStr">
        <is>
          <t>A 2998-2024</t>
        </is>
      </c>
      <c r="B770" s="1" t="n">
        <v>45315</v>
      </c>
      <c r="C770" s="1" t="n">
        <v>45827</v>
      </c>
      <c r="D770" t="inlineStr">
        <is>
          <t>NORRBOTTENS LÄN</t>
        </is>
      </c>
      <c r="E770" t="inlineStr">
        <is>
          <t>PAJALA</t>
        </is>
      </c>
      <c r="G770" t="n">
        <v>2.6</v>
      </c>
      <c r="H770" t="n">
        <v>0</v>
      </c>
      <c r="I770" t="n">
        <v>0</v>
      </c>
      <c r="J770" t="n">
        <v>0</v>
      </c>
      <c r="K770" t="n">
        <v>0</v>
      </c>
      <c r="L770" t="n">
        <v>0</v>
      </c>
      <c r="M770" t="n">
        <v>0</v>
      </c>
      <c r="N770" t="n">
        <v>0</v>
      </c>
      <c r="O770" t="n">
        <v>0</v>
      </c>
      <c r="P770" t="n">
        <v>0</v>
      </c>
      <c r="Q770" t="n">
        <v>0</v>
      </c>
      <c r="R770" s="2" t="inlineStr"/>
    </row>
    <row r="771" ht="15" customHeight="1">
      <c r="A771" t="inlineStr">
        <is>
          <t>A 3153-2024</t>
        </is>
      </c>
      <c r="B771" s="1" t="n">
        <v>45316</v>
      </c>
      <c r="C771" s="1" t="n">
        <v>45827</v>
      </c>
      <c r="D771" t="inlineStr">
        <is>
          <t>NORRBOTTENS LÄN</t>
        </is>
      </c>
      <c r="E771" t="inlineStr">
        <is>
          <t>PAJALA</t>
        </is>
      </c>
      <c r="G771" t="n">
        <v>6.3</v>
      </c>
      <c r="H771" t="n">
        <v>0</v>
      </c>
      <c r="I771" t="n">
        <v>0</v>
      </c>
      <c r="J771" t="n">
        <v>0</v>
      </c>
      <c r="K771" t="n">
        <v>0</v>
      </c>
      <c r="L771" t="n">
        <v>0</v>
      </c>
      <c r="M771" t="n">
        <v>0</v>
      </c>
      <c r="N771" t="n">
        <v>0</v>
      </c>
      <c r="O771" t="n">
        <v>0</v>
      </c>
      <c r="P771" t="n">
        <v>0</v>
      </c>
      <c r="Q771" t="n">
        <v>0</v>
      </c>
      <c r="R771" s="2" t="inlineStr"/>
    </row>
    <row r="772" ht="15" customHeight="1">
      <c r="A772" t="inlineStr">
        <is>
          <t>A 4731-2024</t>
        </is>
      </c>
      <c r="B772" s="1" t="n">
        <v>45328</v>
      </c>
      <c r="C772" s="1" t="n">
        <v>45827</v>
      </c>
      <c r="D772" t="inlineStr">
        <is>
          <t>NORRBOTTENS LÄN</t>
        </is>
      </c>
      <c r="E772" t="inlineStr">
        <is>
          <t>PAJALA</t>
        </is>
      </c>
      <c r="F772" t="inlineStr">
        <is>
          <t>Sveaskog</t>
        </is>
      </c>
      <c r="G772" t="n">
        <v>15.6</v>
      </c>
      <c r="H772" t="n">
        <v>0</v>
      </c>
      <c r="I772" t="n">
        <v>0</v>
      </c>
      <c r="J772" t="n">
        <v>0</v>
      </c>
      <c r="K772" t="n">
        <v>0</v>
      </c>
      <c r="L772" t="n">
        <v>0</v>
      </c>
      <c r="M772" t="n">
        <v>0</v>
      </c>
      <c r="N772" t="n">
        <v>0</v>
      </c>
      <c r="O772" t="n">
        <v>0</v>
      </c>
      <c r="P772" t="n">
        <v>0</v>
      </c>
      <c r="Q772" t="n">
        <v>0</v>
      </c>
      <c r="R772" s="2" t="inlineStr"/>
    </row>
    <row r="773" ht="15" customHeight="1">
      <c r="A773" t="inlineStr">
        <is>
          <t>A 5729-2024</t>
        </is>
      </c>
      <c r="B773" s="1" t="n">
        <v>45334</v>
      </c>
      <c r="C773" s="1" t="n">
        <v>45827</v>
      </c>
      <c r="D773" t="inlineStr">
        <is>
          <t>NORRBOTTENS LÄN</t>
        </is>
      </c>
      <c r="E773" t="inlineStr">
        <is>
          <t>PAJALA</t>
        </is>
      </c>
      <c r="G773" t="n">
        <v>22.5</v>
      </c>
      <c r="H773" t="n">
        <v>0</v>
      </c>
      <c r="I773" t="n">
        <v>0</v>
      </c>
      <c r="J773" t="n">
        <v>0</v>
      </c>
      <c r="K773" t="n">
        <v>0</v>
      </c>
      <c r="L773" t="n">
        <v>0</v>
      </c>
      <c r="M773" t="n">
        <v>0</v>
      </c>
      <c r="N773" t="n">
        <v>0</v>
      </c>
      <c r="O773" t="n">
        <v>0</v>
      </c>
      <c r="P773" t="n">
        <v>0</v>
      </c>
      <c r="Q773" t="n">
        <v>0</v>
      </c>
      <c r="R773" s="2" t="inlineStr"/>
    </row>
    <row r="774" ht="15" customHeight="1">
      <c r="A774" t="inlineStr">
        <is>
          <t>A 5730-2024</t>
        </is>
      </c>
      <c r="B774" s="1" t="n">
        <v>45334</v>
      </c>
      <c r="C774" s="1" t="n">
        <v>45827</v>
      </c>
      <c r="D774" t="inlineStr">
        <is>
          <t>NORRBOTTENS LÄN</t>
        </is>
      </c>
      <c r="E774" t="inlineStr">
        <is>
          <t>PAJALA</t>
        </is>
      </c>
      <c r="G774" t="n">
        <v>26.2</v>
      </c>
      <c r="H774" t="n">
        <v>0</v>
      </c>
      <c r="I774" t="n">
        <v>0</v>
      </c>
      <c r="J774" t="n">
        <v>0</v>
      </c>
      <c r="K774" t="n">
        <v>0</v>
      </c>
      <c r="L774" t="n">
        <v>0</v>
      </c>
      <c r="M774" t="n">
        <v>0</v>
      </c>
      <c r="N774" t="n">
        <v>0</v>
      </c>
      <c r="O774" t="n">
        <v>0</v>
      </c>
      <c r="P774" t="n">
        <v>0</v>
      </c>
      <c r="Q774" t="n">
        <v>0</v>
      </c>
      <c r="R774" s="2" t="inlineStr"/>
    </row>
    <row r="775" ht="15" customHeight="1">
      <c r="A775" t="inlineStr">
        <is>
          <t>A 5739-2024</t>
        </is>
      </c>
      <c r="B775" s="1" t="n">
        <v>45334</v>
      </c>
      <c r="C775" s="1" t="n">
        <v>45827</v>
      </c>
      <c r="D775" t="inlineStr">
        <is>
          <t>NORRBOTTENS LÄN</t>
        </is>
      </c>
      <c r="E775" t="inlineStr">
        <is>
          <t>PAJALA</t>
        </is>
      </c>
      <c r="G775" t="n">
        <v>4.9</v>
      </c>
      <c r="H775" t="n">
        <v>0</v>
      </c>
      <c r="I775" t="n">
        <v>0</v>
      </c>
      <c r="J775" t="n">
        <v>0</v>
      </c>
      <c r="K775" t="n">
        <v>0</v>
      </c>
      <c r="L775" t="n">
        <v>0</v>
      </c>
      <c r="M775" t="n">
        <v>0</v>
      </c>
      <c r="N775" t="n">
        <v>0</v>
      </c>
      <c r="O775" t="n">
        <v>0</v>
      </c>
      <c r="P775" t="n">
        <v>0</v>
      </c>
      <c r="Q775" t="n">
        <v>0</v>
      </c>
      <c r="R775" s="2" t="inlineStr"/>
    </row>
    <row r="776" ht="15" customHeight="1">
      <c r="A776" t="inlineStr">
        <is>
          <t>A 5731-2024</t>
        </is>
      </c>
      <c r="B776" s="1" t="n">
        <v>45334</v>
      </c>
      <c r="C776" s="1" t="n">
        <v>45827</v>
      </c>
      <c r="D776" t="inlineStr">
        <is>
          <t>NORRBOTTENS LÄN</t>
        </is>
      </c>
      <c r="E776" t="inlineStr">
        <is>
          <t>PAJALA</t>
        </is>
      </c>
      <c r="G776" t="n">
        <v>11.3</v>
      </c>
      <c r="H776" t="n">
        <v>0</v>
      </c>
      <c r="I776" t="n">
        <v>0</v>
      </c>
      <c r="J776" t="n">
        <v>0</v>
      </c>
      <c r="K776" t="n">
        <v>0</v>
      </c>
      <c r="L776" t="n">
        <v>0</v>
      </c>
      <c r="M776" t="n">
        <v>0</v>
      </c>
      <c r="N776" t="n">
        <v>0</v>
      </c>
      <c r="O776" t="n">
        <v>0</v>
      </c>
      <c r="P776" t="n">
        <v>0</v>
      </c>
      <c r="Q776" t="n">
        <v>0</v>
      </c>
      <c r="R776" s="2" t="inlineStr"/>
    </row>
    <row r="777" ht="15" customHeight="1">
      <c r="A777" t="inlineStr">
        <is>
          <t>A 8179-2024</t>
        </is>
      </c>
      <c r="B777" s="1" t="n">
        <v>45349</v>
      </c>
      <c r="C777" s="1" t="n">
        <v>45827</v>
      </c>
      <c r="D777" t="inlineStr">
        <is>
          <t>NORRBOTTENS LÄN</t>
        </is>
      </c>
      <c r="E777" t="inlineStr">
        <is>
          <t>PAJALA</t>
        </is>
      </c>
      <c r="G777" t="n">
        <v>9.5</v>
      </c>
      <c r="H777" t="n">
        <v>0</v>
      </c>
      <c r="I777" t="n">
        <v>0</v>
      </c>
      <c r="J777" t="n">
        <v>0</v>
      </c>
      <c r="K777" t="n">
        <v>0</v>
      </c>
      <c r="L777" t="n">
        <v>0</v>
      </c>
      <c r="M777" t="n">
        <v>0</v>
      </c>
      <c r="N777" t="n">
        <v>0</v>
      </c>
      <c r="O777" t="n">
        <v>0</v>
      </c>
      <c r="P777" t="n">
        <v>0</v>
      </c>
      <c r="Q777" t="n">
        <v>0</v>
      </c>
      <c r="R777" s="2" t="inlineStr"/>
    </row>
    <row r="778" ht="15" customHeight="1">
      <c r="A778" t="inlineStr">
        <is>
          <t>A 7950-2024</t>
        </is>
      </c>
      <c r="B778" s="1" t="n">
        <v>45350</v>
      </c>
      <c r="C778" s="1" t="n">
        <v>45827</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7913-2024</t>
        </is>
      </c>
      <c r="B779" s="1" t="n">
        <v>45350</v>
      </c>
      <c r="C779" s="1" t="n">
        <v>45827</v>
      </c>
      <c r="D779" t="inlineStr">
        <is>
          <t>NORRBOTTENS LÄN</t>
        </is>
      </c>
      <c r="E779" t="inlineStr">
        <is>
          <t>PAJALA</t>
        </is>
      </c>
      <c r="G779" t="n">
        <v>2.8</v>
      </c>
      <c r="H779" t="n">
        <v>0</v>
      </c>
      <c r="I779" t="n">
        <v>0</v>
      </c>
      <c r="J779" t="n">
        <v>0</v>
      </c>
      <c r="K779" t="n">
        <v>0</v>
      </c>
      <c r="L779" t="n">
        <v>0</v>
      </c>
      <c r="M779" t="n">
        <v>0</v>
      </c>
      <c r="N779" t="n">
        <v>0</v>
      </c>
      <c r="O779" t="n">
        <v>0</v>
      </c>
      <c r="P779" t="n">
        <v>0</v>
      </c>
      <c r="Q779" t="n">
        <v>0</v>
      </c>
      <c r="R779" s="2" t="inlineStr"/>
    </row>
    <row r="780" ht="15" customHeight="1">
      <c r="A780" t="inlineStr">
        <is>
          <t>A 8212-2024</t>
        </is>
      </c>
      <c r="B780" s="1" t="n">
        <v>45351</v>
      </c>
      <c r="C780" s="1" t="n">
        <v>45827</v>
      </c>
      <c r="D780" t="inlineStr">
        <is>
          <t>NORRBOTTENS LÄN</t>
        </is>
      </c>
      <c r="E780" t="inlineStr">
        <is>
          <t>PAJALA</t>
        </is>
      </c>
      <c r="G780" t="n">
        <v>4.6</v>
      </c>
      <c r="H780" t="n">
        <v>0</v>
      </c>
      <c r="I780" t="n">
        <v>0</v>
      </c>
      <c r="J780" t="n">
        <v>0</v>
      </c>
      <c r="K780" t="n">
        <v>0</v>
      </c>
      <c r="L780" t="n">
        <v>0</v>
      </c>
      <c r="M780" t="n">
        <v>0</v>
      </c>
      <c r="N780" t="n">
        <v>0</v>
      </c>
      <c r="O780" t="n">
        <v>0</v>
      </c>
      <c r="P780" t="n">
        <v>0</v>
      </c>
      <c r="Q780" t="n">
        <v>0</v>
      </c>
      <c r="R780" s="2" t="inlineStr"/>
    </row>
    <row r="781" ht="15" customHeight="1">
      <c r="A781" t="inlineStr">
        <is>
          <t>A 8553-2024</t>
        </is>
      </c>
      <c r="B781" s="1" t="n">
        <v>45351</v>
      </c>
      <c r="C781" s="1" t="n">
        <v>45827</v>
      </c>
      <c r="D781" t="inlineStr">
        <is>
          <t>NORRBOTTENS LÄN</t>
        </is>
      </c>
      <c r="E781" t="inlineStr">
        <is>
          <t>PAJALA</t>
        </is>
      </c>
      <c r="G781" t="n">
        <v>9</v>
      </c>
      <c r="H781" t="n">
        <v>0</v>
      </c>
      <c r="I781" t="n">
        <v>0</v>
      </c>
      <c r="J781" t="n">
        <v>0</v>
      </c>
      <c r="K781" t="n">
        <v>0</v>
      </c>
      <c r="L781" t="n">
        <v>0</v>
      </c>
      <c r="M781" t="n">
        <v>0</v>
      </c>
      <c r="N781" t="n">
        <v>0</v>
      </c>
      <c r="O781" t="n">
        <v>0</v>
      </c>
      <c r="P781" t="n">
        <v>0</v>
      </c>
      <c r="Q781" t="n">
        <v>0</v>
      </c>
      <c r="R781" s="2" t="inlineStr"/>
    </row>
    <row r="782" ht="15" customHeight="1">
      <c r="A782" t="inlineStr">
        <is>
          <t>A 8530-2024</t>
        </is>
      </c>
      <c r="B782" s="1" t="n">
        <v>45351</v>
      </c>
      <c r="C782" s="1" t="n">
        <v>45827</v>
      </c>
      <c r="D782" t="inlineStr">
        <is>
          <t>NORRBOTTENS LÄN</t>
        </is>
      </c>
      <c r="E782" t="inlineStr">
        <is>
          <t>PAJALA</t>
        </is>
      </c>
      <c r="G782" t="n">
        <v>37.9</v>
      </c>
      <c r="H782" t="n">
        <v>0</v>
      </c>
      <c r="I782" t="n">
        <v>0</v>
      </c>
      <c r="J782" t="n">
        <v>0</v>
      </c>
      <c r="K782" t="n">
        <v>0</v>
      </c>
      <c r="L782" t="n">
        <v>0</v>
      </c>
      <c r="M782" t="n">
        <v>0</v>
      </c>
      <c r="N782" t="n">
        <v>0</v>
      </c>
      <c r="O782" t="n">
        <v>0</v>
      </c>
      <c r="P782" t="n">
        <v>0</v>
      </c>
      <c r="Q782" t="n">
        <v>0</v>
      </c>
      <c r="R782" s="2" t="inlineStr"/>
    </row>
    <row r="783" ht="15" customHeight="1">
      <c r="A783" t="inlineStr">
        <is>
          <t>A 8296-2024</t>
        </is>
      </c>
      <c r="B783" s="1" t="n">
        <v>45352</v>
      </c>
      <c r="C783" s="1" t="n">
        <v>45827</v>
      </c>
      <c r="D783" t="inlineStr">
        <is>
          <t>NORRBOTTENS LÄN</t>
        </is>
      </c>
      <c r="E783" t="inlineStr">
        <is>
          <t>PAJALA</t>
        </is>
      </c>
      <c r="G783" t="n">
        <v>22.2</v>
      </c>
      <c r="H783" t="n">
        <v>0</v>
      </c>
      <c r="I783" t="n">
        <v>0</v>
      </c>
      <c r="J783" t="n">
        <v>0</v>
      </c>
      <c r="K783" t="n">
        <v>0</v>
      </c>
      <c r="L783" t="n">
        <v>0</v>
      </c>
      <c r="M783" t="n">
        <v>0</v>
      </c>
      <c r="N783" t="n">
        <v>0</v>
      </c>
      <c r="O783" t="n">
        <v>0</v>
      </c>
      <c r="P783" t="n">
        <v>0</v>
      </c>
      <c r="Q783" t="n">
        <v>0</v>
      </c>
      <c r="R783" s="2" t="inlineStr"/>
    </row>
    <row r="784" ht="15" customHeight="1">
      <c r="A784" t="inlineStr">
        <is>
          <t>A 8858-2024</t>
        </is>
      </c>
      <c r="B784" s="1" t="n">
        <v>45356</v>
      </c>
      <c r="C784" s="1" t="n">
        <v>45827</v>
      </c>
      <c r="D784" t="inlineStr">
        <is>
          <t>NORRBOTTENS LÄN</t>
        </is>
      </c>
      <c r="E784" t="inlineStr">
        <is>
          <t>PAJALA</t>
        </is>
      </c>
      <c r="G784" t="n">
        <v>5.6</v>
      </c>
      <c r="H784" t="n">
        <v>0</v>
      </c>
      <c r="I784" t="n">
        <v>0</v>
      </c>
      <c r="J784" t="n">
        <v>0</v>
      </c>
      <c r="K784" t="n">
        <v>0</v>
      </c>
      <c r="L784" t="n">
        <v>0</v>
      </c>
      <c r="M784" t="n">
        <v>0</v>
      </c>
      <c r="N784" t="n">
        <v>0</v>
      </c>
      <c r="O784" t="n">
        <v>0</v>
      </c>
      <c r="P784" t="n">
        <v>0</v>
      </c>
      <c r="Q784" t="n">
        <v>0</v>
      </c>
      <c r="R784" s="2" t="inlineStr"/>
    </row>
    <row r="785" ht="15" customHeight="1">
      <c r="A785" t="inlineStr">
        <is>
          <t>A 8859-2024</t>
        </is>
      </c>
      <c r="B785" s="1" t="n">
        <v>45357</v>
      </c>
      <c r="C785" s="1" t="n">
        <v>45827</v>
      </c>
      <c r="D785" t="inlineStr">
        <is>
          <t>NORRBOTTENS LÄN</t>
        </is>
      </c>
      <c r="E785" t="inlineStr">
        <is>
          <t>PAJALA</t>
        </is>
      </c>
      <c r="G785" t="n">
        <v>3.3</v>
      </c>
      <c r="H785" t="n">
        <v>0</v>
      </c>
      <c r="I785" t="n">
        <v>0</v>
      </c>
      <c r="J785" t="n">
        <v>0</v>
      </c>
      <c r="K785" t="n">
        <v>0</v>
      </c>
      <c r="L785" t="n">
        <v>0</v>
      </c>
      <c r="M785" t="n">
        <v>0</v>
      </c>
      <c r="N785" t="n">
        <v>0</v>
      </c>
      <c r="O785" t="n">
        <v>0</v>
      </c>
      <c r="P785" t="n">
        <v>0</v>
      </c>
      <c r="Q785" t="n">
        <v>0</v>
      </c>
      <c r="R785" s="2" t="inlineStr"/>
    </row>
    <row r="786" ht="15" customHeight="1">
      <c r="A786" t="inlineStr">
        <is>
          <t>A 9585-2024</t>
        </is>
      </c>
      <c r="B786" s="1" t="n">
        <v>45360</v>
      </c>
      <c r="C786" s="1" t="n">
        <v>45827</v>
      </c>
      <c r="D786" t="inlineStr">
        <is>
          <t>NORRBOTTENS LÄN</t>
        </is>
      </c>
      <c r="E786" t="inlineStr">
        <is>
          <t>PAJALA</t>
        </is>
      </c>
      <c r="G786" t="n">
        <v>6.9</v>
      </c>
      <c r="H786" t="n">
        <v>0</v>
      </c>
      <c r="I786" t="n">
        <v>0</v>
      </c>
      <c r="J786" t="n">
        <v>0</v>
      </c>
      <c r="K786" t="n">
        <v>0</v>
      </c>
      <c r="L786" t="n">
        <v>0</v>
      </c>
      <c r="M786" t="n">
        <v>0</v>
      </c>
      <c r="N786" t="n">
        <v>0</v>
      </c>
      <c r="O786" t="n">
        <v>0</v>
      </c>
      <c r="P786" t="n">
        <v>0</v>
      </c>
      <c r="Q786" t="n">
        <v>0</v>
      </c>
      <c r="R786" s="2" t="inlineStr"/>
    </row>
    <row r="787" ht="15" customHeight="1">
      <c r="A787" t="inlineStr">
        <is>
          <t>A 9700-2024</t>
        </is>
      </c>
      <c r="B787" s="1" t="n">
        <v>45362</v>
      </c>
      <c r="C787" s="1" t="n">
        <v>45827</v>
      </c>
      <c r="D787" t="inlineStr">
        <is>
          <t>NORRBOTTENS LÄN</t>
        </is>
      </c>
      <c r="E787" t="inlineStr">
        <is>
          <t>PAJALA</t>
        </is>
      </c>
      <c r="G787" t="n">
        <v>3.1</v>
      </c>
      <c r="H787" t="n">
        <v>0</v>
      </c>
      <c r="I787" t="n">
        <v>0</v>
      </c>
      <c r="J787" t="n">
        <v>0</v>
      </c>
      <c r="K787" t="n">
        <v>0</v>
      </c>
      <c r="L787" t="n">
        <v>0</v>
      </c>
      <c r="M787" t="n">
        <v>0</v>
      </c>
      <c r="N787" t="n">
        <v>0</v>
      </c>
      <c r="O787" t="n">
        <v>0</v>
      </c>
      <c r="P787" t="n">
        <v>0</v>
      </c>
      <c r="Q787" t="n">
        <v>0</v>
      </c>
      <c r="R787" s="2" t="inlineStr"/>
    </row>
    <row r="788" ht="15" customHeight="1">
      <c r="A788" t="inlineStr">
        <is>
          <t>A 9838-2024</t>
        </is>
      </c>
      <c r="B788" s="1" t="n">
        <v>45362</v>
      </c>
      <c r="C788" s="1" t="n">
        <v>45827</v>
      </c>
      <c r="D788" t="inlineStr">
        <is>
          <t>NORRBOTTENS LÄN</t>
        </is>
      </c>
      <c r="E788" t="inlineStr">
        <is>
          <t>PAJALA</t>
        </is>
      </c>
      <c r="F788" t="inlineStr">
        <is>
          <t>Allmännings- och besparingsskogar</t>
        </is>
      </c>
      <c r="G788" t="n">
        <v>22.5</v>
      </c>
      <c r="H788" t="n">
        <v>0</v>
      </c>
      <c r="I788" t="n">
        <v>0</v>
      </c>
      <c r="J788" t="n">
        <v>0</v>
      </c>
      <c r="K788" t="n">
        <v>0</v>
      </c>
      <c r="L788" t="n">
        <v>0</v>
      </c>
      <c r="M788" t="n">
        <v>0</v>
      </c>
      <c r="N788" t="n">
        <v>0</v>
      </c>
      <c r="O788" t="n">
        <v>0</v>
      </c>
      <c r="P788" t="n">
        <v>0</v>
      </c>
      <c r="Q788" t="n">
        <v>0</v>
      </c>
      <c r="R788" s="2" t="inlineStr"/>
    </row>
    <row r="789" ht="15" customHeight="1">
      <c r="A789" t="inlineStr">
        <is>
          <t>A 9882-2024</t>
        </is>
      </c>
      <c r="B789" s="1" t="n">
        <v>45363</v>
      </c>
      <c r="C789" s="1" t="n">
        <v>45827</v>
      </c>
      <c r="D789" t="inlineStr">
        <is>
          <t>NORRBOTTENS LÄN</t>
        </is>
      </c>
      <c r="E789" t="inlineStr">
        <is>
          <t>PAJALA</t>
        </is>
      </c>
      <c r="G789" t="n">
        <v>10.6</v>
      </c>
      <c r="H789" t="n">
        <v>0</v>
      </c>
      <c r="I789" t="n">
        <v>0</v>
      </c>
      <c r="J789" t="n">
        <v>0</v>
      </c>
      <c r="K789" t="n">
        <v>0</v>
      </c>
      <c r="L789" t="n">
        <v>0</v>
      </c>
      <c r="M789" t="n">
        <v>0</v>
      </c>
      <c r="N789" t="n">
        <v>0</v>
      </c>
      <c r="O789" t="n">
        <v>0</v>
      </c>
      <c r="P789" t="n">
        <v>0</v>
      </c>
      <c r="Q789" t="n">
        <v>0</v>
      </c>
      <c r="R789" s="2" t="inlineStr"/>
    </row>
    <row r="790" ht="15" customHeight="1">
      <c r="A790" t="inlineStr">
        <is>
          <t>A 10801-2024</t>
        </is>
      </c>
      <c r="B790" s="1" t="n">
        <v>45369</v>
      </c>
      <c r="C790" s="1" t="n">
        <v>45827</v>
      </c>
      <c r="D790" t="inlineStr">
        <is>
          <t>NORRBOTTENS LÄN</t>
        </is>
      </c>
      <c r="E790" t="inlineStr">
        <is>
          <t>PAJALA</t>
        </is>
      </c>
      <c r="F790" t="inlineStr">
        <is>
          <t>Allmännings- och besparingsskogar</t>
        </is>
      </c>
      <c r="G790" t="n">
        <v>16.6</v>
      </c>
      <c r="H790" t="n">
        <v>0</v>
      </c>
      <c r="I790" t="n">
        <v>0</v>
      </c>
      <c r="J790" t="n">
        <v>0</v>
      </c>
      <c r="K790" t="n">
        <v>0</v>
      </c>
      <c r="L790" t="n">
        <v>0</v>
      </c>
      <c r="M790" t="n">
        <v>0</v>
      </c>
      <c r="N790" t="n">
        <v>0</v>
      </c>
      <c r="O790" t="n">
        <v>0</v>
      </c>
      <c r="P790" t="n">
        <v>0</v>
      </c>
      <c r="Q790" t="n">
        <v>0</v>
      </c>
      <c r="R790" s="2" t="inlineStr"/>
    </row>
    <row r="791" ht="15" customHeight="1">
      <c r="A791" t="inlineStr">
        <is>
          <t>A 10790-2024</t>
        </is>
      </c>
      <c r="B791" s="1" t="n">
        <v>45369</v>
      </c>
      <c r="C791" s="1" t="n">
        <v>45827</v>
      </c>
      <c r="D791" t="inlineStr">
        <is>
          <t>NORRBOTTENS LÄN</t>
        </is>
      </c>
      <c r="E791" t="inlineStr">
        <is>
          <t>PAJALA</t>
        </is>
      </c>
      <c r="F791" t="inlineStr">
        <is>
          <t>Allmännings- och besparingsskogar</t>
        </is>
      </c>
      <c r="G791" t="n">
        <v>4.7</v>
      </c>
      <c r="H791" t="n">
        <v>0</v>
      </c>
      <c r="I791" t="n">
        <v>0</v>
      </c>
      <c r="J791" t="n">
        <v>0</v>
      </c>
      <c r="K791" t="n">
        <v>0</v>
      </c>
      <c r="L791" t="n">
        <v>0</v>
      </c>
      <c r="M791" t="n">
        <v>0</v>
      </c>
      <c r="N791" t="n">
        <v>0</v>
      </c>
      <c r="O791" t="n">
        <v>0</v>
      </c>
      <c r="P791" t="n">
        <v>0</v>
      </c>
      <c r="Q791" t="n">
        <v>0</v>
      </c>
      <c r="R791" s="2" t="inlineStr"/>
    </row>
    <row r="792" ht="15" customHeight="1">
      <c r="A792" t="inlineStr">
        <is>
          <t>A 10757-2024</t>
        </is>
      </c>
      <c r="B792" s="1" t="n">
        <v>45369</v>
      </c>
      <c r="C792" s="1" t="n">
        <v>45827</v>
      </c>
      <c r="D792" t="inlineStr">
        <is>
          <t>NORRBOTTENS LÄN</t>
        </is>
      </c>
      <c r="E792" t="inlineStr">
        <is>
          <t>PAJALA</t>
        </is>
      </c>
      <c r="G792" t="n">
        <v>10.3</v>
      </c>
      <c r="H792" t="n">
        <v>0</v>
      </c>
      <c r="I792" t="n">
        <v>0</v>
      </c>
      <c r="J792" t="n">
        <v>0</v>
      </c>
      <c r="K792" t="n">
        <v>0</v>
      </c>
      <c r="L792" t="n">
        <v>0</v>
      </c>
      <c r="M792" t="n">
        <v>0</v>
      </c>
      <c r="N792" t="n">
        <v>0</v>
      </c>
      <c r="O792" t="n">
        <v>0</v>
      </c>
      <c r="P792" t="n">
        <v>0</v>
      </c>
      <c r="Q792" t="n">
        <v>0</v>
      </c>
      <c r="R792" s="2" t="inlineStr"/>
    </row>
    <row r="793" ht="15" customHeight="1">
      <c r="A793" t="inlineStr">
        <is>
          <t>A 11080-2024</t>
        </is>
      </c>
      <c r="B793" s="1" t="n">
        <v>45370</v>
      </c>
      <c r="C793" s="1" t="n">
        <v>45827</v>
      </c>
      <c r="D793" t="inlineStr">
        <is>
          <t>NORRBOTTENS LÄN</t>
        </is>
      </c>
      <c r="E793" t="inlineStr">
        <is>
          <t>PAJALA</t>
        </is>
      </c>
      <c r="G793" t="n">
        <v>14.6</v>
      </c>
      <c r="H793" t="n">
        <v>0</v>
      </c>
      <c r="I793" t="n">
        <v>0</v>
      </c>
      <c r="J793" t="n">
        <v>0</v>
      </c>
      <c r="K793" t="n">
        <v>0</v>
      </c>
      <c r="L793" t="n">
        <v>0</v>
      </c>
      <c r="M793" t="n">
        <v>0</v>
      </c>
      <c r="N793" t="n">
        <v>0</v>
      </c>
      <c r="O793" t="n">
        <v>0</v>
      </c>
      <c r="P793" t="n">
        <v>0</v>
      </c>
      <c r="Q793" t="n">
        <v>0</v>
      </c>
      <c r="R793" s="2" t="inlineStr"/>
    </row>
    <row r="794" ht="15" customHeight="1">
      <c r="A794" t="inlineStr">
        <is>
          <t>A 11265-2024</t>
        </is>
      </c>
      <c r="B794" s="1" t="n">
        <v>45371</v>
      </c>
      <c r="C794" s="1" t="n">
        <v>45827</v>
      </c>
      <c r="D794" t="inlineStr">
        <is>
          <t>NORRBOTTENS LÄN</t>
        </is>
      </c>
      <c r="E794" t="inlineStr">
        <is>
          <t>PAJALA</t>
        </is>
      </c>
      <c r="F794" t="inlineStr">
        <is>
          <t>Allmännings- och besparingsskogar</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11120-2024</t>
        </is>
      </c>
      <c r="B795" s="1" t="n">
        <v>45371</v>
      </c>
      <c r="C795" s="1" t="n">
        <v>45827</v>
      </c>
      <c r="D795" t="inlineStr">
        <is>
          <t>NORRBOTTENS LÄN</t>
        </is>
      </c>
      <c r="E795" t="inlineStr">
        <is>
          <t>PAJALA</t>
        </is>
      </c>
      <c r="F795" t="inlineStr">
        <is>
          <t>Allmännings- och besparingsskogar</t>
        </is>
      </c>
      <c r="G795" t="n">
        <v>4.9</v>
      </c>
      <c r="H795" t="n">
        <v>0</v>
      </c>
      <c r="I795" t="n">
        <v>0</v>
      </c>
      <c r="J795" t="n">
        <v>0</v>
      </c>
      <c r="K795" t="n">
        <v>0</v>
      </c>
      <c r="L795" t="n">
        <v>0</v>
      </c>
      <c r="M795" t="n">
        <v>0</v>
      </c>
      <c r="N795" t="n">
        <v>0</v>
      </c>
      <c r="O795" t="n">
        <v>0</v>
      </c>
      <c r="P795" t="n">
        <v>0</v>
      </c>
      <c r="Q795" t="n">
        <v>0</v>
      </c>
      <c r="R795" s="2" t="inlineStr"/>
    </row>
    <row r="796" ht="15" customHeight="1">
      <c r="A796" t="inlineStr">
        <is>
          <t>A 11501-2024</t>
        </is>
      </c>
      <c r="B796" s="1" t="n">
        <v>45372</v>
      </c>
      <c r="C796" s="1" t="n">
        <v>45827</v>
      </c>
      <c r="D796" t="inlineStr">
        <is>
          <t>NORRBOTTENS LÄN</t>
        </is>
      </c>
      <c r="E796" t="inlineStr">
        <is>
          <t>PAJALA</t>
        </is>
      </c>
      <c r="F796" t="inlineStr">
        <is>
          <t>Allmännings- och besparingsskogar</t>
        </is>
      </c>
      <c r="G796" t="n">
        <v>55.8</v>
      </c>
      <c r="H796" t="n">
        <v>0</v>
      </c>
      <c r="I796" t="n">
        <v>0</v>
      </c>
      <c r="J796" t="n">
        <v>0</v>
      </c>
      <c r="K796" t="n">
        <v>0</v>
      </c>
      <c r="L796" t="n">
        <v>0</v>
      </c>
      <c r="M796" t="n">
        <v>0</v>
      </c>
      <c r="N796" t="n">
        <v>0</v>
      </c>
      <c r="O796" t="n">
        <v>0</v>
      </c>
      <c r="P796" t="n">
        <v>0</v>
      </c>
      <c r="Q796" t="n">
        <v>0</v>
      </c>
      <c r="R796" s="2" t="inlineStr"/>
    </row>
    <row r="797" ht="15" customHeight="1">
      <c r="A797" t="inlineStr">
        <is>
          <t>A 11679-2024</t>
        </is>
      </c>
      <c r="B797" s="1" t="n">
        <v>45373</v>
      </c>
      <c r="C797" s="1" t="n">
        <v>45827</v>
      </c>
      <c r="D797" t="inlineStr">
        <is>
          <t>NORRBOTTENS LÄN</t>
        </is>
      </c>
      <c r="E797" t="inlineStr">
        <is>
          <t>PAJALA</t>
        </is>
      </c>
      <c r="G797" t="n">
        <v>3.6</v>
      </c>
      <c r="H797" t="n">
        <v>0</v>
      </c>
      <c r="I797" t="n">
        <v>0</v>
      </c>
      <c r="J797" t="n">
        <v>0</v>
      </c>
      <c r="K797" t="n">
        <v>0</v>
      </c>
      <c r="L797" t="n">
        <v>0</v>
      </c>
      <c r="M797" t="n">
        <v>0</v>
      </c>
      <c r="N797" t="n">
        <v>0</v>
      </c>
      <c r="O797" t="n">
        <v>0</v>
      </c>
      <c r="P797" t="n">
        <v>0</v>
      </c>
      <c r="Q797" t="n">
        <v>0</v>
      </c>
      <c r="R797" s="2" t="inlineStr"/>
    </row>
    <row r="798" ht="15" customHeight="1">
      <c r="A798" t="inlineStr">
        <is>
          <t>A 12639-2024</t>
        </is>
      </c>
      <c r="B798" s="1" t="n">
        <v>45379</v>
      </c>
      <c r="C798" s="1" t="n">
        <v>45827</v>
      </c>
      <c r="D798" t="inlineStr">
        <is>
          <t>NORRBOTTENS LÄN</t>
        </is>
      </c>
      <c r="E798" t="inlineStr">
        <is>
          <t>PAJALA</t>
        </is>
      </c>
      <c r="F798" t="inlineStr">
        <is>
          <t>Allmännings- och besparingsskogar</t>
        </is>
      </c>
      <c r="G798" t="n">
        <v>92</v>
      </c>
      <c r="H798" t="n">
        <v>0</v>
      </c>
      <c r="I798" t="n">
        <v>0</v>
      </c>
      <c r="J798" t="n">
        <v>0</v>
      </c>
      <c r="K798" t="n">
        <v>0</v>
      </c>
      <c r="L798" t="n">
        <v>0</v>
      </c>
      <c r="M798" t="n">
        <v>0</v>
      </c>
      <c r="N798" t="n">
        <v>0</v>
      </c>
      <c r="O798" t="n">
        <v>0</v>
      </c>
      <c r="P798" t="n">
        <v>0</v>
      </c>
      <c r="Q798" t="n">
        <v>0</v>
      </c>
      <c r="R798" s="2" t="inlineStr"/>
    </row>
    <row r="799" ht="15" customHeight="1">
      <c r="A799" t="inlineStr">
        <is>
          <t>A 12749-2024</t>
        </is>
      </c>
      <c r="B799" s="1" t="n">
        <v>45384</v>
      </c>
      <c r="C799" s="1" t="n">
        <v>45827</v>
      </c>
      <c r="D799" t="inlineStr">
        <is>
          <t>NORRBOTTENS LÄN</t>
        </is>
      </c>
      <c r="E799" t="inlineStr">
        <is>
          <t>PAJALA</t>
        </is>
      </c>
      <c r="G799" t="n">
        <v>2.7</v>
      </c>
      <c r="H799" t="n">
        <v>0</v>
      </c>
      <c r="I799" t="n">
        <v>0</v>
      </c>
      <c r="J799" t="n">
        <v>0</v>
      </c>
      <c r="K799" t="n">
        <v>0</v>
      </c>
      <c r="L799" t="n">
        <v>0</v>
      </c>
      <c r="M799" t="n">
        <v>0</v>
      </c>
      <c r="N799" t="n">
        <v>0</v>
      </c>
      <c r="O799" t="n">
        <v>0</v>
      </c>
      <c r="P799" t="n">
        <v>0</v>
      </c>
      <c r="Q799" t="n">
        <v>0</v>
      </c>
      <c r="R799" s="2" t="inlineStr"/>
    </row>
    <row r="800" ht="15" customHeight="1">
      <c r="A800" t="inlineStr">
        <is>
          <t>A 12795-2024</t>
        </is>
      </c>
      <c r="B800" s="1" t="n">
        <v>45384</v>
      </c>
      <c r="C800" s="1" t="n">
        <v>45827</v>
      </c>
      <c r="D800" t="inlineStr">
        <is>
          <t>NORRBOTTENS LÄN</t>
        </is>
      </c>
      <c r="E800" t="inlineStr">
        <is>
          <t>PAJALA</t>
        </is>
      </c>
      <c r="G800" t="n">
        <v>20.6</v>
      </c>
      <c r="H800" t="n">
        <v>0</v>
      </c>
      <c r="I800" t="n">
        <v>0</v>
      </c>
      <c r="J800" t="n">
        <v>0</v>
      </c>
      <c r="K800" t="n">
        <v>0</v>
      </c>
      <c r="L800" t="n">
        <v>0</v>
      </c>
      <c r="M800" t="n">
        <v>0</v>
      </c>
      <c r="N800" t="n">
        <v>0</v>
      </c>
      <c r="O800" t="n">
        <v>0</v>
      </c>
      <c r="P800" t="n">
        <v>0</v>
      </c>
      <c r="Q800" t="n">
        <v>0</v>
      </c>
      <c r="R800" s="2" t="inlineStr"/>
    </row>
    <row r="801" ht="15" customHeight="1">
      <c r="A801" t="inlineStr">
        <is>
          <t>A 12881-2024</t>
        </is>
      </c>
      <c r="B801" s="1" t="n">
        <v>45385</v>
      </c>
      <c r="C801" s="1" t="n">
        <v>45827</v>
      </c>
      <c r="D801" t="inlineStr">
        <is>
          <t>NORRBOTTENS LÄN</t>
        </is>
      </c>
      <c r="E801" t="inlineStr">
        <is>
          <t>PAJALA</t>
        </is>
      </c>
      <c r="G801" t="n">
        <v>0.8</v>
      </c>
      <c r="H801" t="n">
        <v>0</v>
      </c>
      <c r="I801" t="n">
        <v>0</v>
      </c>
      <c r="J801" t="n">
        <v>0</v>
      </c>
      <c r="K801" t="n">
        <v>0</v>
      </c>
      <c r="L801" t="n">
        <v>0</v>
      </c>
      <c r="M801" t="n">
        <v>0</v>
      </c>
      <c r="N801" t="n">
        <v>0</v>
      </c>
      <c r="O801" t="n">
        <v>0</v>
      </c>
      <c r="P801" t="n">
        <v>0</v>
      </c>
      <c r="Q801" t="n">
        <v>0</v>
      </c>
      <c r="R801" s="2" t="inlineStr"/>
    </row>
    <row r="802" ht="15" customHeight="1">
      <c r="A802" t="inlineStr">
        <is>
          <t>A 13167-2024</t>
        </is>
      </c>
      <c r="B802" s="1" t="n">
        <v>45386</v>
      </c>
      <c r="C802" s="1" t="n">
        <v>45827</v>
      </c>
      <c r="D802" t="inlineStr">
        <is>
          <t>NORRBOTTENS LÄN</t>
        </is>
      </c>
      <c r="E802" t="inlineStr">
        <is>
          <t>PAJALA</t>
        </is>
      </c>
      <c r="F802" t="inlineStr">
        <is>
          <t>Allmännings- och besparingsskogar</t>
        </is>
      </c>
      <c r="G802" t="n">
        <v>30.1</v>
      </c>
      <c r="H802" t="n">
        <v>0</v>
      </c>
      <c r="I802" t="n">
        <v>0</v>
      </c>
      <c r="J802" t="n">
        <v>0</v>
      </c>
      <c r="K802" t="n">
        <v>0</v>
      </c>
      <c r="L802" t="n">
        <v>0</v>
      </c>
      <c r="M802" t="n">
        <v>0</v>
      </c>
      <c r="N802" t="n">
        <v>0</v>
      </c>
      <c r="O802" t="n">
        <v>0</v>
      </c>
      <c r="P802" t="n">
        <v>0</v>
      </c>
      <c r="Q802" t="n">
        <v>0</v>
      </c>
      <c r="R802" s="2" t="inlineStr"/>
    </row>
    <row r="803" ht="15" customHeight="1">
      <c r="A803" t="inlineStr">
        <is>
          <t>A 13725-2024</t>
        </is>
      </c>
      <c r="B803" s="1" t="n">
        <v>45387</v>
      </c>
      <c r="C803" s="1" t="n">
        <v>45827</v>
      </c>
      <c r="D803" t="inlineStr">
        <is>
          <t>NORRBOTTENS LÄN</t>
        </is>
      </c>
      <c r="E803" t="inlineStr">
        <is>
          <t>PAJALA</t>
        </is>
      </c>
      <c r="F803" t="inlineStr">
        <is>
          <t>Allmännings- och besparingsskogar</t>
        </is>
      </c>
      <c r="G803" t="n">
        <v>19.5</v>
      </c>
      <c r="H803" t="n">
        <v>0</v>
      </c>
      <c r="I803" t="n">
        <v>0</v>
      </c>
      <c r="J803" t="n">
        <v>0</v>
      </c>
      <c r="K803" t="n">
        <v>0</v>
      </c>
      <c r="L803" t="n">
        <v>0</v>
      </c>
      <c r="M803" t="n">
        <v>0</v>
      </c>
      <c r="N803" t="n">
        <v>0</v>
      </c>
      <c r="O803" t="n">
        <v>0</v>
      </c>
      <c r="P803" t="n">
        <v>0</v>
      </c>
      <c r="Q803" t="n">
        <v>0</v>
      </c>
      <c r="R803" s="2" t="inlineStr"/>
    </row>
    <row r="804" ht="15" customHeight="1">
      <c r="A804" t="inlineStr">
        <is>
          <t>A 13884-2024</t>
        </is>
      </c>
      <c r="B804" s="1" t="n">
        <v>45391</v>
      </c>
      <c r="C804" s="1" t="n">
        <v>45827</v>
      </c>
      <c r="D804" t="inlineStr">
        <is>
          <t>NORRBOTTENS LÄN</t>
        </is>
      </c>
      <c r="E804" t="inlineStr">
        <is>
          <t>PAJALA</t>
        </is>
      </c>
      <c r="G804" t="n">
        <v>1.6</v>
      </c>
      <c r="H804" t="n">
        <v>0</v>
      </c>
      <c r="I804" t="n">
        <v>0</v>
      </c>
      <c r="J804" t="n">
        <v>0</v>
      </c>
      <c r="K804" t="n">
        <v>0</v>
      </c>
      <c r="L804" t="n">
        <v>0</v>
      </c>
      <c r="M804" t="n">
        <v>0</v>
      </c>
      <c r="N804" t="n">
        <v>0</v>
      </c>
      <c r="O804" t="n">
        <v>0</v>
      </c>
      <c r="P804" t="n">
        <v>0</v>
      </c>
      <c r="Q804" t="n">
        <v>0</v>
      </c>
      <c r="R804" s="2" t="inlineStr"/>
    </row>
    <row r="805" ht="15" customHeight="1">
      <c r="A805" t="inlineStr">
        <is>
          <t>A 14072-2024</t>
        </is>
      </c>
      <c r="B805" s="1" t="n">
        <v>45392</v>
      </c>
      <c r="C805" s="1" t="n">
        <v>45827</v>
      </c>
      <c r="D805" t="inlineStr">
        <is>
          <t>NORRBOTTENS LÄN</t>
        </is>
      </c>
      <c r="E805" t="inlineStr">
        <is>
          <t>PAJALA</t>
        </is>
      </c>
      <c r="G805" t="n">
        <v>2.5</v>
      </c>
      <c r="H805" t="n">
        <v>0</v>
      </c>
      <c r="I805" t="n">
        <v>0</v>
      </c>
      <c r="J805" t="n">
        <v>0</v>
      </c>
      <c r="K805" t="n">
        <v>0</v>
      </c>
      <c r="L805" t="n">
        <v>0</v>
      </c>
      <c r="M805" t="n">
        <v>0</v>
      </c>
      <c r="N805" t="n">
        <v>0</v>
      </c>
      <c r="O805" t="n">
        <v>0</v>
      </c>
      <c r="P805" t="n">
        <v>0</v>
      </c>
      <c r="Q805" t="n">
        <v>0</v>
      </c>
      <c r="R805" s="2" t="inlineStr"/>
    </row>
    <row r="806" ht="15" customHeight="1">
      <c r="A806" t="inlineStr">
        <is>
          <t>A 14360-2024</t>
        </is>
      </c>
      <c r="B806" s="1" t="n">
        <v>45394</v>
      </c>
      <c r="C806" s="1" t="n">
        <v>45827</v>
      </c>
      <c r="D806" t="inlineStr">
        <is>
          <t>NORRBOTTENS LÄN</t>
        </is>
      </c>
      <c r="E806" t="inlineStr">
        <is>
          <t>PAJALA</t>
        </is>
      </c>
      <c r="G806" t="n">
        <v>9.1</v>
      </c>
      <c r="H806" t="n">
        <v>0</v>
      </c>
      <c r="I806" t="n">
        <v>0</v>
      </c>
      <c r="J806" t="n">
        <v>0</v>
      </c>
      <c r="K806" t="n">
        <v>0</v>
      </c>
      <c r="L806" t="n">
        <v>0</v>
      </c>
      <c r="M806" t="n">
        <v>0</v>
      </c>
      <c r="N806" t="n">
        <v>0</v>
      </c>
      <c r="O806" t="n">
        <v>0</v>
      </c>
      <c r="P806" t="n">
        <v>0</v>
      </c>
      <c r="Q806" t="n">
        <v>0</v>
      </c>
      <c r="R806" s="2" t="inlineStr"/>
    </row>
    <row r="807" ht="15" customHeight="1">
      <c r="A807" t="inlineStr">
        <is>
          <t>A 14932-2024</t>
        </is>
      </c>
      <c r="B807" s="1" t="n">
        <v>45398</v>
      </c>
      <c r="C807" s="1" t="n">
        <v>45827</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ht="15" customHeight="1">
      <c r="A808" t="inlineStr">
        <is>
          <t>A 15124-2024</t>
        </is>
      </c>
      <c r="B808" s="1" t="n">
        <v>45399</v>
      </c>
      <c r="C808" s="1" t="n">
        <v>45827</v>
      </c>
      <c r="D808" t="inlineStr">
        <is>
          <t>NORRBOTTENS LÄN</t>
        </is>
      </c>
      <c r="E808" t="inlineStr">
        <is>
          <t>PAJALA</t>
        </is>
      </c>
      <c r="G808" t="n">
        <v>3.6</v>
      </c>
      <c r="H808" t="n">
        <v>0</v>
      </c>
      <c r="I808" t="n">
        <v>0</v>
      </c>
      <c r="J808" t="n">
        <v>0</v>
      </c>
      <c r="K808" t="n">
        <v>0</v>
      </c>
      <c r="L808" t="n">
        <v>0</v>
      </c>
      <c r="M808" t="n">
        <v>0</v>
      </c>
      <c r="N808" t="n">
        <v>0</v>
      </c>
      <c r="O808" t="n">
        <v>0</v>
      </c>
      <c r="P808" t="n">
        <v>0</v>
      </c>
      <c r="Q808" t="n">
        <v>0</v>
      </c>
      <c r="R808" s="2" t="inlineStr"/>
    </row>
    <row r="809" ht="15" customHeight="1">
      <c r="A809" t="inlineStr">
        <is>
          <t>A 15570-2024</t>
        </is>
      </c>
      <c r="B809" s="1" t="n">
        <v>45401</v>
      </c>
      <c r="C809" s="1" t="n">
        <v>45827</v>
      </c>
      <c r="D809" t="inlineStr">
        <is>
          <t>NORRBOTTENS LÄN</t>
        </is>
      </c>
      <c r="E809" t="inlineStr">
        <is>
          <t>PAJALA</t>
        </is>
      </c>
      <c r="F809" t="inlineStr">
        <is>
          <t>Allmännings- och besparingsskogar</t>
        </is>
      </c>
      <c r="G809" t="n">
        <v>22.1</v>
      </c>
      <c r="H809" t="n">
        <v>0</v>
      </c>
      <c r="I809" t="n">
        <v>0</v>
      </c>
      <c r="J809" t="n">
        <v>0</v>
      </c>
      <c r="K809" t="n">
        <v>0</v>
      </c>
      <c r="L809" t="n">
        <v>0</v>
      </c>
      <c r="M809" t="n">
        <v>0</v>
      </c>
      <c r="N809" t="n">
        <v>0</v>
      </c>
      <c r="O809" t="n">
        <v>0</v>
      </c>
      <c r="P809" t="n">
        <v>0</v>
      </c>
      <c r="Q809" t="n">
        <v>0</v>
      </c>
      <c r="R809" s="2" t="inlineStr"/>
    </row>
    <row r="810" ht="15" customHeight="1">
      <c r="A810" t="inlineStr">
        <is>
          <t>A 15573-2024</t>
        </is>
      </c>
      <c r="B810" s="1" t="n">
        <v>45401</v>
      </c>
      <c r="C810" s="1" t="n">
        <v>45827</v>
      </c>
      <c r="D810" t="inlineStr">
        <is>
          <t>NORRBOTTENS LÄN</t>
        </is>
      </c>
      <c r="E810" t="inlineStr">
        <is>
          <t>PAJALA</t>
        </is>
      </c>
      <c r="F810" t="inlineStr">
        <is>
          <t>Allmännings- och besparingsskogar</t>
        </is>
      </c>
      <c r="G810" t="n">
        <v>8.5</v>
      </c>
      <c r="H810" t="n">
        <v>0</v>
      </c>
      <c r="I810" t="n">
        <v>0</v>
      </c>
      <c r="J810" t="n">
        <v>0</v>
      </c>
      <c r="K810" t="n">
        <v>0</v>
      </c>
      <c r="L810" t="n">
        <v>0</v>
      </c>
      <c r="M810" t="n">
        <v>0</v>
      </c>
      <c r="N810" t="n">
        <v>0</v>
      </c>
      <c r="O810" t="n">
        <v>0</v>
      </c>
      <c r="P810" t="n">
        <v>0</v>
      </c>
      <c r="Q810" t="n">
        <v>0</v>
      </c>
      <c r="R810" s="2" t="inlineStr"/>
    </row>
    <row r="811" ht="15" customHeight="1">
      <c r="A811" t="inlineStr">
        <is>
          <t>A 15609-2024</t>
        </is>
      </c>
      <c r="B811" s="1" t="n">
        <v>45402</v>
      </c>
      <c r="C811" s="1" t="n">
        <v>45827</v>
      </c>
      <c r="D811" t="inlineStr">
        <is>
          <t>NORRBOTTENS LÄN</t>
        </is>
      </c>
      <c r="E811" t="inlineStr">
        <is>
          <t>PAJALA</t>
        </is>
      </c>
      <c r="G811" t="n">
        <v>17</v>
      </c>
      <c r="H811" t="n">
        <v>0</v>
      </c>
      <c r="I811" t="n">
        <v>0</v>
      </c>
      <c r="J811" t="n">
        <v>0</v>
      </c>
      <c r="K811" t="n">
        <v>0</v>
      </c>
      <c r="L811" t="n">
        <v>0</v>
      </c>
      <c r="M811" t="n">
        <v>0</v>
      </c>
      <c r="N811" t="n">
        <v>0</v>
      </c>
      <c r="O811" t="n">
        <v>0</v>
      </c>
      <c r="P811" t="n">
        <v>0</v>
      </c>
      <c r="Q811" t="n">
        <v>0</v>
      </c>
      <c r="R811" s="2" t="inlineStr"/>
    </row>
    <row r="812" ht="15" customHeight="1">
      <c r="A812" t="inlineStr">
        <is>
          <t>A 15738-2024</t>
        </is>
      </c>
      <c r="B812" s="1" t="n">
        <v>45404</v>
      </c>
      <c r="C812" s="1" t="n">
        <v>45827</v>
      </c>
      <c r="D812" t="inlineStr">
        <is>
          <t>NORRBOTTENS LÄN</t>
        </is>
      </c>
      <c r="E812" t="inlineStr">
        <is>
          <t>PAJALA</t>
        </is>
      </c>
      <c r="G812" t="n">
        <v>21.1</v>
      </c>
      <c r="H812" t="n">
        <v>0</v>
      </c>
      <c r="I812" t="n">
        <v>0</v>
      </c>
      <c r="J812" t="n">
        <v>0</v>
      </c>
      <c r="K812" t="n">
        <v>0</v>
      </c>
      <c r="L812" t="n">
        <v>0</v>
      </c>
      <c r="M812" t="n">
        <v>0</v>
      </c>
      <c r="N812" t="n">
        <v>0</v>
      </c>
      <c r="O812" t="n">
        <v>0</v>
      </c>
      <c r="P812" t="n">
        <v>0</v>
      </c>
      <c r="Q812" t="n">
        <v>0</v>
      </c>
      <c r="R812" s="2" t="inlineStr"/>
    </row>
    <row r="813" ht="15" customHeight="1">
      <c r="A813" t="inlineStr">
        <is>
          <t>A 16209-2024</t>
        </is>
      </c>
      <c r="B813" s="1" t="n">
        <v>45406</v>
      </c>
      <c r="C813" s="1" t="n">
        <v>45827</v>
      </c>
      <c r="D813" t="inlineStr">
        <is>
          <t>NORRBOTTENS LÄN</t>
        </is>
      </c>
      <c r="E813" t="inlineStr">
        <is>
          <t>PAJALA</t>
        </is>
      </c>
      <c r="G813" t="n">
        <v>6.5</v>
      </c>
      <c r="H813" t="n">
        <v>0</v>
      </c>
      <c r="I813" t="n">
        <v>0</v>
      </c>
      <c r="J813" t="n">
        <v>0</v>
      </c>
      <c r="K813" t="n">
        <v>0</v>
      </c>
      <c r="L813" t="n">
        <v>0</v>
      </c>
      <c r="M813" t="n">
        <v>0</v>
      </c>
      <c r="N813" t="n">
        <v>0</v>
      </c>
      <c r="O813" t="n">
        <v>0</v>
      </c>
      <c r="P813" t="n">
        <v>0</v>
      </c>
      <c r="Q813" t="n">
        <v>0</v>
      </c>
      <c r="R813" s="2" t="inlineStr"/>
    </row>
    <row r="814" ht="15" customHeight="1">
      <c r="A814" t="inlineStr">
        <is>
          <t>A 16208-2024</t>
        </is>
      </c>
      <c r="B814" s="1" t="n">
        <v>45406</v>
      </c>
      <c r="C814" s="1" t="n">
        <v>45827</v>
      </c>
      <c r="D814" t="inlineStr">
        <is>
          <t>NORRBOTTENS LÄN</t>
        </is>
      </c>
      <c r="E814" t="inlineStr">
        <is>
          <t>PAJALA</t>
        </is>
      </c>
      <c r="G814" t="n">
        <v>6.3</v>
      </c>
      <c r="H814" t="n">
        <v>0</v>
      </c>
      <c r="I814" t="n">
        <v>0</v>
      </c>
      <c r="J814" t="n">
        <v>0</v>
      </c>
      <c r="K814" t="n">
        <v>0</v>
      </c>
      <c r="L814" t="n">
        <v>0</v>
      </c>
      <c r="M814" t="n">
        <v>0</v>
      </c>
      <c r="N814" t="n">
        <v>0</v>
      </c>
      <c r="O814" t="n">
        <v>0</v>
      </c>
      <c r="P814" t="n">
        <v>0</v>
      </c>
      <c r="Q814" t="n">
        <v>0</v>
      </c>
      <c r="R814" s="2" t="inlineStr"/>
    </row>
    <row r="815" ht="15" customHeight="1">
      <c r="A815" t="inlineStr">
        <is>
          <t>A 16207-2024</t>
        </is>
      </c>
      <c r="B815" s="1" t="n">
        <v>45406</v>
      </c>
      <c r="C815" s="1" t="n">
        <v>45827</v>
      </c>
      <c r="D815" t="inlineStr">
        <is>
          <t>NORRBOTTENS LÄN</t>
        </is>
      </c>
      <c r="E815" t="inlineStr">
        <is>
          <t>PAJALA</t>
        </is>
      </c>
      <c r="G815" t="n">
        <v>5.8</v>
      </c>
      <c r="H815" t="n">
        <v>0</v>
      </c>
      <c r="I815" t="n">
        <v>0</v>
      </c>
      <c r="J815" t="n">
        <v>0</v>
      </c>
      <c r="K815" t="n">
        <v>0</v>
      </c>
      <c r="L815" t="n">
        <v>0</v>
      </c>
      <c r="M815" t="n">
        <v>0</v>
      </c>
      <c r="N815" t="n">
        <v>0</v>
      </c>
      <c r="O815" t="n">
        <v>0</v>
      </c>
      <c r="P815" t="n">
        <v>0</v>
      </c>
      <c r="Q815" t="n">
        <v>0</v>
      </c>
      <c r="R815" s="2" t="inlineStr"/>
    </row>
    <row r="816" ht="15" customHeight="1">
      <c r="A816" t="inlineStr">
        <is>
          <t>A 16447-2024</t>
        </is>
      </c>
      <c r="B816" s="1" t="n">
        <v>45408</v>
      </c>
      <c r="C816" s="1" t="n">
        <v>45827</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16449-2024</t>
        </is>
      </c>
      <c r="B817" s="1" t="n">
        <v>45408</v>
      </c>
      <c r="C817" s="1" t="n">
        <v>45827</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16446-2024</t>
        </is>
      </c>
      <c r="B818" s="1" t="n">
        <v>45408</v>
      </c>
      <c r="C818" s="1" t="n">
        <v>45827</v>
      </c>
      <c r="D818" t="inlineStr">
        <is>
          <t>NORRBOTTENS LÄN</t>
        </is>
      </c>
      <c r="E818" t="inlineStr">
        <is>
          <t>PAJALA</t>
        </is>
      </c>
      <c r="G818" t="n">
        <v>3.2</v>
      </c>
      <c r="H818" t="n">
        <v>0</v>
      </c>
      <c r="I818" t="n">
        <v>0</v>
      </c>
      <c r="J818" t="n">
        <v>0</v>
      </c>
      <c r="K818" t="n">
        <v>0</v>
      </c>
      <c r="L818" t="n">
        <v>0</v>
      </c>
      <c r="M818" t="n">
        <v>0</v>
      </c>
      <c r="N818" t="n">
        <v>0</v>
      </c>
      <c r="O818" t="n">
        <v>0</v>
      </c>
      <c r="P818" t="n">
        <v>0</v>
      </c>
      <c r="Q818" t="n">
        <v>0</v>
      </c>
      <c r="R818" s="2" t="inlineStr"/>
    </row>
    <row r="819" ht="15" customHeight="1">
      <c r="A819" t="inlineStr">
        <is>
          <t>A 16450-2024</t>
        </is>
      </c>
      <c r="B819" s="1" t="n">
        <v>45408</v>
      </c>
      <c r="C819" s="1" t="n">
        <v>45827</v>
      </c>
      <c r="D819" t="inlineStr">
        <is>
          <t>NORRBOTTENS LÄN</t>
        </is>
      </c>
      <c r="E819" t="inlineStr">
        <is>
          <t>PAJALA</t>
        </is>
      </c>
      <c r="G819" t="n">
        <v>7.1</v>
      </c>
      <c r="H819" t="n">
        <v>0</v>
      </c>
      <c r="I819" t="n">
        <v>0</v>
      </c>
      <c r="J819" t="n">
        <v>0</v>
      </c>
      <c r="K819" t="n">
        <v>0</v>
      </c>
      <c r="L819" t="n">
        <v>0</v>
      </c>
      <c r="M819" t="n">
        <v>0</v>
      </c>
      <c r="N819" t="n">
        <v>0</v>
      </c>
      <c r="O819" t="n">
        <v>0</v>
      </c>
      <c r="P819" t="n">
        <v>0</v>
      </c>
      <c r="Q819" t="n">
        <v>0</v>
      </c>
      <c r="R819" s="2" t="inlineStr"/>
    </row>
    <row r="820" ht="15" customHeight="1">
      <c r="A820" t="inlineStr">
        <is>
          <t>A 16454-2024</t>
        </is>
      </c>
      <c r="B820" s="1" t="n">
        <v>45408</v>
      </c>
      <c r="C820" s="1" t="n">
        <v>45827</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16448-2024</t>
        </is>
      </c>
      <c r="B821" s="1" t="n">
        <v>45408</v>
      </c>
      <c r="C821" s="1" t="n">
        <v>45827</v>
      </c>
      <c r="D821" t="inlineStr">
        <is>
          <t>NORRBOTTENS LÄN</t>
        </is>
      </c>
      <c r="E821" t="inlineStr">
        <is>
          <t>PAJALA</t>
        </is>
      </c>
      <c r="G821" t="n">
        <v>2.6</v>
      </c>
      <c r="H821" t="n">
        <v>0</v>
      </c>
      <c r="I821" t="n">
        <v>0</v>
      </c>
      <c r="J821" t="n">
        <v>0</v>
      </c>
      <c r="K821" t="n">
        <v>0</v>
      </c>
      <c r="L821" t="n">
        <v>0</v>
      </c>
      <c r="M821" t="n">
        <v>0</v>
      </c>
      <c r="N821" t="n">
        <v>0</v>
      </c>
      <c r="O821" t="n">
        <v>0</v>
      </c>
      <c r="P821" t="n">
        <v>0</v>
      </c>
      <c r="Q821" t="n">
        <v>0</v>
      </c>
      <c r="R821" s="2" t="inlineStr"/>
    </row>
    <row r="822" ht="15" customHeight="1">
      <c r="A822" t="inlineStr">
        <is>
          <t>A 16474-2024</t>
        </is>
      </c>
      <c r="B822" s="1" t="n">
        <v>45408</v>
      </c>
      <c r="C822" s="1" t="n">
        <v>45827</v>
      </c>
      <c r="D822" t="inlineStr">
        <is>
          <t>NORRBOTTENS LÄN</t>
        </is>
      </c>
      <c r="E822" t="inlineStr">
        <is>
          <t>PAJALA</t>
        </is>
      </c>
      <c r="F822" t="inlineStr">
        <is>
          <t>SCA</t>
        </is>
      </c>
      <c r="G822" t="n">
        <v>30.1</v>
      </c>
      <c r="H822" t="n">
        <v>0</v>
      </c>
      <c r="I822" t="n">
        <v>0</v>
      </c>
      <c r="J822" t="n">
        <v>0</v>
      </c>
      <c r="K822" t="n">
        <v>0</v>
      </c>
      <c r="L822" t="n">
        <v>0</v>
      </c>
      <c r="M822" t="n">
        <v>0</v>
      </c>
      <c r="N822" t="n">
        <v>0</v>
      </c>
      <c r="O822" t="n">
        <v>0</v>
      </c>
      <c r="P822" t="n">
        <v>0</v>
      </c>
      <c r="Q822" t="n">
        <v>0</v>
      </c>
      <c r="R822" s="2" t="inlineStr"/>
    </row>
    <row r="823" ht="15" customHeight="1">
      <c r="A823" t="inlineStr">
        <is>
          <t>A 17088-2024</t>
        </is>
      </c>
      <c r="B823" s="1" t="n">
        <v>45412</v>
      </c>
      <c r="C823" s="1" t="n">
        <v>45827</v>
      </c>
      <c r="D823" t="inlineStr">
        <is>
          <t>NORRBOTTENS LÄN</t>
        </is>
      </c>
      <c r="E823" t="inlineStr">
        <is>
          <t>PAJALA</t>
        </is>
      </c>
      <c r="F823" t="inlineStr">
        <is>
          <t>Allmännings- och besparingsskogar</t>
        </is>
      </c>
      <c r="G823" t="n">
        <v>27.7</v>
      </c>
      <c r="H823" t="n">
        <v>0</v>
      </c>
      <c r="I823" t="n">
        <v>0</v>
      </c>
      <c r="J823" t="n">
        <v>0</v>
      </c>
      <c r="K823" t="n">
        <v>0</v>
      </c>
      <c r="L823" t="n">
        <v>0</v>
      </c>
      <c r="M823" t="n">
        <v>0</v>
      </c>
      <c r="N823" t="n">
        <v>0</v>
      </c>
      <c r="O823" t="n">
        <v>0</v>
      </c>
      <c r="P823" t="n">
        <v>0</v>
      </c>
      <c r="Q823" t="n">
        <v>0</v>
      </c>
      <c r="R823" s="2" t="inlineStr"/>
    </row>
    <row r="824" ht="15" customHeight="1">
      <c r="A824" t="inlineStr">
        <is>
          <t>A 17565-2024</t>
        </is>
      </c>
      <c r="B824" s="1" t="n">
        <v>45415</v>
      </c>
      <c r="C824" s="1" t="n">
        <v>45827</v>
      </c>
      <c r="D824" t="inlineStr">
        <is>
          <t>NORRBOTTENS LÄN</t>
        </is>
      </c>
      <c r="E824" t="inlineStr">
        <is>
          <t>PAJALA</t>
        </is>
      </c>
      <c r="G824" t="n">
        <v>11.2</v>
      </c>
      <c r="H824" t="n">
        <v>0</v>
      </c>
      <c r="I824" t="n">
        <v>0</v>
      </c>
      <c r="J824" t="n">
        <v>0</v>
      </c>
      <c r="K824" t="n">
        <v>0</v>
      </c>
      <c r="L824" t="n">
        <v>0</v>
      </c>
      <c r="M824" t="n">
        <v>0</v>
      </c>
      <c r="N824" t="n">
        <v>0</v>
      </c>
      <c r="O824" t="n">
        <v>0</v>
      </c>
      <c r="P824" t="n">
        <v>0</v>
      </c>
      <c r="Q824" t="n">
        <v>0</v>
      </c>
      <c r="R824" s="2" t="inlineStr"/>
    </row>
    <row r="825" ht="15" customHeight="1">
      <c r="A825" t="inlineStr">
        <is>
          <t>A 17608-2024</t>
        </is>
      </c>
      <c r="B825" s="1" t="n">
        <v>45416</v>
      </c>
      <c r="C825" s="1" t="n">
        <v>45827</v>
      </c>
      <c r="D825" t="inlineStr">
        <is>
          <t>NORRBOTTENS LÄN</t>
        </is>
      </c>
      <c r="E825" t="inlineStr">
        <is>
          <t>PAJALA</t>
        </is>
      </c>
      <c r="G825" t="n">
        <v>3.8</v>
      </c>
      <c r="H825" t="n">
        <v>0</v>
      </c>
      <c r="I825" t="n">
        <v>0</v>
      </c>
      <c r="J825" t="n">
        <v>0</v>
      </c>
      <c r="K825" t="n">
        <v>0</v>
      </c>
      <c r="L825" t="n">
        <v>0</v>
      </c>
      <c r="M825" t="n">
        <v>0</v>
      </c>
      <c r="N825" t="n">
        <v>0</v>
      </c>
      <c r="O825" t="n">
        <v>0</v>
      </c>
      <c r="P825" t="n">
        <v>0</v>
      </c>
      <c r="Q825" t="n">
        <v>0</v>
      </c>
      <c r="R825" s="2" t="inlineStr"/>
    </row>
    <row r="826" ht="15" customHeight="1">
      <c r="A826" t="inlineStr">
        <is>
          <t>A 17607-2024</t>
        </is>
      </c>
      <c r="B826" s="1" t="n">
        <v>45416</v>
      </c>
      <c r="C826" s="1" t="n">
        <v>45827</v>
      </c>
      <c r="D826" t="inlineStr">
        <is>
          <t>NORRBOTTENS LÄN</t>
        </is>
      </c>
      <c r="E826" t="inlineStr">
        <is>
          <t>PAJALA</t>
        </is>
      </c>
      <c r="G826" t="n">
        <v>5</v>
      </c>
      <c r="H826" t="n">
        <v>0</v>
      </c>
      <c r="I826" t="n">
        <v>0</v>
      </c>
      <c r="J826" t="n">
        <v>0</v>
      </c>
      <c r="K826" t="n">
        <v>0</v>
      </c>
      <c r="L826" t="n">
        <v>0</v>
      </c>
      <c r="M826" t="n">
        <v>0</v>
      </c>
      <c r="N826" t="n">
        <v>0</v>
      </c>
      <c r="O826" t="n">
        <v>0</v>
      </c>
      <c r="P826" t="n">
        <v>0</v>
      </c>
      <c r="Q826" t="n">
        <v>0</v>
      </c>
      <c r="R826" s="2" t="inlineStr"/>
    </row>
    <row r="827" ht="15" customHeight="1">
      <c r="A827" t="inlineStr">
        <is>
          <t>A 17799-2024</t>
        </is>
      </c>
      <c r="B827" s="1" t="n">
        <v>45418</v>
      </c>
      <c r="C827" s="1" t="n">
        <v>45827</v>
      </c>
      <c r="D827" t="inlineStr">
        <is>
          <t>NORRBOTTENS LÄN</t>
        </is>
      </c>
      <c r="E827" t="inlineStr">
        <is>
          <t>PAJALA</t>
        </is>
      </c>
      <c r="G827" t="n">
        <v>11.5</v>
      </c>
      <c r="H827" t="n">
        <v>0</v>
      </c>
      <c r="I827" t="n">
        <v>0</v>
      </c>
      <c r="J827" t="n">
        <v>0</v>
      </c>
      <c r="K827" t="n">
        <v>0</v>
      </c>
      <c r="L827" t="n">
        <v>0</v>
      </c>
      <c r="M827" t="n">
        <v>0</v>
      </c>
      <c r="N827" t="n">
        <v>0</v>
      </c>
      <c r="O827" t="n">
        <v>0</v>
      </c>
      <c r="P827" t="n">
        <v>0</v>
      </c>
      <c r="Q827" t="n">
        <v>0</v>
      </c>
      <c r="R827" s="2" t="inlineStr"/>
    </row>
    <row r="828" ht="15" customHeight="1">
      <c r="A828" t="inlineStr">
        <is>
          <t>A 17803-2024</t>
        </is>
      </c>
      <c r="B828" s="1" t="n">
        <v>45418</v>
      </c>
      <c r="C828" s="1" t="n">
        <v>45827</v>
      </c>
      <c r="D828" t="inlineStr">
        <is>
          <t>NORRBOTTENS LÄN</t>
        </is>
      </c>
      <c r="E828" t="inlineStr">
        <is>
          <t>PAJALA</t>
        </is>
      </c>
      <c r="G828" t="n">
        <v>2.1</v>
      </c>
      <c r="H828" t="n">
        <v>0</v>
      </c>
      <c r="I828" t="n">
        <v>0</v>
      </c>
      <c r="J828" t="n">
        <v>0</v>
      </c>
      <c r="K828" t="n">
        <v>0</v>
      </c>
      <c r="L828" t="n">
        <v>0</v>
      </c>
      <c r="M828" t="n">
        <v>0</v>
      </c>
      <c r="N828" t="n">
        <v>0</v>
      </c>
      <c r="O828" t="n">
        <v>0</v>
      </c>
      <c r="P828" t="n">
        <v>0</v>
      </c>
      <c r="Q828" t="n">
        <v>0</v>
      </c>
      <c r="R828" s="2" t="inlineStr"/>
    </row>
    <row r="829" ht="15" customHeight="1">
      <c r="A829" t="inlineStr">
        <is>
          <t>A 17801-2024</t>
        </is>
      </c>
      <c r="B829" s="1" t="n">
        <v>45418</v>
      </c>
      <c r="C829" s="1" t="n">
        <v>45827</v>
      </c>
      <c r="D829" t="inlineStr">
        <is>
          <t>NORRBOTTENS LÄN</t>
        </is>
      </c>
      <c r="E829" t="inlineStr">
        <is>
          <t>PAJALA</t>
        </is>
      </c>
      <c r="G829" t="n">
        <v>1.1</v>
      </c>
      <c r="H829" t="n">
        <v>0</v>
      </c>
      <c r="I829" t="n">
        <v>0</v>
      </c>
      <c r="J829" t="n">
        <v>0</v>
      </c>
      <c r="K829" t="n">
        <v>0</v>
      </c>
      <c r="L829" t="n">
        <v>0</v>
      </c>
      <c r="M829" t="n">
        <v>0</v>
      </c>
      <c r="N829" t="n">
        <v>0</v>
      </c>
      <c r="O829" t="n">
        <v>0</v>
      </c>
      <c r="P829" t="n">
        <v>0</v>
      </c>
      <c r="Q829" t="n">
        <v>0</v>
      </c>
      <c r="R829" s="2" t="inlineStr"/>
    </row>
    <row r="830" ht="15" customHeight="1">
      <c r="A830" t="inlineStr">
        <is>
          <t>A 17805-2024</t>
        </is>
      </c>
      <c r="B830" s="1" t="n">
        <v>45418</v>
      </c>
      <c r="C830" s="1" t="n">
        <v>45827</v>
      </c>
      <c r="D830" t="inlineStr">
        <is>
          <t>NORRBOTTENS LÄN</t>
        </is>
      </c>
      <c r="E830" t="inlineStr">
        <is>
          <t>PAJALA</t>
        </is>
      </c>
      <c r="G830" t="n">
        <v>2.3</v>
      </c>
      <c r="H830" t="n">
        <v>0</v>
      </c>
      <c r="I830" t="n">
        <v>0</v>
      </c>
      <c r="J830" t="n">
        <v>0</v>
      </c>
      <c r="K830" t="n">
        <v>0</v>
      </c>
      <c r="L830" t="n">
        <v>0</v>
      </c>
      <c r="M830" t="n">
        <v>0</v>
      </c>
      <c r="N830" t="n">
        <v>0</v>
      </c>
      <c r="O830" t="n">
        <v>0</v>
      </c>
      <c r="P830" t="n">
        <v>0</v>
      </c>
      <c r="Q830" t="n">
        <v>0</v>
      </c>
      <c r="R830" s="2" t="inlineStr"/>
    </row>
    <row r="831" ht="15" customHeight="1">
      <c r="A831" t="inlineStr">
        <is>
          <t>A 17813-2024</t>
        </is>
      </c>
      <c r="B831" s="1" t="n">
        <v>45418</v>
      </c>
      <c r="C831" s="1" t="n">
        <v>45827</v>
      </c>
      <c r="D831" t="inlineStr">
        <is>
          <t>NORRBOTTENS LÄN</t>
        </is>
      </c>
      <c r="E831" t="inlineStr">
        <is>
          <t>PAJALA</t>
        </is>
      </c>
      <c r="G831" t="n">
        <v>7.5</v>
      </c>
      <c r="H831" t="n">
        <v>0</v>
      </c>
      <c r="I831" t="n">
        <v>0</v>
      </c>
      <c r="J831" t="n">
        <v>0</v>
      </c>
      <c r="K831" t="n">
        <v>0</v>
      </c>
      <c r="L831" t="n">
        <v>0</v>
      </c>
      <c r="M831" t="n">
        <v>0</v>
      </c>
      <c r="N831" t="n">
        <v>0</v>
      </c>
      <c r="O831" t="n">
        <v>0</v>
      </c>
      <c r="P831" t="n">
        <v>0</v>
      </c>
      <c r="Q831" t="n">
        <v>0</v>
      </c>
      <c r="R831" s="2" t="inlineStr"/>
    </row>
    <row r="832" ht="15" customHeight="1">
      <c r="A832" t="inlineStr">
        <is>
          <t>A 17806-2024</t>
        </is>
      </c>
      <c r="B832" s="1" t="n">
        <v>45419</v>
      </c>
      <c r="C832" s="1" t="n">
        <v>45827</v>
      </c>
      <c r="D832" t="inlineStr">
        <is>
          <t>NORRBOTTENS LÄN</t>
        </is>
      </c>
      <c r="E832" t="inlineStr">
        <is>
          <t>PAJALA</t>
        </is>
      </c>
      <c r="G832" t="n">
        <v>0.2</v>
      </c>
      <c r="H832" t="n">
        <v>0</v>
      </c>
      <c r="I832" t="n">
        <v>0</v>
      </c>
      <c r="J832" t="n">
        <v>0</v>
      </c>
      <c r="K832" t="n">
        <v>0</v>
      </c>
      <c r="L832" t="n">
        <v>0</v>
      </c>
      <c r="M832" t="n">
        <v>0</v>
      </c>
      <c r="N832" t="n">
        <v>0</v>
      </c>
      <c r="O832" t="n">
        <v>0</v>
      </c>
      <c r="P832" t="n">
        <v>0</v>
      </c>
      <c r="Q832" t="n">
        <v>0</v>
      </c>
      <c r="R832" s="2" t="inlineStr"/>
    </row>
    <row r="833" ht="15" customHeight="1">
      <c r="A833" t="inlineStr">
        <is>
          <t>A 17814-2024</t>
        </is>
      </c>
      <c r="B833" s="1" t="n">
        <v>45418</v>
      </c>
      <c r="C833" s="1" t="n">
        <v>45827</v>
      </c>
      <c r="D833" t="inlineStr">
        <is>
          <t>NORRBOTTENS LÄN</t>
        </is>
      </c>
      <c r="E833" t="inlineStr">
        <is>
          <t>PAJALA</t>
        </is>
      </c>
      <c r="G833" t="n">
        <v>7.1</v>
      </c>
      <c r="H833" t="n">
        <v>0</v>
      </c>
      <c r="I833" t="n">
        <v>0</v>
      </c>
      <c r="J833" t="n">
        <v>0</v>
      </c>
      <c r="K833" t="n">
        <v>0</v>
      </c>
      <c r="L833" t="n">
        <v>0</v>
      </c>
      <c r="M833" t="n">
        <v>0</v>
      </c>
      <c r="N833" t="n">
        <v>0</v>
      </c>
      <c r="O833" t="n">
        <v>0</v>
      </c>
      <c r="P833" t="n">
        <v>0</v>
      </c>
      <c r="Q833" t="n">
        <v>0</v>
      </c>
      <c r="R833" s="2" t="inlineStr"/>
    </row>
    <row r="834" ht="15" customHeight="1">
      <c r="A834" t="inlineStr">
        <is>
          <t>A 18351-2024</t>
        </is>
      </c>
      <c r="B834" s="1" t="n">
        <v>45422</v>
      </c>
      <c r="C834" s="1" t="n">
        <v>45827</v>
      </c>
      <c r="D834" t="inlineStr">
        <is>
          <t>NORRBOTTENS LÄN</t>
        </is>
      </c>
      <c r="E834" t="inlineStr">
        <is>
          <t>PAJALA</t>
        </is>
      </c>
      <c r="F834" t="inlineStr">
        <is>
          <t>Sveaskog</t>
        </is>
      </c>
      <c r="G834" t="n">
        <v>25.9</v>
      </c>
      <c r="H834" t="n">
        <v>0</v>
      </c>
      <c r="I834" t="n">
        <v>0</v>
      </c>
      <c r="J834" t="n">
        <v>0</v>
      </c>
      <c r="K834" t="n">
        <v>0</v>
      </c>
      <c r="L834" t="n">
        <v>0</v>
      </c>
      <c r="M834" t="n">
        <v>0</v>
      </c>
      <c r="N834" t="n">
        <v>0</v>
      </c>
      <c r="O834" t="n">
        <v>0</v>
      </c>
      <c r="P834" t="n">
        <v>0</v>
      </c>
      <c r="Q834" t="n">
        <v>0</v>
      </c>
      <c r="R834" s="2" t="inlineStr"/>
    </row>
    <row r="835" ht="15" customHeight="1">
      <c r="A835" t="inlineStr">
        <is>
          <t>A 19046-2024</t>
        </is>
      </c>
      <c r="B835" s="1" t="n">
        <v>45427</v>
      </c>
      <c r="C835" s="1" t="n">
        <v>45827</v>
      </c>
      <c r="D835" t="inlineStr">
        <is>
          <t>NORRBOTTENS LÄN</t>
        </is>
      </c>
      <c r="E835" t="inlineStr">
        <is>
          <t>PAJALA</t>
        </is>
      </c>
      <c r="G835" t="n">
        <v>2.9</v>
      </c>
      <c r="H835" t="n">
        <v>0</v>
      </c>
      <c r="I835" t="n">
        <v>0</v>
      </c>
      <c r="J835" t="n">
        <v>0</v>
      </c>
      <c r="K835" t="n">
        <v>0</v>
      </c>
      <c r="L835" t="n">
        <v>0</v>
      </c>
      <c r="M835" t="n">
        <v>0</v>
      </c>
      <c r="N835" t="n">
        <v>0</v>
      </c>
      <c r="O835" t="n">
        <v>0</v>
      </c>
      <c r="P835" t="n">
        <v>0</v>
      </c>
      <c r="Q835" t="n">
        <v>0</v>
      </c>
      <c r="R835" s="2" t="inlineStr"/>
    </row>
    <row r="836" ht="15" customHeight="1">
      <c r="A836" t="inlineStr">
        <is>
          <t>A 18918-2024</t>
        </is>
      </c>
      <c r="B836" s="1" t="n">
        <v>45427</v>
      </c>
      <c r="C836" s="1" t="n">
        <v>45827</v>
      </c>
      <c r="D836" t="inlineStr">
        <is>
          <t>NORRBOTTENS LÄN</t>
        </is>
      </c>
      <c r="E836" t="inlineStr">
        <is>
          <t>PAJALA</t>
        </is>
      </c>
      <c r="G836" t="n">
        <v>7</v>
      </c>
      <c r="H836" t="n">
        <v>0</v>
      </c>
      <c r="I836" t="n">
        <v>0</v>
      </c>
      <c r="J836" t="n">
        <v>0</v>
      </c>
      <c r="K836" t="n">
        <v>0</v>
      </c>
      <c r="L836" t="n">
        <v>0</v>
      </c>
      <c r="M836" t="n">
        <v>0</v>
      </c>
      <c r="N836" t="n">
        <v>0</v>
      </c>
      <c r="O836" t="n">
        <v>0</v>
      </c>
      <c r="P836" t="n">
        <v>0</v>
      </c>
      <c r="Q836" t="n">
        <v>0</v>
      </c>
      <c r="R836" s="2" t="inlineStr"/>
    </row>
    <row r="837" ht="15" customHeight="1">
      <c r="A837" t="inlineStr">
        <is>
          <t>A 19047-2024</t>
        </is>
      </c>
      <c r="B837" s="1" t="n">
        <v>45427</v>
      </c>
      <c r="C837" s="1" t="n">
        <v>45827</v>
      </c>
      <c r="D837" t="inlineStr">
        <is>
          <t>NORRBOTTENS LÄN</t>
        </is>
      </c>
      <c r="E837" t="inlineStr">
        <is>
          <t>PAJALA</t>
        </is>
      </c>
      <c r="G837" t="n">
        <v>9.4</v>
      </c>
      <c r="H837" t="n">
        <v>0</v>
      </c>
      <c r="I837" t="n">
        <v>0</v>
      </c>
      <c r="J837" t="n">
        <v>0</v>
      </c>
      <c r="K837" t="n">
        <v>0</v>
      </c>
      <c r="L837" t="n">
        <v>0</v>
      </c>
      <c r="M837" t="n">
        <v>0</v>
      </c>
      <c r="N837" t="n">
        <v>0</v>
      </c>
      <c r="O837" t="n">
        <v>0</v>
      </c>
      <c r="P837" t="n">
        <v>0</v>
      </c>
      <c r="Q837" t="n">
        <v>0</v>
      </c>
      <c r="R837" s="2" t="inlineStr"/>
    </row>
    <row r="838" ht="15" customHeight="1">
      <c r="A838" t="inlineStr">
        <is>
          <t>A 19045-2024</t>
        </is>
      </c>
      <c r="B838" s="1" t="n">
        <v>45427</v>
      </c>
      <c r="C838" s="1" t="n">
        <v>45827</v>
      </c>
      <c r="D838" t="inlineStr">
        <is>
          <t>NORRBOTTENS LÄN</t>
        </is>
      </c>
      <c r="E838" t="inlineStr">
        <is>
          <t>PAJALA</t>
        </is>
      </c>
      <c r="G838" t="n">
        <v>4.2</v>
      </c>
      <c r="H838" t="n">
        <v>0</v>
      </c>
      <c r="I838" t="n">
        <v>0</v>
      </c>
      <c r="J838" t="n">
        <v>0</v>
      </c>
      <c r="K838" t="n">
        <v>0</v>
      </c>
      <c r="L838" t="n">
        <v>0</v>
      </c>
      <c r="M838" t="n">
        <v>0</v>
      </c>
      <c r="N838" t="n">
        <v>0</v>
      </c>
      <c r="O838" t="n">
        <v>0</v>
      </c>
      <c r="P838" t="n">
        <v>0</v>
      </c>
      <c r="Q838" t="n">
        <v>0</v>
      </c>
      <c r="R838" s="2" t="inlineStr"/>
    </row>
    <row r="839" ht="15" customHeight="1">
      <c r="A839" t="inlineStr">
        <is>
          <t>A 19250-2024</t>
        </is>
      </c>
      <c r="B839" s="1" t="n">
        <v>45428</v>
      </c>
      <c r="C839" s="1" t="n">
        <v>45827</v>
      </c>
      <c r="D839" t="inlineStr">
        <is>
          <t>NORRBOTTENS LÄN</t>
        </is>
      </c>
      <c r="E839" t="inlineStr">
        <is>
          <t>PAJALA</t>
        </is>
      </c>
      <c r="G839" t="n">
        <v>4.1</v>
      </c>
      <c r="H839" t="n">
        <v>0</v>
      </c>
      <c r="I839" t="n">
        <v>0</v>
      </c>
      <c r="J839" t="n">
        <v>0</v>
      </c>
      <c r="K839" t="n">
        <v>0</v>
      </c>
      <c r="L839" t="n">
        <v>0</v>
      </c>
      <c r="M839" t="n">
        <v>0</v>
      </c>
      <c r="N839" t="n">
        <v>0</v>
      </c>
      <c r="O839" t="n">
        <v>0</v>
      </c>
      <c r="P839" t="n">
        <v>0</v>
      </c>
      <c r="Q839" t="n">
        <v>0</v>
      </c>
      <c r="R839" s="2" t="inlineStr"/>
    </row>
    <row r="840" ht="15" customHeight="1">
      <c r="A840" t="inlineStr">
        <is>
          <t>A 20239-2024</t>
        </is>
      </c>
      <c r="B840" s="1" t="n">
        <v>45434</v>
      </c>
      <c r="C840" s="1" t="n">
        <v>45827</v>
      </c>
      <c r="D840" t="inlineStr">
        <is>
          <t>NORRBOTTENS LÄN</t>
        </is>
      </c>
      <c r="E840" t="inlineStr">
        <is>
          <t>PAJALA</t>
        </is>
      </c>
      <c r="G840" t="n">
        <v>1.7</v>
      </c>
      <c r="H840" t="n">
        <v>0</v>
      </c>
      <c r="I840" t="n">
        <v>0</v>
      </c>
      <c r="J840" t="n">
        <v>0</v>
      </c>
      <c r="K840" t="n">
        <v>0</v>
      </c>
      <c r="L840" t="n">
        <v>0</v>
      </c>
      <c r="M840" t="n">
        <v>0</v>
      </c>
      <c r="N840" t="n">
        <v>0</v>
      </c>
      <c r="O840" t="n">
        <v>0</v>
      </c>
      <c r="P840" t="n">
        <v>0</v>
      </c>
      <c r="Q840" t="n">
        <v>0</v>
      </c>
      <c r="R840" s="2" t="inlineStr"/>
    </row>
    <row r="841" ht="15" customHeight="1">
      <c r="A841" t="inlineStr">
        <is>
          <t>A 20360-2024</t>
        </is>
      </c>
      <c r="B841" s="1" t="n">
        <v>45435</v>
      </c>
      <c r="C841" s="1" t="n">
        <v>45827</v>
      </c>
      <c r="D841" t="inlineStr">
        <is>
          <t>NORRBOTTENS LÄN</t>
        </is>
      </c>
      <c r="E841" t="inlineStr">
        <is>
          <t>PAJALA</t>
        </is>
      </c>
      <c r="F841" t="inlineStr">
        <is>
          <t>Allmännings- och besparingsskogar</t>
        </is>
      </c>
      <c r="G841" t="n">
        <v>4</v>
      </c>
      <c r="H841" t="n">
        <v>0</v>
      </c>
      <c r="I841" t="n">
        <v>0</v>
      </c>
      <c r="J841" t="n">
        <v>0</v>
      </c>
      <c r="K841" t="n">
        <v>0</v>
      </c>
      <c r="L841" t="n">
        <v>0</v>
      </c>
      <c r="M841" t="n">
        <v>0</v>
      </c>
      <c r="N841" t="n">
        <v>0</v>
      </c>
      <c r="O841" t="n">
        <v>0</v>
      </c>
      <c r="P841" t="n">
        <v>0</v>
      </c>
      <c r="Q841" t="n">
        <v>0</v>
      </c>
      <c r="R841" s="2" t="inlineStr"/>
    </row>
    <row r="842" ht="15" customHeight="1">
      <c r="A842" t="inlineStr">
        <is>
          <t>A 20813-2024</t>
        </is>
      </c>
      <c r="B842" s="1" t="n">
        <v>45439</v>
      </c>
      <c r="C842" s="1" t="n">
        <v>45827</v>
      </c>
      <c r="D842" t="inlineStr">
        <is>
          <t>NORRBOTTENS LÄN</t>
        </is>
      </c>
      <c r="E842" t="inlineStr">
        <is>
          <t>PAJALA</t>
        </is>
      </c>
      <c r="G842" t="n">
        <v>8.9</v>
      </c>
      <c r="H842" t="n">
        <v>0</v>
      </c>
      <c r="I842" t="n">
        <v>0</v>
      </c>
      <c r="J842" t="n">
        <v>0</v>
      </c>
      <c r="K842" t="n">
        <v>0</v>
      </c>
      <c r="L842" t="n">
        <v>0</v>
      </c>
      <c r="M842" t="n">
        <v>0</v>
      </c>
      <c r="N842" t="n">
        <v>0</v>
      </c>
      <c r="O842" t="n">
        <v>0</v>
      </c>
      <c r="P842" t="n">
        <v>0</v>
      </c>
      <c r="Q842" t="n">
        <v>0</v>
      </c>
      <c r="R842" s="2" t="inlineStr"/>
    </row>
    <row r="843" ht="15" customHeight="1">
      <c r="A843" t="inlineStr">
        <is>
          <t>A 21172-2024</t>
        </is>
      </c>
      <c r="B843" s="1" t="n">
        <v>45440</v>
      </c>
      <c r="C843" s="1" t="n">
        <v>45827</v>
      </c>
      <c r="D843" t="inlineStr">
        <is>
          <t>NORRBOTTENS LÄN</t>
        </is>
      </c>
      <c r="E843" t="inlineStr">
        <is>
          <t>PAJALA</t>
        </is>
      </c>
      <c r="G843" t="n">
        <v>6.5</v>
      </c>
      <c r="H843" t="n">
        <v>0</v>
      </c>
      <c r="I843" t="n">
        <v>0</v>
      </c>
      <c r="J843" t="n">
        <v>0</v>
      </c>
      <c r="K843" t="n">
        <v>0</v>
      </c>
      <c r="L843" t="n">
        <v>0</v>
      </c>
      <c r="M843" t="n">
        <v>0</v>
      </c>
      <c r="N843" t="n">
        <v>0</v>
      </c>
      <c r="O843" t="n">
        <v>0</v>
      </c>
      <c r="P843" t="n">
        <v>0</v>
      </c>
      <c r="Q843" t="n">
        <v>0</v>
      </c>
      <c r="R843" s="2" t="inlineStr"/>
    </row>
    <row r="844" ht="15" customHeight="1">
      <c r="A844" t="inlineStr">
        <is>
          <t>A 21250-2024</t>
        </is>
      </c>
      <c r="B844" s="1" t="n">
        <v>45440</v>
      </c>
      <c r="C844" s="1" t="n">
        <v>45827</v>
      </c>
      <c r="D844" t="inlineStr">
        <is>
          <t>NORRBOTTENS LÄN</t>
        </is>
      </c>
      <c r="E844" t="inlineStr">
        <is>
          <t>PAJALA</t>
        </is>
      </c>
      <c r="G844" t="n">
        <v>0.4</v>
      </c>
      <c r="H844" t="n">
        <v>0</v>
      </c>
      <c r="I844" t="n">
        <v>0</v>
      </c>
      <c r="J844" t="n">
        <v>0</v>
      </c>
      <c r="K844" t="n">
        <v>0</v>
      </c>
      <c r="L844" t="n">
        <v>0</v>
      </c>
      <c r="M844" t="n">
        <v>0</v>
      </c>
      <c r="N844" t="n">
        <v>0</v>
      </c>
      <c r="O844" t="n">
        <v>0</v>
      </c>
      <c r="P844" t="n">
        <v>0</v>
      </c>
      <c r="Q844" t="n">
        <v>0</v>
      </c>
      <c r="R844" s="2" t="inlineStr"/>
    </row>
    <row r="845" ht="15" customHeight="1">
      <c r="A845" t="inlineStr">
        <is>
          <t>A 22046-2024</t>
        </is>
      </c>
      <c r="B845" s="1" t="n">
        <v>45443</v>
      </c>
      <c r="C845" s="1" t="n">
        <v>45827</v>
      </c>
      <c r="D845" t="inlineStr">
        <is>
          <t>NORRBOTTENS LÄN</t>
        </is>
      </c>
      <c r="E845" t="inlineStr">
        <is>
          <t>PAJALA</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22039-2024</t>
        </is>
      </c>
      <c r="B846" s="1" t="n">
        <v>45443</v>
      </c>
      <c r="C846" s="1" t="n">
        <v>45827</v>
      </c>
      <c r="D846" t="inlineStr">
        <is>
          <t>NORRBOTTENS LÄN</t>
        </is>
      </c>
      <c r="E846" t="inlineStr">
        <is>
          <t>PAJALA</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22043-2024</t>
        </is>
      </c>
      <c r="B847" s="1" t="n">
        <v>45443</v>
      </c>
      <c r="C847" s="1" t="n">
        <v>45827</v>
      </c>
      <c r="D847" t="inlineStr">
        <is>
          <t>NORRBOTTENS LÄN</t>
        </is>
      </c>
      <c r="E847" t="inlineStr">
        <is>
          <t>PAJALA</t>
        </is>
      </c>
      <c r="F847" t="inlineStr">
        <is>
          <t>Sveaskog</t>
        </is>
      </c>
      <c r="G847" t="n">
        <v>9.1</v>
      </c>
      <c r="H847" t="n">
        <v>0</v>
      </c>
      <c r="I847" t="n">
        <v>0</v>
      </c>
      <c r="J847" t="n">
        <v>0</v>
      </c>
      <c r="K847" t="n">
        <v>0</v>
      </c>
      <c r="L847" t="n">
        <v>0</v>
      </c>
      <c r="M847" t="n">
        <v>0</v>
      </c>
      <c r="N847" t="n">
        <v>0</v>
      </c>
      <c r="O847" t="n">
        <v>0</v>
      </c>
      <c r="P847" t="n">
        <v>0</v>
      </c>
      <c r="Q847" t="n">
        <v>0</v>
      </c>
      <c r="R847" s="2" t="inlineStr"/>
    </row>
    <row r="848" ht="15" customHeight="1">
      <c r="A848" t="inlineStr">
        <is>
          <t>A 21945-2024</t>
        </is>
      </c>
      <c r="B848" s="1" t="n">
        <v>45443</v>
      </c>
      <c r="C848" s="1" t="n">
        <v>45827</v>
      </c>
      <c r="D848" t="inlineStr">
        <is>
          <t>NORRBOTTENS LÄN</t>
        </is>
      </c>
      <c r="E848" t="inlineStr">
        <is>
          <t>PAJALA</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22098-2024</t>
        </is>
      </c>
      <c r="B849" s="1" t="n">
        <v>45444</v>
      </c>
      <c r="C849" s="1" t="n">
        <v>45827</v>
      </c>
      <c r="D849" t="inlineStr">
        <is>
          <t>NORRBOTTENS LÄN</t>
        </is>
      </c>
      <c r="E849" t="inlineStr">
        <is>
          <t>PAJALA</t>
        </is>
      </c>
      <c r="G849" t="n">
        <v>3.3</v>
      </c>
      <c r="H849" t="n">
        <v>0</v>
      </c>
      <c r="I849" t="n">
        <v>0</v>
      </c>
      <c r="J849" t="n">
        <v>0</v>
      </c>
      <c r="K849" t="n">
        <v>0</v>
      </c>
      <c r="L849" t="n">
        <v>0</v>
      </c>
      <c r="M849" t="n">
        <v>0</v>
      </c>
      <c r="N849" t="n">
        <v>0</v>
      </c>
      <c r="O849" t="n">
        <v>0</v>
      </c>
      <c r="P849" t="n">
        <v>0</v>
      </c>
      <c r="Q849" t="n">
        <v>0</v>
      </c>
      <c r="R849" s="2" t="inlineStr"/>
    </row>
    <row r="850" ht="15" customHeight="1">
      <c r="A850" t="inlineStr">
        <is>
          <t>A 22042-2024</t>
        </is>
      </c>
      <c r="B850" s="1" t="n">
        <v>45443</v>
      </c>
      <c r="C850" s="1" t="n">
        <v>45827</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22097-2024</t>
        </is>
      </c>
      <c r="B851" s="1" t="n">
        <v>45444</v>
      </c>
      <c r="C851" s="1" t="n">
        <v>45827</v>
      </c>
      <c r="D851" t="inlineStr">
        <is>
          <t>NORRBOTTENS LÄN</t>
        </is>
      </c>
      <c r="E851" t="inlineStr">
        <is>
          <t>PAJALA</t>
        </is>
      </c>
      <c r="G851" t="n">
        <v>1.5</v>
      </c>
      <c r="H851" t="n">
        <v>0</v>
      </c>
      <c r="I851" t="n">
        <v>0</v>
      </c>
      <c r="J851" t="n">
        <v>0</v>
      </c>
      <c r="K851" t="n">
        <v>0</v>
      </c>
      <c r="L851" t="n">
        <v>0</v>
      </c>
      <c r="M851" t="n">
        <v>0</v>
      </c>
      <c r="N851" t="n">
        <v>0</v>
      </c>
      <c r="O851" t="n">
        <v>0</v>
      </c>
      <c r="P851" t="n">
        <v>0</v>
      </c>
      <c r="Q851" t="n">
        <v>0</v>
      </c>
      <c r="R851" s="2" t="inlineStr"/>
    </row>
    <row r="852" ht="15" customHeight="1">
      <c r="A852" t="inlineStr">
        <is>
          <t>A 22054-2024</t>
        </is>
      </c>
      <c r="B852" s="1" t="n">
        <v>45443</v>
      </c>
      <c r="C852" s="1" t="n">
        <v>45827</v>
      </c>
      <c r="D852" t="inlineStr">
        <is>
          <t>NORRBOTTENS LÄN</t>
        </is>
      </c>
      <c r="E852" t="inlineStr">
        <is>
          <t>PAJALA</t>
        </is>
      </c>
      <c r="G852" t="n">
        <v>6.8</v>
      </c>
      <c r="H852" t="n">
        <v>0</v>
      </c>
      <c r="I852" t="n">
        <v>0</v>
      </c>
      <c r="J852" t="n">
        <v>0</v>
      </c>
      <c r="K852" t="n">
        <v>0</v>
      </c>
      <c r="L852" t="n">
        <v>0</v>
      </c>
      <c r="M852" t="n">
        <v>0</v>
      </c>
      <c r="N852" t="n">
        <v>0</v>
      </c>
      <c r="O852" t="n">
        <v>0</v>
      </c>
      <c r="P852" t="n">
        <v>0</v>
      </c>
      <c r="Q852" t="n">
        <v>0</v>
      </c>
      <c r="R852" s="2" t="inlineStr"/>
    </row>
    <row r="853" ht="15" customHeight="1">
      <c r="A853" t="inlineStr">
        <is>
          <t>A 22427-2024</t>
        </is>
      </c>
      <c r="B853" s="1" t="n">
        <v>45446</v>
      </c>
      <c r="C853" s="1" t="n">
        <v>45827</v>
      </c>
      <c r="D853" t="inlineStr">
        <is>
          <t>NORRBOTTENS LÄN</t>
        </is>
      </c>
      <c r="E853" t="inlineStr">
        <is>
          <t>PAJALA</t>
        </is>
      </c>
      <c r="F853" t="inlineStr">
        <is>
          <t>Sveaskog</t>
        </is>
      </c>
      <c r="G853" t="n">
        <v>14.9</v>
      </c>
      <c r="H853" t="n">
        <v>0</v>
      </c>
      <c r="I853" t="n">
        <v>0</v>
      </c>
      <c r="J853" t="n">
        <v>0</v>
      </c>
      <c r="K853" t="n">
        <v>0</v>
      </c>
      <c r="L853" t="n">
        <v>0</v>
      </c>
      <c r="M853" t="n">
        <v>0</v>
      </c>
      <c r="N853" t="n">
        <v>0</v>
      </c>
      <c r="O853" t="n">
        <v>0</v>
      </c>
      <c r="P853" t="n">
        <v>0</v>
      </c>
      <c r="Q853" t="n">
        <v>0</v>
      </c>
      <c r="R853" s="2" t="inlineStr"/>
    </row>
    <row r="854" ht="15" customHeight="1">
      <c r="A854" t="inlineStr">
        <is>
          <t>A 22428-2024</t>
        </is>
      </c>
      <c r="B854" s="1" t="n">
        <v>45446</v>
      </c>
      <c r="C854" s="1" t="n">
        <v>45827</v>
      </c>
      <c r="D854" t="inlineStr">
        <is>
          <t>NORRBOTTENS LÄN</t>
        </is>
      </c>
      <c r="E854" t="inlineStr">
        <is>
          <t>PAJALA</t>
        </is>
      </c>
      <c r="F854" t="inlineStr">
        <is>
          <t>Sveaskog</t>
        </is>
      </c>
      <c r="G854" t="n">
        <v>10.4</v>
      </c>
      <c r="H854" t="n">
        <v>0</v>
      </c>
      <c r="I854" t="n">
        <v>0</v>
      </c>
      <c r="J854" t="n">
        <v>0</v>
      </c>
      <c r="K854" t="n">
        <v>0</v>
      </c>
      <c r="L854" t="n">
        <v>0</v>
      </c>
      <c r="M854" t="n">
        <v>0</v>
      </c>
      <c r="N854" t="n">
        <v>0</v>
      </c>
      <c r="O854" t="n">
        <v>0</v>
      </c>
      <c r="P854" t="n">
        <v>0</v>
      </c>
      <c r="Q854" t="n">
        <v>0</v>
      </c>
      <c r="R854" s="2" t="inlineStr"/>
    </row>
    <row r="855" ht="15" customHeight="1">
      <c r="A855" t="inlineStr">
        <is>
          <t>A 22526-2024</t>
        </is>
      </c>
      <c r="B855" s="1" t="n">
        <v>45447</v>
      </c>
      <c r="C855" s="1" t="n">
        <v>45827</v>
      </c>
      <c r="D855" t="inlineStr">
        <is>
          <t>NORRBOTTENS LÄN</t>
        </is>
      </c>
      <c r="E855" t="inlineStr">
        <is>
          <t>PAJALA</t>
        </is>
      </c>
      <c r="G855" t="n">
        <v>1.8</v>
      </c>
      <c r="H855" t="n">
        <v>0</v>
      </c>
      <c r="I855" t="n">
        <v>0</v>
      </c>
      <c r="J855" t="n">
        <v>0</v>
      </c>
      <c r="K855" t="n">
        <v>0</v>
      </c>
      <c r="L855" t="n">
        <v>0</v>
      </c>
      <c r="M855" t="n">
        <v>0</v>
      </c>
      <c r="N855" t="n">
        <v>0</v>
      </c>
      <c r="O855" t="n">
        <v>0</v>
      </c>
      <c r="P855" t="n">
        <v>0</v>
      </c>
      <c r="Q855" t="n">
        <v>0</v>
      </c>
      <c r="R855" s="2" t="inlineStr"/>
    </row>
    <row r="856" ht="15" customHeight="1">
      <c r="A856" t="inlineStr">
        <is>
          <t>A 22514-2024</t>
        </is>
      </c>
      <c r="B856" s="1" t="n">
        <v>45447</v>
      </c>
      <c r="C856" s="1" t="n">
        <v>45827</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23278-2024</t>
        </is>
      </c>
      <c r="B857" s="1" t="n">
        <v>45449</v>
      </c>
      <c r="C857" s="1" t="n">
        <v>45827</v>
      </c>
      <c r="D857" t="inlineStr">
        <is>
          <t>NORRBOTTENS LÄN</t>
        </is>
      </c>
      <c r="E857" t="inlineStr">
        <is>
          <t>PAJALA</t>
        </is>
      </c>
      <c r="G857" t="n">
        <v>13.6</v>
      </c>
      <c r="H857" t="n">
        <v>0</v>
      </c>
      <c r="I857" t="n">
        <v>0</v>
      </c>
      <c r="J857" t="n">
        <v>0</v>
      </c>
      <c r="K857" t="n">
        <v>0</v>
      </c>
      <c r="L857" t="n">
        <v>0</v>
      </c>
      <c r="M857" t="n">
        <v>0</v>
      </c>
      <c r="N857" t="n">
        <v>0</v>
      </c>
      <c r="O857" t="n">
        <v>0</v>
      </c>
      <c r="P857" t="n">
        <v>0</v>
      </c>
      <c r="Q857" t="n">
        <v>0</v>
      </c>
      <c r="R857" s="2" t="inlineStr"/>
    </row>
    <row r="858" ht="15" customHeight="1">
      <c r="A858" t="inlineStr">
        <is>
          <t>A 23073-2024</t>
        </is>
      </c>
      <c r="B858" s="1" t="n">
        <v>45450</v>
      </c>
      <c r="C858" s="1" t="n">
        <v>45827</v>
      </c>
      <c r="D858" t="inlineStr">
        <is>
          <t>NORRBOTTENS LÄN</t>
        </is>
      </c>
      <c r="E858" t="inlineStr">
        <is>
          <t>PAJALA</t>
        </is>
      </c>
      <c r="F858" t="inlineStr">
        <is>
          <t>Sveaskog</t>
        </is>
      </c>
      <c r="G858" t="n">
        <v>27.1</v>
      </c>
      <c r="H858" t="n">
        <v>0</v>
      </c>
      <c r="I858" t="n">
        <v>0</v>
      </c>
      <c r="J858" t="n">
        <v>0</v>
      </c>
      <c r="K858" t="n">
        <v>0</v>
      </c>
      <c r="L858" t="n">
        <v>0</v>
      </c>
      <c r="M858" t="n">
        <v>0</v>
      </c>
      <c r="N858" t="n">
        <v>0</v>
      </c>
      <c r="O858" t="n">
        <v>0</v>
      </c>
      <c r="P858" t="n">
        <v>0</v>
      </c>
      <c r="Q858" t="n">
        <v>0</v>
      </c>
      <c r="R858" s="2" t="inlineStr"/>
    </row>
    <row r="859" ht="15" customHeight="1">
      <c r="A859" t="inlineStr">
        <is>
          <t>A 23166-2024</t>
        </is>
      </c>
      <c r="B859" s="1" t="n">
        <v>45450</v>
      </c>
      <c r="C859" s="1" t="n">
        <v>45827</v>
      </c>
      <c r="D859" t="inlineStr">
        <is>
          <t>NORRBOTTENS LÄN</t>
        </is>
      </c>
      <c r="E859" t="inlineStr">
        <is>
          <t>PAJALA</t>
        </is>
      </c>
      <c r="F859" t="inlineStr">
        <is>
          <t>Allmännings- och besparingsskogar</t>
        </is>
      </c>
      <c r="G859" t="n">
        <v>17</v>
      </c>
      <c r="H859" t="n">
        <v>0</v>
      </c>
      <c r="I859" t="n">
        <v>0</v>
      </c>
      <c r="J859" t="n">
        <v>0</v>
      </c>
      <c r="K859" t="n">
        <v>0</v>
      </c>
      <c r="L859" t="n">
        <v>0</v>
      </c>
      <c r="M859" t="n">
        <v>0</v>
      </c>
      <c r="N859" t="n">
        <v>0</v>
      </c>
      <c r="O859" t="n">
        <v>0</v>
      </c>
      <c r="P859" t="n">
        <v>0</v>
      </c>
      <c r="Q859" t="n">
        <v>0</v>
      </c>
      <c r="R859" s="2" t="inlineStr"/>
    </row>
    <row r="860" ht="15" customHeight="1">
      <c r="A860" t="inlineStr">
        <is>
          <t>A 23102-2024</t>
        </is>
      </c>
      <c r="B860" s="1" t="n">
        <v>45450</v>
      </c>
      <c r="C860" s="1" t="n">
        <v>45827</v>
      </c>
      <c r="D860" t="inlineStr">
        <is>
          <t>NORRBOTTENS LÄN</t>
        </is>
      </c>
      <c r="E860" t="inlineStr">
        <is>
          <t>PAJALA</t>
        </is>
      </c>
      <c r="F860" t="inlineStr">
        <is>
          <t>Sveaskog</t>
        </is>
      </c>
      <c r="G860" t="n">
        <v>8.1</v>
      </c>
      <c r="H860" t="n">
        <v>0</v>
      </c>
      <c r="I860" t="n">
        <v>0</v>
      </c>
      <c r="J860" t="n">
        <v>0</v>
      </c>
      <c r="K860" t="n">
        <v>0</v>
      </c>
      <c r="L860" t="n">
        <v>0</v>
      </c>
      <c r="M860" t="n">
        <v>0</v>
      </c>
      <c r="N860" t="n">
        <v>0</v>
      </c>
      <c r="O860" t="n">
        <v>0</v>
      </c>
      <c r="P860" t="n">
        <v>0</v>
      </c>
      <c r="Q860" t="n">
        <v>0</v>
      </c>
      <c r="R860" s="2" t="inlineStr"/>
    </row>
    <row r="861" ht="15" customHeight="1">
      <c r="A861" t="inlineStr">
        <is>
          <t>A 23524-2024</t>
        </is>
      </c>
      <c r="B861" s="1" t="n">
        <v>45453</v>
      </c>
      <c r="C861" s="1" t="n">
        <v>45827</v>
      </c>
      <c r="D861" t="inlineStr">
        <is>
          <t>NORRBOTTENS LÄN</t>
        </is>
      </c>
      <c r="E861" t="inlineStr">
        <is>
          <t>PAJALA</t>
        </is>
      </c>
      <c r="G861" t="n">
        <v>0.7</v>
      </c>
      <c r="H861" t="n">
        <v>0</v>
      </c>
      <c r="I861" t="n">
        <v>0</v>
      </c>
      <c r="J861" t="n">
        <v>0</v>
      </c>
      <c r="K861" t="n">
        <v>0</v>
      </c>
      <c r="L861" t="n">
        <v>0</v>
      </c>
      <c r="M861" t="n">
        <v>0</v>
      </c>
      <c r="N861" t="n">
        <v>0</v>
      </c>
      <c r="O861" t="n">
        <v>0</v>
      </c>
      <c r="P861" t="n">
        <v>0</v>
      </c>
      <c r="Q861" t="n">
        <v>0</v>
      </c>
      <c r="R861" s="2" t="inlineStr"/>
    </row>
    <row r="862" ht="15" customHeight="1">
      <c r="A862" t="inlineStr">
        <is>
          <t>A 23623-2024</t>
        </is>
      </c>
      <c r="B862" s="1" t="n">
        <v>45454</v>
      </c>
      <c r="C862" s="1" t="n">
        <v>45827</v>
      </c>
      <c r="D862" t="inlineStr">
        <is>
          <t>NORRBOTTENS LÄN</t>
        </is>
      </c>
      <c r="E862" t="inlineStr">
        <is>
          <t>PAJALA</t>
        </is>
      </c>
      <c r="G862" t="n">
        <v>11.4</v>
      </c>
      <c r="H862" t="n">
        <v>0</v>
      </c>
      <c r="I862" t="n">
        <v>0</v>
      </c>
      <c r="J862" t="n">
        <v>0</v>
      </c>
      <c r="K862" t="n">
        <v>0</v>
      </c>
      <c r="L862" t="n">
        <v>0</v>
      </c>
      <c r="M862" t="n">
        <v>0</v>
      </c>
      <c r="N862" t="n">
        <v>0</v>
      </c>
      <c r="O862" t="n">
        <v>0</v>
      </c>
      <c r="P862" t="n">
        <v>0</v>
      </c>
      <c r="Q862" t="n">
        <v>0</v>
      </c>
      <c r="R862" s="2" t="inlineStr"/>
    </row>
    <row r="863" ht="15" customHeight="1">
      <c r="A863" t="inlineStr">
        <is>
          <t>A 23630-2024</t>
        </is>
      </c>
      <c r="B863" s="1" t="n">
        <v>45454</v>
      </c>
      <c r="C863" s="1" t="n">
        <v>45827</v>
      </c>
      <c r="D863" t="inlineStr">
        <is>
          <t>NORRBOTTENS LÄN</t>
        </is>
      </c>
      <c r="E863" t="inlineStr">
        <is>
          <t>PAJALA</t>
        </is>
      </c>
      <c r="G863" t="n">
        <v>5.9</v>
      </c>
      <c r="H863" t="n">
        <v>0</v>
      </c>
      <c r="I863" t="n">
        <v>0</v>
      </c>
      <c r="J863" t="n">
        <v>0</v>
      </c>
      <c r="K863" t="n">
        <v>0</v>
      </c>
      <c r="L863" t="n">
        <v>0</v>
      </c>
      <c r="M863" t="n">
        <v>0</v>
      </c>
      <c r="N863" t="n">
        <v>0</v>
      </c>
      <c r="O863" t="n">
        <v>0</v>
      </c>
      <c r="P863" t="n">
        <v>0</v>
      </c>
      <c r="Q863" t="n">
        <v>0</v>
      </c>
      <c r="R863" s="2" t="inlineStr"/>
    </row>
    <row r="864" ht="15" customHeight="1">
      <c r="A864" t="inlineStr">
        <is>
          <t>A 23684-2024</t>
        </is>
      </c>
      <c r="B864" s="1" t="n">
        <v>45454</v>
      </c>
      <c r="C864" s="1" t="n">
        <v>45827</v>
      </c>
      <c r="D864" t="inlineStr">
        <is>
          <t>NORRBOTTENS LÄN</t>
        </is>
      </c>
      <c r="E864" t="inlineStr">
        <is>
          <t>PAJALA</t>
        </is>
      </c>
      <c r="F864" t="inlineStr">
        <is>
          <t>Sveaskog</t>
        </is>
      </c>
      <c r="G864" t="n">
        <v>19.2</v>
      </c>
      <c r="H864" t="n">
        <v>0</v>
      </c>
      <c r="I864" t="n">
        <v>0</v>
      </c>
      <c r="J864" t="n">
        <v>0</v>
      </c>
      <c r="K864" t="n">
        <v>0</v>
      </c>
      <c r="L864" t="n">
        <v>0</v>
      </c>
      <c r="M864" t="n">
        <v>0</v>
      </c>
      <c r="N864" t="n">
        <v>0</v>
      </c>
      <c r="O864" t="n">
        <v>0</v>
      </c>
      <c r="P864" t="n">
        <v>0</v>
      </c>
      <c r="Q864" t="n">
        <v>0</v>
      </c>
      <c r="R864" s="2" t="inlineStr"/>
    </row>
    <row r="865" ht="15" customHeight="1">
      <c r="A865" t="inlineStr">
        <is>
          <t>A 23890-2024</t>
        </is>
      </c>
      <c r="B865" s="1" t="n">
        <v>45455</v>
      </c>
      <c r="C865" s="1" t="n">
        <v>45827</v>
      </c>
      <c r="D865" t="inlineStr">
        <is>
          <t>NORRBOTTENS LÄN</t>
        </is>
      </c>
      <c r="E865" t="inlineStr">
        <is>
          <t>PAJALA</t>
        </is>
      </c>
      <c r="F865" t="inlineStr">
        <is>
          <t>Sveaskog</t>
        </is>
      </c>
      <c r="G865" t="n">
        <v>7.7</v>
      </c>
      <c r="H865" t="n">
        <v>0</v>
      </c>
      <c r="I865" t="n">
        <v>0</v>
      </c>
      <c r="J865" t="n">
        <v>0</v>
      </c>
      <c r="K865" t="n">
        <v>0</v>
      </c>
      <c r="L865" t="n">
        <v>0</v>
      </c>
      <c r="M865" t="n">
        <v>0</v>
      </c>
      <c r="N865" t="n">
        <v>0</v>
      </c>
      <c r="O865" t="n">
        <v>0</v>
      </c>
      <c r="P865" t="n">
        <v>0</v>
      </c>
      <c r="Q865" t="n">
        <v>0</v>
      </c>
      <c r="R865" s="2" t="inlineStr"/>
    </row>
    <row r="866" ht="15" customHeight="1">
      <c r="A866" t="inlineStr">
        <is>
          <t>A 23893-2024</t>
        </is>
      </c>
      <c r="B866" s="1" t="n">
        <v>45455</v>
      </c>
      <c r="C866" s="1" t="n">
        <v>45827</v>
      </c>
      <c r="D866" t="inlineStr">
        <is>
          <t>NORRBOTTENS LÄN</t>
        </is>
      </c>
      <c r="E866" t="inlineStr">
        <is>
          <t>PAJALA</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23745-2024</t>
        </is>
      </c>
      <c r="B867" s="1" t="n">
        <v>45455</v>
      </c>
      <c r="C867" s="1" t="n">
        <v>45827</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24420-2024</t>
        </is>
      </c>
      <c r="B868" s="1" t="n">
        <v>45458</v>
      </c>
      <c r="C868" s="1" t="n">
        <v>45827</v>
      </c>
      <c r="D868" t="inlineStr">
        <is>
          <t>NORRBOTTENS LÄN</t>
        </is>
      </c>
      <c r="E868" t="inlineStr">
        <is>
          <t>PAJALA</t>
        </is>
      </c>
      <c r="G868" t="n">
        <v>7.9</v>
      </c>
      <c r="H868" t="n">
        <v>0</v>
      </c>
      <c r="I868" t="n">
        <v>0</v>
      </c>
      <c r="J868" t="n">
        <v>0</v>
      </c>
      <c r="K868" t="n">
        <v>0</v>
      </c>
      <c r="L868" t="n">
        <v>0</v>
      </c>
      <c r="M868" t="n">
        <v>0</v>
      </c>
      <c r="N868" t="n">
        <v>0</v>
      </c>
      <c r="O868" t="n">
        <v>0</v>
      </c>
      <c r="P868" t="n">
        <v>0</v>
      </c>
      <c r="Q868" t="n">
        <v>0</v>
      </c>
      <c r="R868" s="2" t="inlineStr"/>
    </row>
    <row r="869" ht="15" customHeight="1">
      <c r="A869" t="inlineStr">
        <is>
          <t>A 24963-2024</t>
        </is>
      </c>
      <c r="B869" s="1" t="n">
        <v>45461</v>
      </c>
      <c r="C869" s="1" t="n">
        <v>45827</v>
      </c>
      <c r="D869" t="inlineStr">
        <is>
          <t>NORRBOTTENS LÄN</t>
        </is>
      </c>
      <c r="E869" t="inlineStr">
        <is>
          <t>PAJALA</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25259-2024</t>
        </is>
      </c>
      <c r="B870" s="1" t="n">
        <v>45462</v>
      </c>
      <c r="C870" s="1" t="n">
        <v>45827</v>
      </c>
      <c r="D870" t="inlineStr">
        <is>
          <t>NORRBOTTENS LÄN</t>
        </is>
      </c>
      <c r="E870" t="inlineStr">
        <is>
          <t>PAJALA</t>
        </is>
      </c>
      <c r="G870" t="n">
        <v>1.2</v>
      </c>
      <c r="H870" t="n">
        <v>0</v>
      </c>
      <c r="I870" t="n">
        <v>0</v>
      </c>
      <c r="J870" t="n">
        <v>0</v>
      </c>
      <c r="K870" t="n">
        <v>0</v>
      </c>
      <c r="L870" t="n">
        <v>0</v>
      </c>
      <c r="M870" t="n">
        <v>0</v>
      </c>
      <c r="N870" t="n">
        <v>0</v>
      </c>
      <c r="O870" t="n">
        <v>0</v>
      </c>
      <c r="P870" t="n">
        <v>0</v>
      </c>
      <c r="Q870" t="n">
        <v>0</v>
      </c>
      <c r="R870" s="2" t="inlineStr"/>
    </row>
    <row r="871" ht="15" customHeight="1">
      <c r="A871" t="inlineStr">
        <is>
          <t>A 25497-2024</t>
        </is>
      </c>
      <c r="B871" s="1" t="n">
        <v>45463</v>
      </c>
      <c r="C871" s="1" t="n">
        <v>45827</v>
      </c>
      <c r="D871" t="inlineStr">
        <is>
          <t>NORRBOTTENS LÄN</t>
        </is>
      </c>
      <c r="E871" t="inlineStr">
        <is>
          <t>PAJALA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25693-2024</t>
        </is>
      </c>
      <c r="B872" s="1" t="n">
        <v>45464</v>
      </c>
      <c r="C872" s="1" t="n">
        <v>45827</v>
      </c>
      <c r="D872" t="inlineStr">
        <is>
          <t>NORRBOTTENS LÄN</t>
        </is>
      </c>
      <c r="E872" t="inlineStr">
        <is>
          <t>PAJALA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25733-2024</t>
        </is>
      </c>
      <c r="B873" s="1" t="n">
        <v>45464</v>
      </c>
      <c r="C873" s="1" t="n">
        <v>45827</v>
      </c>
      <c r="D873" t="inlineStr">
        <is>
          <t>NORRBOTTENS LÄN</t>
        </is>
      </c>
      <c r="E873" t="inlineStr">
        <is>
          <t>PAJALA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25734-2024</t>
        </is>
      </c>
      <c r="B874" s="1" t="n">
        <v>45464</v>
      </c>
      <c r="C874" s="1" t="n">
        <v>45827</v>
      </c>
      <c r="D874" t="inlineStr">
        <is>
          <t>NORRBOTTENS LÄN</t>
        </is>
      </c>
      <c r="E874" t="inlineStr">
        <is>
          <t>PAJALA</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25947-2024</t>
        </is>
      </c>
      <c r="B875" s="1" t="n">
        <v>45467</v>
      </c>
      <c r="C875" s="1" t="n">
        <v>45827</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26434-2024</t>
        </is>
      </c>
      <c r="B876" s="1" t="n">
        <v>45468</v>
      </c>
      <c r="C876" s="1" t="n">
        <v>45827</v>
      </c>
      <c r="D876" t="inlineStr">
        <is>
          <t>NORRBOTTENS LÄN</t>
        </is>
      </c>
      <c r="E876" t="inlineStr">
        <is>
          <t>PAJALA</t>
        </is>
      </c>
      <c r="G876" t="n">
        <v>24.4</v>
      </c>
      <c r="H876" t="n">
        <v>0</v>
      </c>
      <c r="I876" t="n">
        <v>0</v>
      </c>
      <c r="J876" t="n">
        <v>0</v>
      </c>
      <c r="K876" t="n">
        <v>0</v>
      </c>
      <c r="L876" t="n">
        <v>0</v>
      </c>
      <c r="M876" t="n">
        <v>0</v>
      </c>
      <c r="N876" t="n">
        <v>0</v>
      </c>
      <c r="O876" t="n">
        <v>0</v>
      </c>
      <c r="P876" t="n">
        <v>0</v>
      </c>
      <c r="Q876" t="n">
        <v>0</v>
      </c>
      <c r="R876" s="2" t="inlineStr"/>
    </row>
    <row r="877" ht="15" customHeight="1">
      <c r="A877" t="inlineStr">
        <is>
          <t>A 26643-2024</t>
        </is>
      </c>
      <c r="B877" s="1" t="n">
        <v>45470</v>
      </c>
      <c r="C877" s="1" t="n">
        <v>45827</v>
      </c>
      <c r="D877" t="inlineStr">
        <is>
          <t>NORRBOTTENS LÄN</t>
        </is>
      </c>
      <c r="E877" t="inlineStr">
        <is>
          <t>PAJALA</t>
        </is>
      </c>
      <c r="G877" t="n">
        <v>3.2</v>
      </c>
      <c r="H877" t="n">
        <v>0</v>
      </c>
      <c r="I877" t="n">
        <v>0</v>
      </c>
      <c r="J877" t="n">
        <v>0</v>
      </c>
      <c r="K877" t="n">
        <v>0</v>
      </c>
      <c r="L877" t="n">
        <v>0</v>
      </c>
      <c r="M877" t="n">
        <v>0</v>
      </c>
      <c r="N877" t="n">
        <v>0</v>
      </c>
      <c r="O877" t="n">
        <v>0</v>
      </c>
      <c r="P877" t="n">
        <v>0</v>
      </c>
      <c r="Q877" t="n">
        <v>0</v>
      </c>
      <c r="R877" s="2" t="inlineStr"/>
    </row>
    <row r="878" ht="15" customHeight="1">
      <c r="A878" t="inlineStr">
        <is>
          <t>A 27099-2024</t>
        </is>
      </c>
      <c r="B878" s="1" t="n">
        <v>45471</v>
      </c>
      <c r="C878" s="1" t="n">
        <v>45827</v>
      </c>
      <c r="D878" t="inlineStr">
        <is>
          <t>NORRBOTTENS LÄN</t>
        </is>
      </c>
      <c r="E878" t="inlineStr">
        <is>
          <t>PAJALA</t>
        </is>
      </c>
      <c r="F878" t="inlineStr">
        <is>
          <t>Sveaskog</t>
        </is>
      </c>
      <c r="G878" t="n">
        <v>16.3</v>
      </c>
      <c r="H878" t="n">
        <v>0</v>
      </c>
      <c r="I878" t="n">
        <v>0</v>
      </c>
      <c r="J878" t="n">
        <v>0</v>
      </c>
      <c r="K878" t="n">
        <v>0</v>
      </c>
      <c r="L878" t="n">
        <v>0</v>
      </c>
      <c r="M878" t="n">
        <v>0</v>
      </c>
      <c r="N878" t="n">
        <v>0</v>
      </c>
      <c r="O878" t="n">
        <v>0</v>
      </c>
      <c r="P878" t="n">
        <v>0</v>
      </c>
      <c r="Q878" t="n">
        <v>0</v>
      </c>
      <c r="R878" s="2" t="inlineStr"/>
    </row>
    <row r="879" ht="15" customHeight="1">
      <c r="A879" t="inlineStr">
        <is>
          <t>A 27326-2024</t>
        </is>
      </c>
      <c r="B879" s="1" t="n">
        <v>45472</v>
      </c>
      <c r="C879" s="1" t="n">
        <v>45827</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27325-2024</t>
        </is>
      </c>
      <c r="B880" s="1" t="n">
        <v>45472</v>
      </c>
      <c r="C880" s="1" t="n">
        <v>45827</v>
      </c>
      <c r="D880" t="inlineStr">
        <is>
          <t>NORRBOTTENS LÄN</t>
        </is>
      </c>
      <c r="E880" t="inlineStr">
        <is>
          <t>PAJALA</t>
        </is>
      </c>
      <c r="G880" t="n">
        <v>4.8</v>
      </c>
      <c r="H880" t="n">
        <v>0</v>
      </c>
      <c r="I880" t="n">
        <v>0</v>
      </c>
      <c r="J880" t="n">
        <v>0</v>
      </c>
      <c r="K880" t="n">
        <v>0</v>
      </c>
      <c r="L880" t="n">
        <v>0</v>
      </c>
      <c r="M880" t="n">
        <v>0</v>
      </c>
      <c r="N880" t="n">
        <v>0</v>
      </c>
      <c r="O880" t="n">
        <v>0</v>
      </c>
      <c r="P880" t="n">
        <v>0</v>
      </c>
      <c r="Q880" t="n">
        <v>0</v>
      </c>
      <c r="R880" s="2" t="inlineStr"/>
    </row>
    <row r="881" ht="15" customHeight="1">
      <c r="A881" t="inlineStr">
        <is>
          <t>A 27448-2024</t>
        </is>
      </c>
      <c r="B881" s="1" t="n">
        <v>45474</v>
      </c>
      <c r="C881" s="1" t="n">
        <v>45827</v>
      </c>
      <c r="D881" t="inlineStr">
        <is>
          <t>NORRBOTTENS LÄN</t>
        </is>
      </c>
      <c r="E881" t="inlineStr">
        <is>
          <t>PAJALA</t>
        </is>
      </c>
      <c r="G881" t="n">
        <v>4.7</v>
      </c>
      <c r="H881" t="n">
        <v>0</v>
      </c>
      <c r="I881" t="n">
        <v>0</v>
      </c>
      <c r="J881" t="n">
        <v>0</v>
      </c>
      <c r="K881" t="n">
        <v>0</v>
      </c>
      <c r="L881" t="n">
        <v>0</v>
      </c>
      <c r="M881" t="n">
        <v>0</v>
      </c>
      <c r="N881" t="n">
        <v>0</v>
      </c>
      <c r="O881" t="n">
        <v>0</v>
      </c>
      <c r="P881" t="n">
        <v>0</v>
      </c>
      <c r="Q881" t="n">
        <v>0</v>
      </c>
      <c r="R881" s="2" t="inlineStr"/>
    </row>
    <row r="882" ht="15" customHeight="1">
      <c r="A882" t="inlineStr">
        <is>
          <t>A 27625-2024</t>
        </is>
      </c>
      <c r="B882" s="1" t="n">
        <v>45475</v>
      </c>
      <c r="C882" s="1" t="n">
        <v>45827</v>
      </c>
      <c r="D882" t="inlineStr">
        <is>
          <t>NORRBOTTENS LÄN</t>
        </is>
      </c>
      <c r="E882" t="inlineStr">
        <is>
          <t>PAJALA</t>
        </is>
      </c>
      <c r="G882" t="n">
        <v>1.1</v>
      </c>
      <c r="H882" t="n">
        <v>0</v>
      </c>
      <c r="I882" t="n">
        <v>0</v>
      </c>
      <c r="J882" t="n">
        <v>0</v>
      </c>
      <c r="K882" t="n">
        <v>0</v>
      </c>
      <c r="L882" t="n">
        <v>0</v>
      </c>
      <c r="M882" t="n">
        <v>0</v>
      </c>
      <c r="N882" t="n">
        <v>0</v>
      </c>
      <c r="O882" t="n">
        <v>0</v>
      </c>
      <c r="P882" t="n">
        <v>0</v>
      </c>
      <c r="Q882" t="n">
        <v>0</v>
      </c>
      <c r="R882" s="2" t="inlineStr"/>
    </row>
    <row r="883" ht="15" customHeight="1">
      <c r="A883" t="inlineStr">
        <is>
          <t>A 27770-2024</t>
        </is>
      </c>
      <c r="B883" s="1" t="n">
        <v>45475</v>
      </c>
      <c r="C883" s="1" t="n">
        <v>45827</v>
      </c>
      <c r="D883" t="inlineStr">
        <is>
          <t>NORRBOTTENS LÄN</t>
        </is>
      </c>
      <c r="E883" t="inlineStr">
        <is>
          <t>PAJALA</t>
        </is>
      </c>
      <c r="G883" t="n">
        <v>15.3</v>
      </c>
      <c r="H883" t="n">
        <v>0</v>
      </c>
      <c r="I883" t="n">
        <v>0</v>
      </c>
      <c r="J883" t="n">
        <v>0</v>
      </c>
      <c r="K883" t="n">
        <v>0</v>
      </c>
      <c r="L883" t="n">
        <v>0</v>
      </c>
      <c r="M883" t="n">
        <v>0</v>
      </c>
      <c r="N883" t="n">
        <v>0</v>
      </c>
      <c r="O883" t="n">
        <v>0</v>
      </c>
      <c r="P883" t="n">
        <v>0</v>
      </c>
      <c r="Q883" t="n">
        <v>0</v>
      </c>
      <c r="R883" s="2" t="inlineStr"/>
    </row>
    <row r="884" ht="15" customHeight="1">
      <c r="A884" t="inlineStr">
        <is>
          <t>A 27776-2024</t>
        </is>
      </c>
      <c r="B884" s="1" t="n">
        <v>45475</v>
      </c>
      <c r="C884" s="1" t="n">
        <v>45827</v>
      </c>
      <c r="D884" t="inlineStr">
        <is>
          <t>NORRBOTTENS LÄN</t>
        </is>
      </c>
      <c r="E884" t="inlineStr">
        <is>
          <t>PAJALA</t>
        </is>
      </c>
      <c r="G884" t="n">
        <v>20.5</v>
      </c>
      <c r="H884" t="n">
        <v>0</v>
      </c>
      <c r="I884" t="n">
        <v>0</v>
      </c>
      <c r="J884" t="n">
        <v>0</v>
      </c>
      <c r="K884" t="n">
        <v>0</v>
      </c>
      <c r="L884" t="n">
        <v>0</v>
      </c>
      <c r="M884" t="n">
        <v>0</v>
      </c>
      <c r="N884" t="n">
        <v>0</v>
      </c>
      <c r="O884" t="n">
        <v>0</v>
      </c>
      <c r="P884" t="n">
        <v>0</v>
      </c>
      <c r="Q884" t="n">
        <v>0</v>
      </c>
      <c r="R884" s="2" t="inlineStr"/>
    </row>
    <row r="885" ht="15" customHeight="1">
      <c r="A885" t="inlineStr">
        <is>
          <t>A 27777-2024</t>
        </is>
      </c>
      <c r="B885" s="1" t="n">
        <v>45475</v>
      </c>
      <c r="C885" s="1" t="n">
        <v>45827</v>
      </c>
      <c r="D885" t="inlineStr">
        <is>
          <t>NORRBOTTENS LÄN</t>
        </is>
      </c>
      <c r="E885" t="inlineStr">
        <is>
          <t>PAJALA</t>
        </is>
      </c>
      <c r="G885" t="n">
        <v>5.4</v>
      </c>
      <c r="H885" t="n">
        <v>0</v>
      </c>
      <c r="I885" t="n">
        <v>0</v>
      </c>
      <c r="J885" t="n">
        <v>0</v>
      </c>
      <c r="K885" t="n">
        <v>0</v>
      </c>
      <c r="L885" t="n">
        <v>0</v>
      </c>
      <c r="M885" t="n">
        <v>0</v>
      </c>
      <c r="N885" t="n">
        <v>0</v>
      </c>
      <c r="O885" t="n">
        <v>0</v>
      </c>
      <c r="P885" t="n">
        <v>0</v>
      </c>
      <c r="Q885" t="n">
        <v>0</v>
      </c>
      <c r="R885" s="2" t="inlineStr"/>
    </row>
    <row r="886" ht="15" customHeight="1">
      <c r="A886" t="inlineStr">
        <is>
          <t>A 27767-2024</t>
        </is>
      </c>
      <c r="B886" s="1" t="n">
        <v>45475</v>
      </c>
      <c r="C886" s="1" t="n">
        <v>45827</v>
      </c>
      <c r="D886" t="inlineStr">
        <is>
          <t>NORRBOTTENS LÄN</t>
        </is>
      </c>
      <c r="E886" t="inlineStr">
        <is>
          <t>PAJALA</t>
        </is>
      </c>
      <c r="G886" t="n">
        <v>13.4</v>
      </c>
      <c r="H886" t="n">
        <v>0</v>
      </c>
      <c r="I886" t="n">
        <v>0</v>
      </c>
      <c r="J886" t="n">
        <v>0</v>
      </c>
      <c r="K886" t="n">
        <v>0</v>
      </c>
      <c r="L886" t="n">
        <v>0</v>
      </c>
      <c r="M886" t="n">
        <v>0</v>
      </c>
      <c r="N886" t="n">
        <v>0</v>
      </c>
      <c r="O886" t="n">
        <v>0</v>
      </c>
      <c r="P886" t="n">
        <v>0</v>
      </c>
      <c r="Q886" t="n">
        <v>0</v>
      </c>
      <c r="R886" s="2" t="inlineStr"/>
    </row>
    <row r="887" ht="15" customHeight="1">
      <c r="A887" t="inlineStr">
        <is>
          <t>A 28007-2024</t>
        </is>
      </c>
      <c r="B887" s="1" t="n">
        <v>45476</v>
      </c>
      <c r="C887" s="1" t="n">
        <v>45827</v>
      </c>
      <c r="D887" t="inlineStr">
        <is>
          <t>NORRBOTTENS LÄN</t>
        </is>
      </c>
      <c r="E887" t="inlineStr">
        <is>
          <t>PAJALA</t>
        </is>
      </c>
      <c r="G887" t="n">
        <v>16.5</v>
      </c>
      <c r="H887" t="n">
        <v>0</v>
      </c>
      <c r="I887" t="n">
        <v>0</v>
      </c>
      <c r="J887" t="n">
        <v>0</v>
      </c>
      <c r="K887" t="n">
        <v>0</v>
      </c>
      <c r="L887" t="n">
        <v>0</v>
      </c>
      <c r="M887" t="n">
        <v>0</v>
      </c>
      <c r="N887" t="n">
        <v>0</v>
      </c>
      <c r="O887" t="n">
        <v>0</v>
      </c>
      <c r="P887" t="n">
        <v>0</v>
      </c>
      <c r="Q887" t="n">
        <v>0</v>
      </c>
      <c r="R887" s="2" t="inlineStr"/>
    </row>
    <row r="888" ht="15" customHeight="1">
      <c r="A888" t="inlineStr">
        <is>
          <t>A 28452-2024</t>
        </is>
      </c>
      <c r="B888" s="1" t="n">
        <v>45477</v>
      </c>
      <c r="C888" s="1" t="n">
        <v>45827</v>
      </c>
      <c r="D888" t="inlineStr">
        <is>
          <t>NORRBOTTENS LÄN</t>
        </is>
      </c>
      <c r="E888" t="inlineStr">
        <is>
          <t>PAJALA</t>
        </is>
      </c>
      <c r="G888" t="n">
        <v>25.2</v>
      </c>
      <c r="H888" t="n">
        <v>0</v>
      </c>
      <c r="I888" t="n">
        <v>0</v>
      </c>
      <c r="J888" t="n">
        <v>0</v>
      </c>
      <c r="K888" t="n">
        <v>0</v>
      </c>
      <c r="L888" t="n">
        <v>0</v>
      </c>
      <c r="M888" t="n">
        <v>0</v>
      </c>
      <c r="N888" t="n">
        <v>0</v>
      </c>
      <c r="O888" t="n">
        <v>0</v>
      </c>
      <c r="P888" t="n">
        <v>0</v>
      </c>
      <c r="Q888" t="n">
        <v>0</v>
      </c>
      <c r="R888" s="2" t="inlineStr"/>
    </row>
    <row r="889" ht="15" customHeight="1">
      <c r="A889" t="inlineStr">
        <is>
          <t>A 28440-2024</t>
        </is>
      </c>
      <c r="B889" s="1" t="n">
        <v>45477</v>
      </c>
      <c r="C889" s="1" t="n">
        <v>45827</v>
      </c>
      <c r="D889" t="inlineStr">
        <is>
          <t>NORRBOTTENS LÄN</t>
        </is>
      </c>
      <c r="E889" t="inlineStr">
        <is>
          <t>PAJALA</t>
        </is>
      </c>
      <c r="G889" t="n">
        <v>2</v>
      </c>
      <c r="H889" t="n">
        <v>0</v>
      </c>
      <c r="I889" t="n">
        <v>0</v>
      </c>
      <c r="J889" t="n">
        <v>0</v>
      </c>
      <c r="K889" t="n">
        <v>0</v>
      </c>
      <c r="L889" t="n">
        <v>0</v>
      </c>
      <c r="M889" t="n">
        <v>0</v>
      </c>
      <c r="N889" t="n">
        <v>0</v>
      </c>
      <c r="O889" t="n">
        <v>0</v>
      </c>
      <c r="P889" t="n">
        <v>0</v>
      </c>
      <c r="Q889" t="n">
        <v>0</v>
      </c>
      <c r="R889" s="2" t="inlineStr"/>
    </row>
    <row r="890" ht="15" customHeight="1">
      <c r="A890" t="inlineStr">
        <is>
          <t>A 28387-2024</t>
        </is>
      </c>
      <c r="B890" s="1" t="n">
        <v>45477</v>
      </c>
      <c r="C890" s="1" t="n">
        <v>45827</v>
      </c>
      <c r="D890" t="inlineStr">
        <is>
          <t>NORRBOTTENS LÄN</t>
        </is>
      </c>
      <c r="E890" t="inlineStr">
        <is>
          <t>PAJALA</t>
        </is>
      </c>
      <c r="G890" t="n">
        <v>1.2</v>
      </c>
      <c r="H890" t="n">
        <v>0</v>
      </c>
      <c r="I890" t="n">
        <v>0</v>
      </c>
      <c r="J890" t="n">
        <v>0</v>
      </c>
      <c r="K890" t="n">
        <v>0</v>
      </c>
      <c r="L890" t="n">
        <v>0</v>
      </c>
      <c r="M890" t="n">
        <v>0</v>
      </c>
      <c r="N890" t="n">
        <v>0</v>
      </c>
      <c r="O890" t="n">
        <v>0</v>
      </c>
      <c r="P890" t="n">
        <v>0</v>
      </c>
      <c r="Q890" t="n">
        <v>0</v>
      </c>
      <c r="R890" s="2" t="inlineStr"/>
    </row>
    <row r="891" ht="15" customHeight="1">
      <c r="A891" t="inlineStr">
        <is>
          <t>A 28405-2024</t>
        </is>
      </c>
      <c r="B891" s="1" t="n">
        <v>45477</v>
      </c>
      <c r="C891" s="1" t="n">
        <v>45827</v>
      </c>
      <c r="D891" t="inlineStr">
        <is>
          <t>NORRBOTTENS LÄN</t>
        </is>
      </c>
      <c r="E891" t="inlineStr">
        <is>
          <t>PAJALA</t>
        </is>
      </c>
      <c r="G891" t="n">
        <v>5</v>
      </c>
      <c r="H891" t="n">
        <v>0</v>
      </c>
      <c r="I891" t="n">
        <v>0</v>
      </c>
      <c r="J891" t="n">
        <v>0</v>
      </c>
      <c r="K891" t="n">
        <v>0</v>
      </c>
      <c r="L891" t="n">
        <v>0</v>
      </c>
      <c r="M891" t="n">
        <v>0</v>
      </c>
      <c r="N891" t="n">
        <v>0</v>
      </c>
      <c r="O891" t="n">
        <v>0</v>
      </c>
      <c r="P891" t="n">
        <v>0</v>
      </c>
      <c r="Q891" t="n">
        <v>0</v>
      </c>
      <c r="R891" s="2" t="inlineStr"/>
    </row>
    <row r="892" ht="15" customHeight="1">
      <c r="A892" t="inlineStr">
        <is>
          <t>A 28447-2024</t>
        </is>
      </c>
      <c r="B892" s="1" t="n">
        <v>45477</v>
      </c>
      <c r="C892" s="1" t="n">
        <v>45827</v>
      </c>
      <c r="D892" t="inlineStr">
        <is>
          <t>NORRBOTTENS LÄN</t>
        </is>
      </c>
      <c r="E892" t="inlineStr">
        <is>
          <t>PAJALA</t>
        </is>
      </c>
      <c r="G892" t="n">
        <v>23.6</v>
      </c>
      <c r="H892" t="n">
        <v>0</v>
      </c>
      <c r="I892" t="n">
        <v>0</v>
      </c>
      <c r="J892" t="n">
        <v>0</v>
      </c>
      <c r="K892" t="n">
        <v>0</v>
      </c>
      <c r="L892" t="n">
        <v>0</v>
      </c>
      <c r="M892" t="n">
        <v>0</v>
      </c>
      <c r="N892" t="n">
        <v>0</v>
      </c>
      <c r="O892" t="n">
        <v>0</v>
      </c>
      <c r="P892" t="n">
        <v>0</v>
      </c>
      <c r="Q892" t="n">
        <v>0</v>
      </c>
      <c r="R892" s="2" t="inlineStr"/>
    </row>
    <row r="893" ht="15" customHeight="1">
      <c r="A893" t="inlineStr">
        <is>
          <t>A 28434-2024</t>
        </is>
      </c>
      <c r="B893" s="1" t="n">
        <v>45477</v>
      </c>
      <c r="C893" s="1" t="n">
        <v>45827</v>
      </c>
      <c r="D893" t="inlineStr">
        <is>
          <t>NORRBOTTENS LÄN</t>
        </is>
      </c>
      <c r="E893" t="inlineStr">
        <is>
          <t>PAJALA</t>
        </is>
      </c>
      <c r="G893" t="n">
        <v>0.9</v>
      </c>
      <c r="H893" t="n">
        <v>0</v>
      </c>
      <c r="I893" t="n">
        <v>0</v>
      </c>
      <c r="J893" t="n">
        <v>0</v>
      </c>
      <c r="K893" t="n">
        <v>0</v>
      </c>
      <c r="L893" t="n">
        <v>0</v>
      </c>
      <c r="M893" t="n">
        <v>0</v>
      </c>
      <c r="N893" t="n">
        <v>0</v>
      </c>
      <c r="O893" t="n">
        <v>0</v>
      </c>
      <c r="P893" t="n">
        <v>0</v>
      </c>
      <c r="Q893" t="n">
        <v>0</v>
      </c>
      <c r="R893" s="2" t="inlineStr"/>
    </row>
    <row r="894" ht="15" customHeight="1">
      <c r="A894" t="inlineStr">
        <is>
          <t>A 29078-2024</t>
        </is>
      </c>
      <c r="B894" s="1" t="n">
        <v>45481</v>
      </c>
      <c r="C894" s="1" t="n">
        <v>45827</v>
      </c>
      <c r="D894" t="inlineStr">
        <is>
          <t>NORRBOTTENS LÄN</t>
        </is>
      </c>
      <c r="E894" t="inlineStr">
        <is>
          <t>PAJALA</t>
        </is>
      </c>
      <c r="G894" t="n">
        <v>21.3</v>
      </c>
      <c r="H894" t="n">
        <v>0</v>
      </c>
      <c r="I894" t="n">
        <v>0</v>
      </c>
      <c r="J894" t="n">
        <v>0</v>
      </c>
      <c r="K894" t="n">
        <v>0</v>
      </c>
      <c r="L894" t="n">
        <v>0</v>
      </c>
      <c r="M894" t="n">
        <v>0</v>
      </c>
      <c r="N894" t="n">
        <v>0</v>
      </c>
      <c r="O894" t="n">
        <v>0</v>
      </c>
      <c r="P894" t="n">
        <v>0</v>
      </c>
      <c r="Q894" t="n">
        <v>0</v>
      </c>
      <c r="R894" s="2" t="inlineStr"/>
    </row>
    <row r="895" ht="15" customHeight="1">
      <c r="A895" t="inlineStr">
        <is>
          <t>A 29238-2024</t>
        </is>
      </c>
      <c r="B895" s="1" t="n">
        <v>45483</v>
      </c>
      <c r="C895" s="1" t="n">
        <v>45827</v>
      </c>
      <c r="D895" t="inlineStr">
        <is>
          <t>NORRBOTTENS LÄN</t>
        </is>
      </c>
      <c r="E895" t="inlineStr">
        <is>
          <t>PAJALA</t>
        </is>
      </c>
      <c r="G895" t="n">
        <v>1.9</v>
      </c>
      <c r="H895" t="n">
        <v>0</v>
      </c>
      <c r="I895" t="n">
        <v>0</v>
      </c>
      <c r="J895" t="n">
        <v>0</v>
      </c>
      <c r="K895" t="n">
        <v>0</v>
      </c>
      <c r="L895" t="n">
        <v>0</v>
      </c>
      <c r="M895" t="n">
        <v>0</v>
      </c>
      <c r="N895" t="n">
        <v>0</v>
      </c>
      <c r="O895" t="n">
        <v>0</v>
      </c>
      <c r="P895" t="n">
        <v>0</v>
      </c>
      <c r="Q895" t="n">
        <v>0</v>
      </c>
      <c r="R895" s="2" t="inlineStr"/>
    </row>
    <row r="896" ht="15" customHeight="1">
      <c r="A896" t="inlineStr">
        <is>
          <t>A 29604-2024</t>
        </is>
      </c>
      <c r="B896" s="1" t="n">
        <v>45484</v>
      </c>
      <c r="C896" s="1" t="n">
        <v>45827</v>
      </c>
      <c r="D896" t="inlineStr">
        <is>
          <t>NORRBOTTENS LÄN</t>
        </is>
      </c>
      <c r="E896" t="inlineStr">
        <is>
          <t>PAJALA</t>
        </is>
      </c>
      <c r="G896" t="n">
        <v>6.6</v>
      </c>
      <c r="H896" t="n">
        <v>0</v>
      </c>
      <c r="I896" t="n">
        <v>0</v>
      </c>
      <c r="J896" t="n">
        <v>0</v>
      </c>
      <c r="K896" t="n">
        <v>0</v>
      </c>
      <c r="L896" t="n">
        <v>0</v>
      </c>
      <c r="M896" t="n">
        <v>0</v>
      </c>
      <c r="N896" t="n">
        <v>0</v>
      </c>
      <c r="O896" t="n">
        <v>0</v>
      </c>
      <c r="P896" t="n">
        <v>0</v>
      </c>
      <c r="Q896" t="n">
        <v>0</v>
      </c>
      <c r="R896" s="2" t="inlineStr"/>
    </row>
    <row r="897" ht="15" customHeight="1">
      <c r="A897" t="inlineStr">
        <is>
          <t>A 29551-2024</t>
        </is>
      </c>
      <c r="B897" s="1" t="n">
        <v>45484</v>
      </c>
      <c r="C897" s="1" t="n">
        <v>45827</v>
      </c>
      <c r="D897" t="inlineStr">
        <is>
          <t>NORRBOTTENS LÄN</t>
        </is>
      </c>
      <c r="E897" t="inlineStr">
        <is>
          <t>PAJALA</t>
        </is>
      </c>
      <c r="F897" t="inlineStr">
        <is>
          <t>Sveaskog</t>
        </is>
      </c>
      <c r="G897" t="n">
        <v>9.9</v>
      </c>
      <c r="H897" t="n">
        <v>0</v>
      </c>
      <c r="I897" t="n">
        <v>0</v>
      </c>
      <c r="J897" t="n">
        <v>0</v>
      </c>
      <c r="K897" t="n">
        <v>0</v>
      </c>
      <c r="L897" t="n">
        <v>0</v>
      </c>
      <c r="M897" t="n">
        <v>0</v>
      </c>
      <c r="N897" t="n">
        <v>0</v>
      </c>
      <c r="O897" t="n">
        <v>0</v>
      </c>
      <c r="P897" t="n">
        <v>0</v>
      </c>
      <c r="Q897" t="n">
        <v>0</v>
      </c>
      <c r="R897" s="2" t="inlineStr"/>
    </row>
    <row r="898" ht="15" customHeight="1">
      <c r="A898" t="inlineStr">
        <is>
          <t>A 29542-2024</t>
        </is>
      </c>
      <c r="B898" s="1" t="n">
        <v>45484</v>
      </c>
      <c r="C898" s="1" t="n">
        <v>45827</v>
      </c>
      <c r="D898" t="inlineStr">
        <is>
          <t>NORRBOTTENS LÄN</t>
        </is>
      </c>
      <c r="E898" t="inlineStr">
        <is>
          <t>PAJALA</t>
        </is>
      </c>
      <c r="G898" t="n">
        <v>10.4</v>
      </c>
      <c r="H898" t="n">
        <v>0</v>
      </c>
      <c r="I898" t="n">
        <v>0</v>
      </c>
      <c r="J898" t="n">
        <v>0</v>
      </c>
      <c r="K898" t="n">
        <v>0</v>
      </c>
      <c r="L898" t="n">
        <v>0</v>
      </c>
      <c r="M898" t="n">
        <v>0</v>
      </c>
      <c r="N898" t="n">
        <v>0</v>
      </c>
      <c r="O898" t="n">
        <v>0</v>
      </c>
      <c r="P898" t="n">
        <v>0</v>
      </c>
      <c r="Q898" t="n">
        <v>0</v>
      </c>
      <c r="R898" s="2" t="inlineStr"/>
    </row>
    <row r="899" ht="15" customHeight="1">
      <c r="A899" t="inlineStr">
        <is>
          <t>A 29814-2024</t>
        </is>
      </c>
      <c r="B899" s="1" t="n">
        <v>45485</v>
      </c>
      <c r="C899" s="1" t="n">
        <v>45827</v>
      </c>
      <c r="D899" t="inlineStr">
        <is>
          <t>NORRBOTTENS LÄN</t>
        </is>
      </c>
      <c r="E899" t="inlineStr">
        <is>
          <t>PAJALA</t>
        </is>
      </c>
      <c r="F899" t="inlineStr">
        <is>
          <t>Sveaskog</t>
        </is>
      </c>
      <c r="G899" t="n">
        <v>4.6</v>
      </c>
      <c r="H899" t="n">
        <v>0</v>
      </c>
      <c r="I899" t="n">
        <v>0</v>
      </c>
      <c r="J899" t="n">
        <v>0</v>
      </c>
      <c r="K899" t="n">
        <v>0</v>
      </c>
      <c r="L899" t="n">
        <v>0</v>
      </c>
      <c r="M899" t="n">
        <v>0</v>
      </c>
      <c r="N899" t="n">
        <v>0</v>
      </c>
      <c r="O899" t="n">
        <v>0</v>
      </c>
      <c r="P899" t="n">
        <v>0</v>
      </c>
      <c r="Q899" t="n">
        <v>0</v>
      </c>
      <c r="R899" s="2" t="inlineStr"/>
    </row>
    <row r="900" ht="15" customHeight="1">
      <c r="A900" t="inlineStr">
        <is>
          <t>A 29804-2024</t>
        </is>
      </c>
      <c r="B900" s="1" t="n">
        <v>45485</v>
      </c>
      <c r="C900" s="1" t="n">
        <v>45827</v>
      </c>
      <c r="D900" t="inlineStr">
        <is>
          <t>NORRBOTTENS LÄN</t>
        </is>
      </c>
      <c r="E900" t="inlineStr">
        <is>
          <t>PAJALA</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29805-2024</t>
        </is>
      </c>
      <c r="B901" s="1" t="n">
        <v>45485</v>
      </c>
      <c r="C901" s="1" t="n">
        <v>45827</v>
      </c>
      <c r="D901" t="inlineStr">
        <is>
          <t>NORRBOTTENS LÄN</t>
        </is>
      </c>
      <c r="E901" t="inlineStr">
        <is>
          <t>PAJALA</t>
        </is>
      </c>
      <c r="F901" t="inlineStr">
        <is>
          <t>Sveaskog</t>
        </is>
      </c>
      <c r="G901" t="n">
        <v>14.8</v>
      </c>
      <c r="H901" t="n">
        <v>0</v>
      </c>
      <c r="I901" t="n">
        <v>0</v>
      </c>
      <c r="J901" t="n">
        <v>0</v>
      </c>
      <c r="K901" t="n">
        <v>0</v>
      </c>
      <c r="L901" t="n">
        <v>0</v>
      </c>
      <c r="M901" t="n">
        <v>0</v>
      </c>
      <c r="N901" t="n">
        <v>0</v>
      </c>
      <c r="O901" t="n">
        <v>0</v>
      </c>
      <c r="P901" t="n">
        <v>0</v>
      </c>
      <c r="Q901" t="n">
        <v>0</v>
      </c>
      <c r="R901" s="2" t="inlineStr"/>
    </row>
    <row r="902" ht="15" customHeight="1">
      <c r="A902" t="inlineStr">
        <is>
          <t>A 29809-2024</t>
        </is>
      </c>
      <c r="B902" s="1" t="n">
        <v>45485</v>
      </c>
      <c r="C902" s="1" t="n">
        <v>45827</v>
      </c>
      <c r="D902" t="inlineStr">
        <is>
          <t>NORRBOTTENS LÄN</t>
        </is>
      </c>
      <c r="E902" t="inlineStr">
        <is>
          <t>PAJALA</t>
        </is>
      </c>
      <c r="F902" t="inlineStr">
        <is>
          <t>Sveaskog</t>
        </is>
      </c>
      <c r="G902" t="n">
        <v>9.4</v>
      </c>
      <c r="H902" t="n">
        <v>0</v>
      </c>
      <c r="I902" t="n">
        <v>0</v>
      </c>
      <c r="J902" t="n">
        <v>0</v>
      </c>
      <c r="K902" t="n">
        <v>0</v>
      </c>
      <c r="L902" t="n">
        <v>0</v>
      </c>
      <c r="M902" t="n">
        <v>0</v>
      </c>
      <c r="N902" t="n">
        <v>0</v>
      </c>
      <c r="O902" t="n">
        <v>0</v>
      </c>
      <c r="P902" t="n">
        <v>0</v>
      </c>
      <c r="Q902" t="n">
        <v>0</v>
      </c>
      <c r="R902" s="2" t="inlineStr"/>
    </row>
    <row r="903" ht="15" customHeight="1">
      <c r="A903" t="inlineStr">
        <is>
          <t>A 29817-2024</t>
        </is>
      </c>
      <c r="B903" s="1" t="n">
        <v>45485</v>
      </c>
      <c r="C903" s="1" t="n">
        <v>45827</v>
      </c>
      <c r="D903" t="inlineStr">
        <is>
          <t>NORRBOTTENS LÄN</t>
        </is>
      </c>
      <c r="E903" t="inlineStr">
        <is>
          <t>PAJALA</t>
        </is>
      </c>
      <c r="F903" t="inlineStr">
        <is>
          <t>Sveaskog</t>
        </is>
      </c>
      <c r="G903" t="n">
        <v>25.7</v>
      </c>
      <c r="H903" t="n">
        <v>0</v>
      </c>
      <c r="I903" t="n">
        <v>0</v>
      </c>
      <c r="J903" t="n">
        <v>0</v>
      </c>
      <c r="K903" t="n">
        <v>0</v>
      </c>
      <c r="L903" t="n">
        <v>0</v>
      </c>
      <c r="M903" t="n">
        <v>0</v>
      </c>
      <c r="N903" t="n">
        <v>0</v>
      </c>
      <c r="O903" t="n">
        <v>0</v>
      </c>
      <c r="P903" t="n">
        <v>0</v>
      </c>
      <c r="Q903" t="n">
        <v>0</v>
      </c>
      <c r="R903" s="2" t="inlineStr"/>
    </row>
    <row r="904" ht="15" customHeight="1">
      <c r="A904" t="inlineStr">
        <is>
          <t>A 29878-2024</t>
        </is>
      </c>
      <c r="B904" s="1" t="n">
        <v>45486</v>
      </c>
      <c r="C904" s="1" t="n">
        <v>45827</v>
      </c>
      <c r="D904" t="inlineStr">
        <is>
          <t>NORRBOTTENS LÄN</t>
        </is>
      </c>
      <c r="E904" t="inlineStr">
        <is>
          <t>PAJALA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29924-2024</t>
        </is>
      </c>
      <c r="B905" s="1" t="n">
        <v>45488</v>
      </c>
      <c r="C905" s="1" t="n">
        <v>45827</v>
      </c>
      <c r="D905" t="inlineStr">
        <is>
          <t>NORRBOTTENS LÄN</t>
        </is>
      </c>
      <c r="E905" t="inlineStr">
        <is>
          <t>PAJALA</t>
        </is>
      </c>
      <c r="F905" t="inlineStr">
        <is>
          <t>Sveaskog</t>
        </is>
      </c>
      <c r="G905" t="n">
        <v>12.4</v>
      </c>
      <c r="H905" t="n">
        <v>0</v>
      </c>
      <c r="I905" t="n">
        <v>0</v>
      </c>
      <c r="J905" t="n">
        <v>0</v>
      </c>
      <c r="K905" t="n">
        <v>0</v>
      </c>
      <c r="L905" t="n">
        <v>0</v>
      </c>
      <c r="M905" t="n">
        <v>0</v>
      </c>
      <c r="N905" t="n">
        <v>0</v>
      </c>
      <c r="O905" t="n">
        <v>0</v>
      </c>
      <c r="P905" t="n">
        <v>0</v>
      </c>
      <c r="Q905" t="n">
        <v>0</v>
      </c>
      <c r="R905" s="2" t="inlineStr"/>
    </row>
    <row r="906" ht="15" customHeight="1">
      <c r="A906" t="inlineStr">
        <is>
          <t>A 29992-2024</t>
        </is>
      </c>
      <c r="B906" s="1" t="n">
        <v>45488</v>
      </c>
      <c r="C906" s="1" t="n">
        <v>45827</v>
      </c>
      <c r="D906" t="inlineStr">
        <is>
          <t>NORRBOTTENS LÄN</t>
        </is>
      </c>
      <c r="E906" t="inlineStr">
        <is>
          <t>PAJALA</t>
        </is>
      </c>
      <c r="F906" t="inlineStr">
        <is>
          <t>Sveaskog</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30355-2024</t>
        </is>
      </c>
      <c r="B907" s="1" t="n">
        <v>45491</v>
      </c>
      <c r="C907" s="1" t="n">
        <v>45827</v>
      </c>
      <c r="D907" t="inlineStr">
        <is>
          <t>NORRBOTTENS LÄN</t>
        </is>
      </c>
      <c r="E907" t="inlineStr">
        <is>
          <t>PAJALA</t>
        </is>
      </c>
      <c r="G907" t="n">
        <v>24.6</v>
      </c>
      <c r="H907" t="n">
        <v>0</v>
      </c>
      <c r="I907" t="n">
        <v>0</v>
      </c>
      <c r="J907" t="n">
        <v>0</v>
      </c>
      <c r="K907" t="n">
        <v>0</v>
      </c>
      <c r="L907" t="n">
        <v>0</v>
      </c>
      <c r="M907" t="n">
        <v>0</v>
      </c>
      <c r="N907" t="n">
        <v>0</v>
      </c>
      <c r="O907" t="n">
        <v>0</v>
      </c>
      <c r="P907" t="n">
        <v>0</v>
      </c>
      <c r="Q907" t="n">
        <v>0</v>
      </c>
      <c r="R907" s="2" t="inlineStr"/>
    </row>
    <row r="908" ht="15" customHeight="1">
      <c r="A908" t="inlineStr">
        <is>
          <t>A 30409-2024</t>
        </is>
      </c>
      <c r="B908" s="1" t="n">
        <v>45491</v>
      </c>
      <c r="C908" s="1" t="n">
        <v>45827</v>
      </c>
      <c r="D908" t="inlineStr">
        <is>
          <t>NORRBOTTENS LÄN</t>
        </is>
      </c>
      <c r="E908" t="inlineStr">
        <is>
          <t>PAJALA</t>
        </is>
      </c>
      <c r="G908" t="n">
        <v>8.1</v>
      </c>
      <c r="H908" t="n">
        <v>0</v>
      </c>
      <c r="I908" t="n">
        <v>0</v>
      </c>
      <c r="J908" t="n">
        <v>0</v>
      </c>
      <c r="K908" t="n">
        <v>0</v>
      </c>
      <c r="L908" t="n">
        <v>0</v>
      </c>
      <c r="M908" t="n">
        <v>0</v>
      </c>
      <c r="N908" t="n">
        <v>0</v>
      </c>
      <c r="O908" t="n">
        <v>0</v>
      </c>
      <c r="P908" t="n">
        <v>0</v>
      </c>
      <c r="Q908" t="n">
        <v>0</v>
      </c>
      <c r="R908" s="2" t="inlineStr"/>
    </row>
    <row r="909" ht="15" customHeight="1">
      <c r="A909" t="inlineStr">
        <is>
          <t>A 30413-2024</t>
        </is>
      </c>
      <c r="B909" s="1" t="n">
        <v>45491</v>
      </c>
      <c r="C909" s="1" t="n">
        <v>45827</v>
      </c>
      <c r="D909" t="inlineStr">
        <is>
          <t>NORRBOTTENS LÄN</t>
        </is>
      </c>
      <c r="E909" t="inlineStr">
        <is>
          <t>PAJALA</t>
        </is>
      </c>
      <c r="G909" t="n">
        <v>11</v>
      </c>
      <c r="H909" t="n">
        <v>0</v>
      </c>
      <c r="I909" t="n">
        <v>0</v>
      </c>
      <c r="J909" t="n">
        <v>0</v>
      </c>
      <c r="K909" t="n">
        <v>0</v>
      </c>
      <c r="L909" t="n">
        <v>0</v>
      </c>
      <c r="M909" t="n">
        <v>0</v>
      </c>
      <c r="N909" t="n">
        <v>0</v>
      </c>
      <c r="O909" t="n">
        <v>0</v>
      </c>
      <c r="P909" t="n">
        <v>0</v>
      </c>
      <c r="Q909" t="n">
        <v>0</v>
      </c>
      <c r="R909" s="2" t="inlineStr"/>
    </row>
    <row r="910" ht="15" customHeight="1">
      <c r="A910" t="inlineStr">
        <is>
          <t>A 30416-2024</t>
        </is>
      </c>
      <c r="B910" s="1" t="n">
        <v>45491</v>
      </c>
      <c r="C910" s="1" t="n">
        <v>45827</v>
      </c>
      <c r="D910" t="inlineStr">
        <is>
          <t>NORRBOTTENS LÄN</t>
        </is>
      </c>
      <c r="E910" t="inlineStr">
        <is>
          <t>PAJALA</t>
        </is>
      </c>
      <c r="G910" t="n">
        <v>61.1</v>
      </c>
      <c r="H910" t="n">
        <v>0</v>
      </c>
      <c r="I910" t="n">
        <v>0</v>
      </c>
      <c r="J910" t="n">
        <v>0</v>
      </c>
      <c r="K910" t="n">
        <v>0</v>
      </c>
      <c r="L910" t="n">
        <v>0</v>
      </c>
      <c r="M910" t="n">
        <v>0</v>
      </c>
      <c r="N910" t="n">
        <v>0</v>
      </c>
      <c r="O910" t="n">
        <v>0</v>
      </c>
      <c r="P910" t="n">
        <v>0</v>
      </c>
      <c r="Q910" t="n">
        <v>0</v>
      </c>
      <c r="R910" s="2" t="inlineStr"/>
    </row>
    <row r="911" ht="15" customHeight="1">
      <c r="A911" t="inlineStr">
        <is>
          <t>A 30866-2024</t>
        </is>
      </c>
      <c r="B911" s="1" t="n">
        <v>45497</v>
      </c>
      <c r="C911" s="1" t="n">
        <v>45827</v>
      </c>
      <c r="D911" t="inlineStr">
        <is>
          <t>NORRBOTTENS LÄN</t>
        </is>
      </c>
      <c r="E911" t="inlineStr">
        <is>
          <t>PAJALA</t>
        </is>
      </c>
      <c r="G911" t="n">
        <v>84.3</v>
      </c>
      <c r="H911" t="n">
        <v>0</v>
      </c>
      <c r="I911" t="n">
        <v>0</v>
      </c>
      <c r="J911" t="n">
        <v>0</v>
      </c>
      <c r="K911" t="n">
        <v>0</v>
      </c>
      <c r="L911" t="n">
        <v>0</v>
      </c>
      <c r="M911" t="n">
        <v>0</v>
      </c>
      <c r="N911" t="n">
        <v>0</v>
      </c>
      <c r="O911" t="n">
        <v>0</v>
      </c>
      <c r="P911" t="n">
        <v>0</v>
      </c>
      <c r="Q911" t="n">
        <v>0</v>
      </c>
      <c r="R911" s="2" t="inlineStr"/>
    </row>
    <row r="912" ht="15" customHeight="1">
      <c r="A912" t="inlineStr">
        <is>
          <t>A 30914-2024</t>
        </is>
      </c>
      <c r="B912" s="1" t="n">
        <v>45498</v>
      </c>
      <c r="C912" s="1" t="n">
        <v>45827</v>
      </c>
      <c r="D912" t="inlineStr">
        <is>
          <t>NORRBOTTENS LÄN</t>
        </is>
      </c>
      <c r="E912" t="inlineStr">
        <is>
          <t>PAJALA</t>
        </is>
      </c>
      <c r="G912" t="n">
        <v>0.3</v>
      </c>
      <c r="H912" t="n">
        <v>0</v>
      </c>
      <c r="I912" t="n">
        <v>0</v>
      </c>
      <c r="J912" t="n">
        <v>0</v>
      </c>
      <c r="K912" t="n">
        <v>0</v>
      </c>
      <c r="L912" t="n">
        <v>0</v>
      </c>
      <c r="M912" t="n">
        <v>0</v>
      </c>
      <c r="N912" t="n">
        <v>0</v>
      </c>
      <c r="O912" t="n">
        <v>0</v>
      </c>
      <c r="P912" t="n">
        <v>0</v>
      </c>
      <c r="Q912" t="n">
        <v>0</v>
      </c>
      <c r="R912" s="2" t="inlineStr"/>
    </row>
    <row r="913" ht="15" customHeight="1">
      <c r="A913" t="inlineStr">
        <is>
          <t>A 31097-2024</t>
        </is>
      </c>
      <c r="B913" s="1" t="n">
        <v>45502</v>
      </c>
      <c r="C913" s="1" t="n">
        <v>45827</v>
      </c>
      <c r="D913" t="inlineStr">
        <is>
          <t>NORRBOTTENS LÄN</t>
        </is>
      </c>
      <c r="E913" t="inlineStr">
        <is>
          <t>PAJALA</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c r="U913">
        <f>HYPERLINK("https://klasma.github.io/Logging_2521/knärot/A 31097-2024 karta knärot.png", "A 31097-2024")</f>
        <v/>
      </c>
      <c r="V913">
        <f>HYPERLINK("https://klasma.github.io/Logging_2521/klagomål/A 31097-2024 FSC-klagomål.docx", "A 31097-2024")</f>
        <v/>
      </c>
      <c r="W913">
        <f>HYPERLINK("https://klasma.github.io/Logging_2521/klagomålsmail/A 31097-2024 FSC-klagomål mail.docx", "A 31097-2024")</f>
        <v/>
      </c>
      <c r="X913">
        <f>HYPERLINK("https://klasma.github.io/Logging_2521/tillsyn/A 31097-2024 tillsynsbegäran.docx", "A 31097-2024")</f>
        <v/>
      </c>
      <c r="Y913">
        <f>HYPERLINK("https://klasma.github.io/Logging_2521/tillsynsmail/A 31097-2024 tillsynsbegäran mail.docx", "A 31097-2024")</f>
        <v/>
      </c>
    </row>
    <row r="914" ht="15" customHeight="1">
      <c r="A914" t="inlineStr">
        <is>
          <t>A 31316-2024</t>
        </is>
      </c>
      <c r="B914" s="1" t="n">
        <v>45504</v>
      </c>
      <c r="C914" s="1" t="n">
        <v>45827</v>
      </c>
      <c r="D914" t="inlineStr">
        <is>
          <t>NORRBOTTENS LÄN</t>
        </is>
      </c>
      <c r="E914" t="inlineStr">
        <is>
          <t>PAJALA</t>
        </is>
      </c>
      <c r="F914" t="inlineStr">
        <is>
          <t>Sveaskog</t>
        </is>
      </c>
      <c r="G914" t="n">
        <v>26.3</v>
      </c>
      <c r="H914" t="n">
        <v>0</v>
      </c>
      <c r="I914" t="n">
        <v>0</v>
      </c>
      <c r="J914" t="n">
        <v>0</v>
      </c>
      <c r="K914" t="n">
        <v>0</v>
      </c>
      <c r="L914" t="n">
        <v>0</v>
      </c>
      <c r="M914" t="n">
        <v>0</v>
      </c>
      <c r="N914" t="n">
        <v>0</v>
      </c>
      <c r="O914" t="n">
        <v>0</v>
      </c>
      <c r="P914" t="n">
        <v>0</v>
      </c>
      <c r="Q914" t="n">
        <v>0</v>
      </c>
      <c r="R914" s="2" t="inlineStr"/>
    </row>
    <row r="915" ht="15" customHeight="1">
      <c r="A915" t="inlineStr">
        <is>
          <t>A 31355-2024</t>
        </is>
      </c>
      <c r="B915" s="1" t="n">
        <v>45505</v>
      </c>
      <c r="C915" s="1" t="n">
        <v>45827</v>
      </c>
      <c r="D915" t="inlineStr">
        <is>
          <t>NORRBOTTENS LÄN</t>
        </is>
      </c>
      <c r="E915" t="inlineStr">
        <is>
          <t>PAJALA</t>
        </is>
      </c>
      <c r="G915" t="n">
        <v>0.6</v>
      </c>
      <c r="H915" t="n">
        <v>0</v>
      </c>
      <c r="I915" t="n">
        <v>0</v>
      </c>
      <c r="J915" t="n">
        <v>0</v>
      </c>
      <c r="K915" t="n">
        <v>0</v>
      </c>
      <c r="L915" t="n">
        <v>0</v>
      </c>
      <c r="M915" t="n">
        <v>0</v>
      </c>
      <c r="N915" t="n">
        <v>0</v>
      </c>
      <c r="O915" t="n">
        <v>0</v>
      </c>
      <c r="P915" t="n">
        <v>0</v>
      </c>
      <c r="Q915" t="n">
        <v>0</v>
      </c>
      <c r="R915" s="2" t="inlineStr"/>
    </row>
    <row r="916" ht="15" customHeight="1">
      <c r="A916" t="inlineStr">
        <is>
          <t>A 32779-2024</t>
        </is>
      </c>
      <c r="B916" s="1" t="n">
        <v>45516</v>
      </c>
      <c r="C916" s="1" t="n">
        <v>45827</v>
      </c>
      <c r="D916" t="inlineStr">
        <is>
          <t>NORRBOTTENS LÄN</t>
        </is>
      </c>
      <c r="E916" t="inlineStr">
        <is>
          <t>PAJALA</t>
        </is>
      </c>
      <c r="G916" t="n">
        <v>5.6</v>
      </c>
      <c r="H916" t="n">
        <v>0</v>
      </c>
      <c r="I916" t="n">
        <v>0</v>
      </c>
      <c r="J916" t="n">
        <v>0</v>
      </c>
      <c r="K916" t="n">
        <v>0</v>
      </c>
      <c r="L916" t="n">
        <v>0</v>
      </c>
      <c r="M916" t="n">
        <v>0</v>
      </c>
      <c r="N916" t="n">
        <v>0</v>
      </c>
      <c r="O916" t="n">
        <v>0</v>
      </c>
      <c r="P916" t="n">
        <v>0</v>
      </c>
      <c r="Q916" t="n">
        <v>0</v>
      </c>
      <c r="R916" s="2" t="inlineStr"/>
    </row>
    <row r="917" ht="15" customHeight="1">
      <c r="A917" t="inlineStr">
        <is>
          <t>A 33072-2024</t>
        </is>
      </c>
      <c r="B917" s="1" t="n">
        <v>45517</v>
      </c>
      <c r="C917" s="1" t="n">
        <v>45827</v>
      </c>
      <c r="D917" t="inlineStr">
        <is>
          <t>NORRBOTTENS LÄN</t>
        </is>
      </c>
      <c r="E917" t="inlineStr">
        <is>
          <t>PAJALA</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34042-2024</t>
        </is>
      </c>
      <c r="B918" s="1" t="n">
        <v>45523</v>
      </c>
      <c r="C918" s="1" t="n">
        <v>45827</v>
      </c>
      <c r="D918" t="inlineStr">
        <is>
          <t>NORRBOTTENS LÄN</t>
        </is>
      </c>
      <c r="E918" t="inlineStr">
        <is>
          <t>PAJALA</t>
        </is>
      </c>
      <c r="G918" t="n">
        <v>12.5</v>
      </c>
      <c r="H918" t="n">
        <v>0</v>
      </c>
      <c r="I918" t="n">
        <v>0</v>
      </c>
      <c r="J918" t="n">
        <v>0</v>
      </c>
      <c r="K918" t="n">
        <v>0</v>
      </c>
      <c r="L918" t="n">
        <v>0</v>
      </c>
      <c r="M918" t="n">
        <v>0</v>
      </c>
      <c r="N918" t="n">
        <v>0</v>
      </c>
      <c r="O918" t="n">
        <v>0</v>
      </c>
      <c r="P918" t="n">
        <v>0</v>
      </c>
      <c r="Q918" t="n">
        <v>0</v>
      </c>
      <c r="R918" s="2" t="inlineStr"/>
    </row>
    <row r="919" ht="15" customHeight="1">
      <c r="A919" t="inlineStr">
        <is>
          <t>A 33889-2024</t>
        </is>
      </c>
      <c r="B919" s="1" t="n">
        <v>45523</v>
      </c>
      <c r="C919" s="1" t="n">
        <v>45827</v>
      </c>
      <c r="D919" t="inlineStr">
        <is>
          <t>NORRBOTTENS LÄN</t>
        </is>
      </c>
      <c r="E919" t="inlineStr">
        <is>
          <t>PAJALA</t>
        </is>
      </c>
      <c r="G919" t="n">
        <v>10.7</v>
      </c>
      <c r="H919" t="n">
        <v>0</v>
      </c>
      <c r="I919" t="n">
        <v>0</v>
      </c>
      <c r="J919" t="n">
        <v>0</v>
      </c>
      <c r="K919" t="n">
        <v>0</v>
      </c>
      <c r="L919" t="n">
        <v>0</v>
      </c>
      <c r="M919" t="n">
        <v>0</v>
      </c>
      <c r="N919" t="n">
        <v>0</v>
      </c>
      <c r="O919" t="n">
        <v>0</v>
      </c>
      <c r="P919" t="n">
        <v>0</v>
      </c>
      <c r="Q919" t="n">
        <v>0</v>
      </c>
      <c r="R919" s="2" t="inlineStr"/>
    </row>
    <row r="920" ht="15" customHeight="1">
      <c r="A920" t="inlineStr">
        <is>
          <t>A 33899-2024</t>
        </is>
      </c>
      <c r="B920" s="1" t="n">
        <v>45523</v>
      </c>
      <c r="C920" s="1" t="n">
        <v>45827</v>
      </c>
      <c r="D920" t="inlineStr">
        <is>
          <t>NORRBOTTENS LÄN</t>
        </is>
      </c>
      <c r="E920" t="inlineStr">
        <is>
          <t>PAJALA</t>
        </is>
      </c>
      <c r="G920" t="n">
        <v>26.8</v>
      </c>
      <c r="H920" t="n">
        <v>0</v>
      </c>
      <c r="I920" t="n">
        <v>0</v>
      </c>
      <c r="J920" t="n">
        <v>0</v>
      </c>
      <c r="K920" t="n">
        <v>0</v>
      </c>
      <c r="L920" t="n">
        <v>0</v>
      </c>
      <c r="M920" t="n">
        <v>0</v>
      </c>
      <c r="N920" t="n">
        <v>0</v>
      </c>
      <c r="O920" t="n">
        <v>0</v>
      </c>
      <c r="P920" t="n">
        <v>0</v>
      </c>
      <c r="Q920" t="n">
        <v>0</v>
      </c>
      <c r="R920" s="2" t="inlineStr"/>
    </row>
    <row r="921" ht="15" customHeight="1">
      <c r="A921" t="inlineStr">
        <is>
          <t>A 33903-2024</t>
        </is>
      </c>
      <c r="B921" s="1" t="n">
        <v>45523</v>
      </c>
      <c r="C921" s="1" t="n">
        <v>45827</v>
      </c>
      <c r="D921" t="inlineStr">
        <is>
          <t>NORRBOTTENS LÄN</t>
        </is>
      </c>
      <c r="E921" t="inlineStr">
        <is>
          <t>PAJALA</t>
        </is>
      </c>
      <c r="G921" t="n">
        <v>4.2</v>
      </c>
      <c r="H921" t="n">
        <v>0</v>
      </c>
      <c r="I921" t="n">
        <v>0</v>
      </c>
      <c r="J921" t="n">
        <v>0</v>
      </c>
      <c r="K921" t="n">
        <v>0</v>
      </c>
      <c r="L921" t="n">
        <v>0</v>
      </c>
      <c r="M921" t="n">
        <v>0</v>
      </c>
      <c r="N921" t="n">
        <v>0</v>
      </c>
      <c r="O921" t="n">
        <v>0</v>
      </c>
      <c r="P921" t="n">
        <v>0</v>
      </c>
      <c r="Q921" t="n">
        <v>0</v>
      </c>
      <c r="R921" s="2" t="inlineStr"/>
    </row>
    <row r="922" ht="15" customHeight="1">
      <c r="A922" t="inlineStr">
        <is>
          <t>A 34089-2024</t>
        </is>
      </c>
      <c r="B922" s="1" t="n">
        <v>45523</v>
      </c>
      <c r="C922" s="1" t="n">
        <v>45827</v>
      </c>
      <c r="D922" t="inlineStr">
        <is>
          <t>NORRBOTTENS LÄN</t>
        </is>
      </c>
      <c r="E922" t="inlineStr">
        <is>
          <t>PAJALA</t>
        </is>
      </c>
      <c r="G922" t="n">
        <v>1.2</v>
      </c>
      <c r="H922" t="n">
        <v>0</v>
      </c>
      <c r="I922" t="n">
        <v>0</v>
      </c>
      <c r="J922" t="n">
        <v>0</v>
      </c>
      <c r="K922" t="n">
        <v>0</v>
      </c>
      <c r="L922" t="n">
        <v>0</v>
      </c>
      <c r="M922" t="n">
        <v>0</v>
      </c>
      <c r="N922" t="n">
        <v>0</v>
      </c>
      <c r="O922" t="n">
        <v>0</v>
      </c>
      <c r="P922" t="n">
        <v>0</v>
      </c>
      <c r="Q922" t="n">
        <v>0</v>
      </c>
      <c r="R922" s="2" t="inlineStr"/>
    </row>
    <row r="923" ht="15" customHeight="1">
      <c r="A923" t="inlineStr">
        <is>
          <t>A 34097-2024</t>
        </is>
      </c>
      <c r="B923" s="1" t="n">
        <v>45523</v>
      </c>
      <c r="C923" s="1" t="n">
        <v>45827</v>
      </c>
      <c r="D923" t="inlineStr">
        <is>
          <t>NORRBOTTENS LÄN</t>
        </is>
      </c>
      <c r="E923" t="inlineStr">
        <is>
          <t>PAJALA</t>
        </is>
      </c>
      <c r="G923" t="n">
        <v>5.3</v>
      </c>
      <c r="H923" t="n">
        <v>0</v>
      </c>
      <c r="I923" t="n">
        <v>0</v>
      </c>
      <c r="J923" t="n">
        <v>0</v>
      </c>
      <c r="K923" t="n">
        <v>0</v>
      </c>
      <c r="L923" t="n">
        <v>0</v>
      </c>
      <c r="M923" t="n">
        <v>0</v>
      </c>
      <c r="N923" t="n">
        <v>0</v>
      </c>
      <c r="O923" t="n">
        <v>0</v>
      </c>
      <c r="P923" t="n">
        <v>0</v>
      </c>
      <c r="Q923" t="n">
        <v>0</v>
      </c>
      <c r="R923" s="2" t="inlineStr"/>
    </row>
    <row r="924" ht="15" customHeight="1">
      <c r="A924" t="inlineStr">
        <is>
          <t>A 34071-2024</t>
        </is>
      </c>
      <c r="B924" s="1" t="n">
        <v>45523</v>
      </c>
      <c r="C924" s="1" t="n">
        <v>45827</v>
      </c>
      <c r="D924" t="inlineStr">
        <is>
          <t>NORRBOTTENS LÄN</t>
        </is>
      </c>
      <c r="E924" t="inlineStr">
        <is>
          <t>PAJALA</t>
        </is>
      </c>
      <c r="G924" t="n">
        <v>7</v>
      </c>
      <c r="H924" t="n">
        <v>0</v>
      </c>
      <c r="I924" t="n">
        <v>0</v>
      </c>
      <c r="J924" t="n">
        <v>0</v>
      </c>
      <c r="K924" t="n">
        <v>0</v>
      </c>
      <c r="L924" t="n">
        <v>0</v>
      </c>
      <c r="M924" t="n">
        <v>0</v>
      </c>
      <c r="N924" t="n">
        <v>0</v>
      </c>
      <c r="O924" t="n">
        <v>0</v>
      </c>
      <c r="P924" t="n">
        <v>0</v>
      </c>
      <c r="Q924" t="n">
        <v>0</v>
      </c>
      <c r="R924" s="2" t="inlineStr"/>
    </row>
    <row r="925" ht="15" customHeight="1">
      <c r="A925" t="inlineStr">
        <is>
          <t>A 34083-2024</t>
        </is>
      </c>
      <c r="B925" s="1" t="n">
        <v>45523</v>
      </c>
      <c r="C925" s="1" t="n">
        <v>45827</v>
      </c>
      <c r="D925" t="inlineStr">
        <is>
          <t>NORRBOTTENS LÄN</t>
        </is>
      </c>
      <c r="E925" t="inlineStr">
        <is>
          <t>PAJALA</t>
        </is>
      </c>
      <c r="G925" t="n">
        <v>3</v>
      </c>
      <c r="H925" t="n">
        <v>0</v>
      </c>
      <c r="I925" t="n">
        <v>0</v>
      </c>
      <c r="J925" t="n">
        <v>0</v>
      </c>
      <c r="K925" t="n">
        <v>0</v>
      </c>
      <c r="L925" t="n">
        <v>0</v>
      </c>
      <c r="M925" t="n">
        <v>0</v>
      </c>
      <c r="N925" t="n">
        <v>0</v>
      </c>
      <c r="O925" t="n">
        <v>0</v>
      </c>
      <c r="P925" t="n">
        <v>0</v>
      </c>
      <c r="Q925" t="n">
        <v>0</v>
      </c>
      <c r="R925" s="2" t="inlineStr"/>
    </row>
    <row r="926" ht="15" customHeight="1">
      <c r="A926" t="inlineStr">
        <is>
          <t>A 34087-2024</t>
        </is>
      </c>
      <c r="B926" s="1" t="n">
        <v>45523</v>
      </c>
      <c r="C926" s="1" t="n">
        <v>45827</v>
      </c>
      <c r="D926" t="inlineStr">
        <is>
          <t>NORRBOTTENS LÄN</t>
        </is>
      </c>
      <c r="E926" t="inlineStr">
        <is>
          <t>PAJALA</t>
        </is>
      </c>
      <c r="G926" t="n">
        <v>1.8</v>
      </c>
      <c r="H926" t="n">
        <v>0</v>
      </c>
      <c r="I926" t="n">
        <v>0</v>
      </c>
      <c r="J926" t="n">
        <v>0</v>
      </c>
      <c r="K926" t="n">
        <v>0</v>
      </c>
      <c r="L926" t="n">
        <v>0</v>
      </c>
      <c r="M926" t="n">
        <v>0</v>
      </c>
      <c r="N926" t="n">
        <v>0</v>
      </c>
      <c r="O926" t="n">
        <v>0</v>
      </c>
      <c r="P926" t="n">
        <v>0</v>
      </c>
      <c r="Q926" t="n">
        <v>0</v>
      </c>
      <c r="R926" s="2" t="inlineStr"/>
    </row>
    <row r="927" ht="15" customHeight="1">
      <c r="A927" t="inlineStr">
        <is>
          <t>A 34092-2024</t>
        </is>
      </c>
      <c r="B927" s="1" t="n">
        <v>45523</v>
      </c>
      <c r="C927" s="1" t="n">
        <v>45827</v>
      </c>
      <c r="D927" t="inlineStr">
        <is>
          <t>NORRBOTTENS LÄN</t>
        </is>
      </c>
      <c r="E927" t="inlineStr">
        <is>
          <t>PAJALA</t>
        </is>
      </c>
      <c r="G927" t="n">
        <v>11.7</v>
      </c>
      <c r="H927" t="n">
        <v>0</v>
      </c>
      <c r="I927" t="n">
        <v>0</v>
      </c>
      <c r="J927" t="n">
        <v>0</v>
      </c>
      <c r="K927" t="n">
        <v>0</v>
      </c>
      <c r="L927" t="n">
        <v>0</v>
      </c>
      <c r="M927" t="n">
        <v>0</v>
      </c>
      <c r="N927" t="n">
        <v>0</v>
      </c>
      <c r="O927" t="n">
        <v>0</v>
      </c>
      <c r="P927" t="n">
        <v>0</v>
      </c>
      <c r="Q927" t="n">
        <v>0</v>
      </c>
      <c r="R927" s="2" t="inlineStr"/>
    </row>
    <row r="928" ht="15" customHeight="1">
      <c r="A928" t="inlineStr">
        <is>
          <t>A 34096-2024</t>
        </is>
      </c>
      <c r="B928" s="1" t="n">
        <v>45523</v>
      </c>
      <c r="C928" s="1" t="n">
        <v>45827</v>
      </c>
      <c r="D928" t="inlineStr">
        <is>
          <t>NORRBOTTENS LÄN</t>
        </is>
      </c>
      <c r="E928" t="inlineStr">
        <is>
          <t>PAJALA</t>
        </is>
      </c>
      <c r="G928" t="n">
        <v>6.2</v>
      </c>
      <c r="H928" t="n">
        <v>0</v>
      </c>
      <c r="I928" t="n">
        <v>0</v>
      </c>
      <c r="J928" t="n">
        <v>0</v>
      </c>
      <c r="K928" t="n">
        <v>0</v>
      </c>
      <c r="L928" t="n">
        <v>0</v>
      </c>
      <c r="M928" t="n">
        <v>0</v>
      </c>
      <c r="N928" t="n">
        <v>0</v>
      </c>
      <c r="O928" t="n">
        <v>0</v>
      </c>
      <c r="P928" t="n">
        <v>0</v>
      </c>
      <c r="Q928" t="n">
        <v>0</v>
      </c>
      <c r="R928" s="2" t="inlineStr"/>
    </row>
    <row r="929" ht="15" customHeight="1">
      <c r="A929" t="inlineStr">
        <is>
          <t>A 34202-2024</t>
        </is>
      </c>
      <c r="B929" s="1" t="n">
        <v>45524</v>
      </c>
      <c r="C929" s="1" t="n">
        <v>45827</v>
      </c>
      <c r="D929" t="inlineStr">
        <is>
          <t>NORRBOTTENS LÄN</t>
        </is>
      </c>
      <c r="E929" t="inlineStr">
        <is>
          <t>PAJALA</t>
        </is>
      </c>
      <c r="G929" t="n">
        <v>14.2</v>
      </c>
      <c r="H929" t="n">
        <v>0</v>
      </c>
      <c r="I929" t="n">
        <v>0</v>
      </c>
      <c r="J929" t="n">
        <v>0</v>
      </c>
      <c r="K929" t="n">
        <v>0</v>
      </c>
      <c r="L929" t="n">
        <v>0</v>
      </c>
      <c r="M929" t="n">
        <v>0</v>
      </c>
      <c r="N929" t="n">
        <v>0</v>
      </c>
      <c r="O929" t="n">
        <v>0</v>
      </c>
      <c r="P929" t="n">
        <v>0</v>
      </c>
      <c r="Q929" t="n">
        <v>0</v>
      </c>
      <c r="R929" s="2" t="inlineStr"/>
    </row>
    <row r="930" ht="15" customHeight="1">
      <c r="A930" t="inlineStr">
        <is>
          <t>A 34708-2024</t>
        </is>
      </c>
      <c r="B930" s="1" t="n">
        <v>45526</v>
      </c>
      <c r="C930" s="1" t="n">
        <v>45827</v>
      </c>
      <c r="D930" t="inlineStr">
        <is>
          <t>NORRBOTTENS LÄN</t>
        </is>
      </c>
      <c r="E930" t="inlineStr">
        <is>
          <t>PAJALA</t>
        </is>
      </c>
      <c r="G930" t="n">
        <v>24.4</v>
      </c>
      <c r="H930" t="n">
        <v>0</v>
      </c>
      <c r="I930" t="n">
        <v>0</v>
      </c>
      <c r="J930" t="n">
        <v>0</v>
      </c>
      <c r="K930" t="n">
        <v>0</v>
      </c>
      <c r="L930" t="n">
        <v>0</v>
      </c>
      <c r="M930" t="n">
        <v>0</v>
      </c>
      <c r="N930" t="n">
        <v>0</v>
      </c>
      <c r="O930" t="n">
        <v>0</v>
      </c>
      <c r="P930" t="n">
        <v>0</v>
      </c>
      <c r="Q930" t="n">
        <v>0</v>
      </c>
      <c r="R930" s="2" t="inlineStr"/>
    </row>
    <row r="931" ht="15" customHeight="1">
      <c r="A931" t="inlineStr">
        <is>
          <t>A 34709-2024</t>
        </is>
      </c>
      <c r="B931" s="1" t="n">
        <v>45526</v>
      </c>
      <c r="C931" s="1" t="n">
        <v>45827</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34695-2024</t>
        </is>
      </c>
      <c r="B932" s="1" t="n">
        <v>45526</v>
      </c>
      <c r="C932" s="1" t="n">
        <v>45827</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34707-2024</t>
        </is>
      </c>
      <c r="B933" s="1" t="n">
        <v>45526</v>
      </c>
      <c r="C933" s="1" t="n">
        <v>45827</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34731-2024</t>
        </is>
      </c>
      <c r="B934" s="1" t="n">
        <v>45526</v>
      </c>
      <c r="C934" s="1" t="n">
        <v>45827</v>
      </c>
      <c r="D934" t="inlineStr">
        <is>
          <t>NORRBOTTENS LÄN</t>
        </is>
      </c>
      <c r="E934" t="inlineStr">
        <is>
          <t>PAJALA</t>
        </is>
      </c>
      <c r="G934" t="n">
        <v>5.3</v>
      </c>
      <c r="H934" t="n">
        <v>0</v>
      </c>
      <c r="I934" t="n">
        <v>0</v>
      </c>
      <c r="J934" t="n">
        <v>0</v>
      </c>
      <c r="K934" t="n">
        <v>0</v>
      </c>
      <c r="L934" t="n">
        <v>0</v>
      </c>
      <c r="M934" t="n">
        <v>0</v>
      </c>
      <c r="N934" t="n">
        <v>0</v>
      </c>
      <c r="O934" t="n">
        <v>0</v>
      </c>
      <c r="P934" t="n">
        <v>0</v>
      </c>
      <c r="Q934" t="n">
        <v>0</v>
      </c>
      <c r="R934" s="2" t="inlineStr"/>
    </row>
    <row r="935" ht="15" customHeight="1">
      <c r="A935" t="inlineStr">
        <is>
          <t>A 35260-2024</t>
        </is>
      </c>
      <c r="B935" s="1" t="n">
        <v>45530</v>
      </c>
      <c r="C935" s="1" t="n">
        <v>45827</v>
      </c>
      <c r="D935" t="inlineStr">
        <is>
          <t>NORRBOTTENS LÄN</t>
        </is>
      </c>
      <c r="E935" t="inlineStr">
        <is>
          <t>PAJALA</t>
        </is>
      </c>
      <c r="F935" t="inlineStr">
        <is>
          <t>Allmännings- och besparingsskogar</t>
        </is>
      </c>
      <c r="G935" t="n">
        <v>32.7</v>
      </c>
      <c r="H935" t="n">
        <v>0</v>
      </c>
      <c r="I935" t="n">
        <v>0</v>
      </c>
      <c r="J935" t="n">
        <v>0</v>
      </c>
      <c r="K935" t="n">
        <v>0</v>
      </c>
      <c r="L935" t="n">
        <v>0</v>
      </c>
      <c r="M935" t="n">
        <v>0</v>
      </c>
      <c r="N935" t="n">
        <v>0</v>
      </c>
      <c r="O935" t="n">
        <v>0</v>
      </c>
      <c r="P935" t="n">
        <v>0</v>
      </c>
      <c r="Q935" t="n">
        <v>0</v>
      </c>
      <c r="R935" s="2" t="inlineStr"/>
    </row>
    <row r="936" ht="15" customHeight="1">
      <c r="A936" t="inlineStr">
        <is>
          <t>A 35276-2024</t>
        </is>
      </c>
      <c r="B936" s="1" t="n">
        <v>45530</v>
      </c>
      <c r="C936" s="1" t="n">
        <v>45827</v>
      </c>
      <c r="D936" t="inlineStr">
        <is>
          <t>NORRBOTTENS LÄN</t>
        </is>
      </c>
      <c r="E936" t="inlineStr">
        <is>
          <t>PAJALA</t>
        </is>
      </c>
      <c r="F936" t="inlineStr">
        <is>
          <t>Allmännings- och besparingsskogar</t>
        </is>
      </c>
      <c r="G936" t="n">
        <v>5.1</v>
      </c>
      <c r="H936" t="n">
        <v>0</v>
      </c>
      <c r="I936" t="n">
        <v>0</v>
      </c>
      <c r="J936" t="n">
        <v>0</v>
      </c>
      <c r="K936" t="n">
        <v>0</v>
      </c>
      <c r="L936" t="n">
        <v>0</v>
      </c>
      <c r="M936" t="n">
        <v>0</v>
      </c>
      <c r="N936" t="n">
        <v>0</v>
      </c>
      <c r="O936" t="n">
        <v>0</v>
      </c>
      <c r="P936" t="n">
        <v>0</v>
      </c>
      <c r="Q936" t="n">
        <v>0</v>
      </c>
      <c r="R936" s="2" t="inlineStr"/>
    </row>
    <row r="937" ht="15" customHeight="1">
      <c r="A937" t="inlineStr">
        <is>
          <t>A 35917-2024</t>
        </is>
      </c>
      <c r="B937" s="1" t="n">
        <v>45533</v>
      </c>
      <c r="C937" s="1" t="n">
        <v>45827</v>
      </c>
      <c r="D937" t="inlineStr">
        <is>
          <t>NORRBOTTENS LÄN</t>
        </is>
      </c>
      <c r="E937" t="inlineStr">
        <is>
          <t>PAJALA</t>
        </is>
      </c>
      <c r="F937" t="inlineStr">
        <is>
          <t>Sveaskog</t>
        </is>
      </c>
      <c r="G937" t="n">
        <v>46.7</v>
      </c>
      <c r="H937" t="n">
        <v>0</v>
      </c>
      <c r="I937" t="n">
        <v>0</v>
      </c>
      <c r="J937" t="n">
        <v>0</v>
      </c>
      <c r="K937" t="n">
        <v>0</v>
      </c>
      <c r="L937" t="n">
        <v>0</v>
      </c>
      <c r="M937" t="n">
        <v>0</v>
      </c>
      <c r="N937" t="n">
        <v>0</v>
      </c>
      <c r="O937" t="n">
        <v>0</v>
      </c>
      <c r="P937" t="n">
        <v>0</v>
      </c>
      <c r="Q937" t="n">
        <v>0</v>
      </c>
      <c r="R937" s="2" t="inlineStr"/>
    </row>
    <row r="938" ht="15" customHeight="1">
      <c r="A938" t="inlineStr">
        <is>
          <t>A 36716-2024</t>
        </is>
      </c>
      <c r="B938" s="1" t="n">
        <v>45537</v>
      </c>
      <c r="C938" s="1" t="n">
        <v>45827</v>
      </c>
      <c r="D938" t="inlineStr">
        <is>
          <t>NORRBOTTENS LÄN</t>
        </is>
      </c>
      <c r="E938" t="inlineStr">
        <is>
          <t>PAJALA</t>
        </is>
      </c>
      <c r="G938" t="n">
        <v>2</v>
      </c>
      <c r="H938" t="n">
        <v>0</v>
      </c>
      <c r="I938" t="n">
        <v>0</v>
      </c>
      <c r="J938" t="n">
        <v>0</v>
      </c>
      <c r="K938" t="n">
        <v>0</v>
      </c>
      <c r="L938" t="n">
        <v>0</v>
      </c>
      <c r="M938" t="n">
        <v>0</v>
      </c>
      <c r="N938" t="n">
        <v>0</v>
      </c>
      <c r="O938" t="n">
        <v>0</v>
      </c>
      <c r="P938" t="n">
        <v>0</v>
      </c>
      <c r="Q938" t="n">
        <v>0</v>
      </c>
      <c r="R938" s="2" t="inlineStr"/>
    </row>
    <row r="939" ht="15" customHeight="1">
      <c r="A939" t="inlineStr">
        <is>
          <t>A 36719-2024</t>
        </is>
      </c>
      <c r="B939" s="1" t="n">
        <v>45537</v>
      </c>
      <c r="C939" s="1" t="n">
        <v>45827</v>
      </c>
      <c r="D939" t="inlineStr">
        <is>
          <t>NORRBOTTENS LÄN</t>
        </is>
      </c>
      <c r="E939" t="inlineStr">
        <is>
          <t>PAJALA</t>
        </is>
      </c>
      <c r="G939" t="n">
        <v>2.7</v>
      </c>
      <c r="H939" t="n">
        <v>0</v>
      </c>
      <c r="I939" t="n">
        <v>0</v>
      </c>
      <c r="J939" t="n">
        <v>0</v>
      </c>
      <c r="K939" t="n">
        <v>0</v>
      </c>
      <c r="L939" t="n">
        <v>0</v>
      </c>
      <c r="M939" t="n">
        <v>0</v>
      </c>
      <c r="N939" t="n">
        <v>0</v>
      </c>
      <c r="O939" t="n">
        <v>0</v>
      </c>
      <c r="P939" t="n">
        <v>0</v>
      </c>
      <c r="Q939" t="n">
        <v>0</v>
      </c>
      <c r="R939" s="2" t="inlineStr"/>
    </row>
    <row r="940" ht="15" customHeight="1">
      <c r="A940" t="inlineStr">
        <is>
          <t>A 36810-2024</t>
        </is>
      </c>
      <c r="B940" s="1" t="n">
        <v>45538</v>
      </c>
      <c r="C940" s="1" t="n">
        <v>45827</v>
      </c>
      <c r="D940" t="inlineStr">
        <is>
          <t>NORRBOTTENS LÄN</t>
        </is>
      </c>
      <c r="E940" t="inlineStr">
        <is>
          <t>PAJALA</t>
        </is>
      </c>
      <c r="G940" t="n">
        <v>7.4</v>
      </c>
      <c r="H940" t="n">
        <v>0</v>
      </c>
      <c r="I940" t="n">
        <v>0</v>
      </c>
      <c r="J940" t="n">
        <v>0</v>
      </c>
      <c r="K940" t="n">
        <v>0</v>
      </c>
      <c r="L940" t="n">
        <v>0</v>
      </c>
      <c r="M940" t="n">
        <v>0</v>
      </c>
      <c r="N940" t="n">
        <v>0</v>
      </c>
      <c r="O940" t="n">
        <v>0</v>
      </c>
      <c r="P940" t="n">
        <v>0</v>
      </c>
      <c r="Q940" t="n">
        <v>0</v>
      </c>
      <c r="R940" s="2" t="inlineStr"/>
    </row>
    <row r="941" ht="15" customHeight="1">
      <c r="A941" t="inlineStr">
        <is>
          <t>A 37047-2024</t>
        </is>
      </c>
      <c r="B941" s="1" t="n">
        <v>45539</v>
      </c>
      <c r="C941" s="1" t="n">
        <v>45827</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37400-2024</t>
        </is>
      </c>
      <c r="B942" s="1" t="n">
        <v>45540</v>
      </c>
      <c r="C942" s="1" t="n">
        <v>45827</v>
      </c>
      <c r="D942" t="inlineStr">
        <is>
          <t>NORRBOTTENS LÄN</t>
        </is>
      </c>
      <c r="E942" t="inlineStr">
        <is>
          <t>PAJALA</t>
        </is>
      </c>
      <c r="G942" t="n">
        <v>6.3</v>
      </c>
      <c r="H942" t="n">
        <v>0</v>
      </c>
      <c r="I942" t="n">
        <v>0</v>
      </c>
      <c r="J942" t="n">
        <v>0</v>
      </c>
      <c r="K942" t="n">
        <v>0</v>
      </c>
      <c r="L942" t="n">
        <v>0</v>
      </c>
      <c r="M942" t="n">
        <v>0</v>
      </c>
      <c r="N942" t="n">
        <v>0</v>
      </c>
      <c r="O942" t="n">
        <v>0</v>
      </c>
      <c r="P942" t="n">
        <v>0</v>
      </c>
      <c r="Q942" t="n">
        <v>0</v>
      </c>
      <c r="R942" s="2" t="inlineStr"/>
    </row>
    <row r="943" ht="15" customHeight="1">
      <c r="A943" t="inlineStr">
        <is>
          <t>A 37289-2024</t>
        </is>
      </c>
      <c r="B943" s="1" t="n">
        <v>45540</v>
      </c>
      <c r="C943" s="1" t="n">
        <v>45827</v>
      </c>
      <c r="D943" t="inlineStr">
        <is>
          <t>NORRBOTTENS LÄN</t>
        </is>
      </c>
      <c r="E943" t="inlineStr">
        <is>
          <t>PAJALA</t>
        </is>
      </c>
      <c r="G943" t="n">
        <v>13.8</v>
      </c>
      <c r="H943" t="n">
        <v>0</v>
      </c>
      <c r="I943" t="n">
        <v>0</v>
      </c>
      <c r="J943" t="n">
        <v>0</v>
      </c>
      <c r="K943" t="n">
        <v>0</v>
      </c>
      <c r="L943" t="n">
        <v>0</v>
      </c>
      <c r="M943" t="n">
        <v>0</v>
      </c>
      <c r="N943" t="n">
        <v>0</v>
      </c>
      <c r="O943" t="n">
        <v>0</v>
      </c>
      <c r="P943" t="n">
        <v>0</v>
      </c>
      <c r="Q943" t="n">
        <v>0</v>
      </c>
      <c r="R943" s="2" t="inlineStr"/>
    </row>
    <row r="944" ht="15" customHeight="1">
      <c r="A944" t="inlineStr">
        <is>
          <t>A 37321-2024</t>
        </is>
      </c>
      <c r="B944" s="1" t="n">
        <v>45540</v>
      </c>
      <c r="C944" s="1" t="n">
        <v>45827</v>
      </c>
      <c r="D944" t="inlineStr">
        <is>
          <t>NORRBOTTENS LÄN</t>
        </is>
      </c>
      <c r="E944" t="inlineStr">
        <is>
          <t>PAJALA</t>
        </is>
      </c>
      <c r="G944" t="n">
        <v>6</v>
      </c>
      <c r="H944" t="n">
        <v>0</v>
      </c>
      <c r="I944" t="n">
        <v>0</v>
      </c>
      <c r="J944" t="n">
        <v>0</v>
      </c>
      <c r="K944" t="n">
        <v>0</v>
      </c>
      <c r="L944" t="n">
        <v>0</v>
      </c>
      <c r="M944" t="n">
        <v>0</v>
      </c>
      <c r="N944" t="n">
        <v>0</v>
      </c>
      <c r="O944" t="n">
        <v>0</v>
      </c>
      <c r="P944" t="n">
        <v>0</v>
      </c>
      <c r="Q944" t="n">
        <v>0</v>
      </c>
      <c r="R944" s="2" t="inlineStr"/>
    </row>
    <row r="945" ht="15" customHeight="1">
      <c r="A945" t="inlineStr">
        <is>
          <t>A 37381-2024</t>
        </is>
      </c>
      <c r="B945" s="1" t="n">
        <v>45540</v>
      </c>
      <c r="C945" s="1" t="n">
        <v>45827</v>
      </c>
      <c r="D945" t="inlineStr">
        <is>
          <t>NORRBOTTENS LÄN</t>
        </is>
      </c>
      <c r="E945" t="inlineStr">
        <is>
          <t>PAJALA</t>
        </is>
      </c>
      <c r="G945" t="n">
        <v>3.2</v>
      </c>
      <c r="H945" t="n">
        <v>0</v>
      </c>
      <c r="I945" t="n">
        <v>0</v>
      </c>
      <c r="J945" t="n">
        <v>0</v>
      </c>
      <c r="K945" t="n">
        <v>0</v>
      </c>
      <c r="L945" t="n">
        <v>0</v>
      </c>
      <c r="M945" t="n">
        <v>0</v>
      </c>
      <c r="N945" t="n">
        <v>0</v>
      </c>
      <c r="O945" t="n">
        <v>0</v>
      </c>
      <c r="P945" t="n">
        <v>0</v>
      </c>
      <c r="Q945" t="n">
        <v>0</v>
      </c>
      <c r="R945" s="2" t="inlineStr"/>
    </row>
    <row r="946" ht="15" customHeight="1">
      <c r="A946" t="inlineStr">
        <is>
          <t>A 37527-2024</t>
        </is>
      </c>
      <c r="B946" s="1" t="n">
        <v>45541</v>
      </c>
      <c r="C946" s="1" t="n">
        <v>45827</v>
      </c>
      <c r="D946" t="inlineStr">
        <is>
          <t>NORRBOTTENS LÄN</t>
        </is>
      </c>
      <c r="E946" t="inlineStr">
        <is>
          <t>PAJALA</t>
        </is>
      </c>
      <c r="G946" t="n">
        <v>21.3</v>
      </c>
      <c r="H946" t="n">
        <v>0</v>
      </c>
      <c r="I946" t="n">
        <v>0</v>
      </c>
      <c r="J946" t="n">
        <v>0</v>
      </c>
      <c r="K946" t="n">
        <v>0</v>
      </c>
      <c r="L946" t="n">
        <v>0</v>
      </c>
      <c r="M946" t="n">
        <v>0</v>
      </c>
      <c r="N946" t="n">
        <v>0</v>
      </c>
      <c r="O946" t="n">
        <v>0</v>
      </c>
      <c r="P946" t="n">
        <v>0</v>
      </c>
      <c r="Q946" t="n">
        <v>0</v>
      </c>
      <c r="R946" s="2" t="inlineStr"/>
    </row>
    <row r="947" ht="15" customHeight="1">
      <c r="A947" t="inlineStr">
        <is>
          <t>A 37581-2024</t>
        </is>
      </c>
      <c r="B947" s="1" t="n">
        <v>45541</v>
      </c>
      <c r="C947" s="1" t="n">
        <v>45827</v>
      </c>
      <c r="D947" t="inlineStr">
        <is>
          <t>NORRBOTTENS LÄN</t>
        </is>
      </c>
      <c r="E947" t="inlineStr">
        <is>
          <t>PAJALA</t>
        </is>
      </c>
      <c r="F947" t="inlineStr">
        <is>
          <t>Sveaskog</t>
        </is>
      </c>
      <c r="G947" t="n">
        <v>40.3</v>
      </c>
      <c r="H947" t="n">
        <v>0</v>
      </c>
      <c r="I947" t="n">
        <v>0</v>
      </c>
      <c r="J947" t="n">
        <v>0</v>
      </c>
      <c r="K947" t="n">
        <v>0</v>
      </c>
      <c r="L947" t="n">
        <v>0</v>
      </c>
      <c r="M947" t="n">
        <v>0</v>
      </c>
      <c r="N947" t="n">
        <v>0</v>
      </c>
      <c r="O947" t="n">
        <v>0</v>
      </c>
      <c r="P947" t="n">
        <v>0</v>
      </c>
      <c r="Q947" t="n">
        <v>0</v>
      </c>
      <c r="R947" s="2" t="inlineStr"/>
    </row>
    <row r="948" ht="15" customHeight="1">
      <c r="A948" t="inlineStr">
        <is>
          <t>A 38163-2024</t>
        </is>
      </c>
      <c r="B948" s="1" t="n">
        <v>45545</v>
      </c>
      <c r="C948" s="1" t="n">
        <v>45827</v>
      </c>
      <c r="D948" t="inlineStr">
        <is>
          <t>NORRBOTTENS LÄN</t>
        </is>
      </c>
      <c r="E948" t="inlineStr">
        <is>
          <t>PAJALA</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38160-2024</t>
        </is>
      </c>
      <c r="B949" s="1" t="n">
        <v>45545</v>
      </c>
      <c r="C949" s="1" t="n">
        <v>45827</v>
      </c>
      <c r="D949" t="inlineStr">
        <is>
          <t>NORRBOTTENS LÄN</t>
        </is>
      </c>
      <c r="E949" t="inlineStr">
        <is>
          <t>PAJALA</t>
        </is>
      </c>
      <c r="F949" t="inlineStr">
        <is>
          <t>Sveaskog</t>
        </is>
      </c>
      <c r="G949" t="n">
        <v>5.9</v>
      </c>
      <c r="H949" t="n">
        <v>0</v>
      </c>
      <c r="I949" t="n">
        <v>0</v>
      </c>
      <c r="J949" t="n">
        <v>0</v>
      </c>
      <c r="K949" t="n">
        <v>0</v>
      </c>
      <c r="L949" t="n">
        <v>0</v>
      </c>
      <c r="M949" t="n">
        <v>0</v>
      </c>
      <c r="N949" t="n">
        <v>0</v>
      </c>
      <c r="O949" t="n">
        <v>0</v>
      </c>
      <c r="P949" t="n">
        <v>0</v>
      </c>
      <c r="Q949" t="n">
        <v>0</v>
      </c>
      <c r="R949" s="2" t="inlineStr"/>
    </row>
    <row r="950" ht="15" customHeight="1">
      <c r="A950" t="inlineStr">
        <is>
          <t>A 38161-2024</t>
        </is>
      </c>
      <c r="B950" s="1" t="n">
        <v>45545</v>
      </c>
      <c r="C950" s="1" t="n">
        <v>45827</v>
      </c>
      <c r="D950" t="inlineStr">
        <is>
          <t>NORRBOTTENS LÄN</t>
        </is>
      </c>
      <c r="E950" t="inlineStr">
        <is>
          <t>PAJALA</t>
        </is>
      </c>
      <c r="F950" t="inlineStr">
        <is>
          <t>Sveaskog</t>
        </is>
      </c>
      <c r="G950" t="n">
        <v>5.2</v>
      </c>
      <c r="H950" t="n">
        <v>0</v>
      </c>
      <c r="I950" t="n">
        <v>0</v>
      </c>
      <c r="J950" t="n">
        <v>0</v>
      </c>
      <c r="K950" t="n">
        <v>0</v>
      </c>
      <c r="L950" t="n">
        <v>0</v>
      </c>
      <c r="M950" t="n">
        <v>0</v>
      </c>
      <c r="N950" t="n">
        <v>0</v>
      </c>
      <c r="O950" t="n">
        <v>0</v>
      </c>
      <c r="P950" t="n">
        <v>0</v>
      </c>
      <c r="Q950" t="n">
        <v>0</v>
      </c>
      <c r="R950" s="2" t="inlineStr"/>
    </row>
    <row r="951" ht="15" customHeight="1">
      <c r="A951" t="inlineStr">
        <is>
          <t>A 38586-2024</t>
        </is>
      </c>
      <c r="B951" s="1" t="n">
        <v>45546</v>
      </c>
      <c r="C951" s="1" t="n">
        <v>45827</v>
      </c>
      <c r="D951" t="inlineStr">
        <is>
          <t>NORRBOTTENS LÄN</t>
        </is>
      </c>
      <c r="E951" t="inlineStr">
        <is>
          <t>PAJALA</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38839-2024</t>
        </is>
      </c>
      <c r="B952" s="1" t="n">
        <v>45547</v>
      </c>
      <c r="C952" s="1" t="n">
        <v>45827</v>
      </c>
      <c r="D952" t="inlineStr">
        <is>
          <t>NORRBOTTENS LÄN</t>
        </is>
      </c>
      <c r="E952" t="inlineStr">
        <is>
          <t>PAJALA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39076-2024</t>
        </is>
      </c>
      <c r="B953" s="1" t="n">
        <v>45548</v>
      </c>
      <c r="C953" s="1" t="n">
        <v>45827</v>
      </c>
      <c r="D953" t="inlineStr">
        <is>
          <t>NORRBOTTENS LÄN</t>
        </is>
      </c>
      <c r="E953" t="inlineStr">
        <is>
          <t>PAJALA</t>
        </is>
      </c>
      <c r="F953" t="inlineStr">
        <is>
          <t>Sveaskog</t>
        </is>
      </c>
      <c r="G953" t="n">
        <v>7.2</v>
      </c>
      <c r="H953" t="n">
        <v>0</v>
      </c>
      <c r="I953" t="n">
        <v>0</v>
      </c>
      <c r="J953" t="n">
        <v>0</v>
      </c>
      <c r="K953" t="n">
        <v>0</v>
      </c>
      <c r="L953" t="n">
        <v>0</v>
      </c>
      <c r="M953" t="n">
        <v>0</v>
      </c>
      <c r="N953" t="n">
        <v>0</v>
      </c>
      <c r="O953" t="n">
        <v>0</v>
      </c>
      <c r="P953" t="n">
        <v>0</v>
      </c>
      <c r="Q953" t="n">
        <v>0</v>
      </c>
      <c r="R953" s="2" t="inlineStr"/>
    </row>
    <row r="954" ht="15" customHeight="1">
      <c r="A954" t="inlineStr">
        <is>
          <t>A 39080-2024</t>
        </is>
      </c>
      <c r="B954" s="1" t="n">
        <v>45548</v>
      </c>
      <c r="C954" s="1" t="n">
        <v>45827</v>
      </c>
      <c r="D954" t="inlineStr">
        <is>
          <t>NORRBOTTENS LÄN</t>
        </is>
      </c>
      <c r="E954" t="inlineStr">
        <is>
          <t>PAJALA</t>
        </is>
      </c>
      <c r="F954" t="inlineStr">
        <is>
          <t>Sveaskog</t>
        </is>
      </c>
      <c r="G954" t="n">
        <v>8</v>
      </c>
      <c r="H954" t="n">
        <v>0</v>
      </c>
      <c r="I954" t="n">
        <v>0</v>
      </c>
      <c r="J954" t="n">
        <v>0</v>
      </c>
      <c r="K954" t="n">
        <v>0</v>
      </c>
      <c r="L954" t="n">
        <v>0</v>
      </c>
      <c r="M954" t="n">
        <v>0</v>
      </c>
      <c r="N954" t="n">
        <v>0</v>
      </c>
      <c r="O954" t="n">
        <v>0</v>
      </c>
      <c r="P954" t="n">
        <v>0</v>
      </c>
      <c r="Q954" t="n">
        <v>0</v>
      </c>
      <c r="R954" s="2" t="inlineStr"/>
    </row>
    <row r="955" ht="15" customHeight="1">
      <c r="A955" t="inlineStr">
        <is>
          <t>A 39184-2024</t>
        </is>
      </c>
      <c r="B955" s="1" t="n">
        <v>45548</v>
      </c>
      <c r="C955" s="1" t="n">
        <v>45827</v>
      </c>
      <c r="D955" t="inlineStr">
        <is>
          <t>NORRBOTTENS LÄN</t>
        </is>
      </c>
      <c r="E955" t="inlineStr">
        <is>
          <t>PAJALA</t>
        </is>
      </c>
      <c r="F955" t="inlineStr">
        <is>
          <t>Sveaskog</t>
        </is>
      </c>
      <c r="G955" t="n">
        <v>47.5</v>
      </c>
      <c r="H955" t="n">
        <v>0</v>
      </c>
      <c r="I955" t="n">
        <v>0</v>
      </c>
      <c r="J955" t="n">
        <v>0</v>
      </c>
      <c r="K955" t="n">
        <v>0</v>
      </c>
      <c r="L955" t="n">
        <v>0</v>
      </c>
      <c r="M955" t="n">
        <v>0</v>
      </c>
      <c r="N955" t="n">
        <v>0</v>
      </c>
      <c r="O955" t="n">
        <v>0</v>
      </c>
      <c r="P955" t="n">
        <v>0</v>
      </c>
      <c r="Q955" t="n">
        <v>0</v>
      </c>
      <c r="R955" s="2" t="inlineStr"/>
    </row>
    <row r="956" ht="15" customHeight="1">
      <c r="A956" t="inlineStr">
        <is>
          <t>A 39188-2024</t>
        </is>
      </c>
      <c r="B956" s="1" t="n">
        <v>45548</v>
      </c>
      <c r="C956" s="1" t="n">
        <v>45827</v>
      </c>
      <c r="D956" t="inlineStr">
        <is>
          <t>NORRBOTTENS LÄN</t>
        </is>
      </c>
      <c r="E956" t="inlineStr">
        <is>
          <t>PAJALA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39234-2024</t>
        </is>
      </c>
      <c r="B957" s="1" t="n">
        <v>45550</v>
      </c>
      <c r="C957" s="1" t="n">
        <v>45827</v>
      </c>
      <c r="D957" t="inlineStr">
        <is>
          <t>NORRBOTTENS LÄN</t>
        </is>
      </c>
      <c r="E957" t="inlineStr">
        <is>
          <t>PAJALA</t>
        </is>
      </c>
      <c r="G957" t="n">
        <v>2.1</v>
      </c>
      <c r="H957" t="n">
        <v>0</v>
      </c>
      <c r="I957" t="n">
        <v>0</v>
      </c>
      <c r="J957" t="n">
        <v>0</v>
      </c>
      <c r="K957" t="n">
        <v>0</v>
      </c>
      <c r="L957" t="n">
        <v>0</v>
      </c>
      <c r="M957" t="n">
        <v>0</v>
      </c>
      <c r="N957" t="n">
        <v>0</v>
      </c>
      <c r="O957" t="n">
        <v>0</v>
      </c>
      <c r="P957" t="n">
        <v>0</v>
      </c>
      <c r="Q957" t="n">
        <v>0</v>
      </c>
      <c r="R957" s="2" t="inlineStr"/>
    </row>
    <row r="958" ht="15" customHeight="1">
      <c r="A958" t="inlineStr">
        <is>
          <t>A 40235-2024</t>
        </is>
      </c>
      <c r="B958" s="1" t="n">
        <v>45554</v>
      </c>
      <c r="C958" s="1" t="n">
        <v>45827</v>
      </c>
      <c r="D958" t="inlineStr">
        <is>
          <t>NORRBOTTENS LÄN</t>
        </is>
      </c>
      <c r="E958" t="inlineStr">
        <is>
          <t>PAJALA</t>
        </is>
      </c>
      <c r="F958" t="inlineStr">
        <is>
          <t>Sveaskog</t>
        </is>
      </c>
      <c r="G958" t="n">
        <v>31.3</v>
      </c>
      <c r="H958" t="n">
        <v>0</v>
      </c>
      <c r="I958" t="n">
        <v>0</v>
      </c>
      <c r="J958" t="n">
        <v>0</v>
      </c>
      <c r="K958" t="n">
        <v>0</v>
      </c>
      <c r="L958" t="n">
        <v>0</v>
      </c>
      <c r="M958" t="n">
        <v>0</v>
      </c>
      <c r="N958" t="n">
        <v>0</v>
      </c>
      <c r="O958" t="n">
        <v>0</v>
      </c>
      <c r="P958" t="n">
        <v>0</v>
      </c>
      <c r="Q958" t="n">
        <v>0</v>
      </c>
      <c r="R958" s="2" t="inlineStr"/>
    </row>
    <row r="959" ht="15" customHeight="1">
      <c r="A959" t="inlineStr">
        <is>
          <t>A 40208-2024</t>
        </is>
      </c>
      <c r="B959" s="1" t="n">
        <v>45554</v>
      </c>
      <c r="C959" s="1" t="n">
        <v>45827</v>
      </c>
      <c r="D959" t="inlineStr">
        <is>
          <t>NORRBOTTENS LÄN</t>
        </is>
      </c>
      <c r="E959" t="inlineStr">
        <is>
          <t>PAJALA</t>
        </is>
      </c>
      <c r="F959" t="inlineStr">
        <is>
          <t>Sveaskog</t>
        </is>
      </c>
      <c r="G959" t="n">
        <v>27.8</v>
      </c>
      <c r="H959" t="n">
        <v>0</v>
      </c>
      <c r="I959" t="n">
        <v>0</v>
      </c>
      <c r="J959" t="n">
        <v>0</v>
      </c>
      <c r="K959" t="n">
        <v>0</v>
      </c>
      <c r="L959" t="n">
        <v>0</v>
      </c>
      <c r="M959" t="n">
        <v>0</v>
      </c>
      <c r="N959" t="n">
        <v>0</v>
      </c>
      <c r="O959" t="n">
        <v>0</v>
      </c>
      <c r="P959" t="n">
        <v>0</v>
      </c>
      <c r="Q959" t="n">
        <v>0</v>
      </c>
      <c r="R959" s="2" t="inlineStr"/>
    </row>
    <row r="960" ht="15" customHeight="1">
      <c r="A960" t="inlineStr">
        <is>
          <t>A 40220-2024</t>
        </is>
      </c>
      <c r="B960" s="1" t="n">
        <v>45554</v>
      </c>
      <c r="C960" s="1" t="n">
        <v>45827</v>
      </c>
      <c r="D960" t="inlineStr">
        <is>
          <t>NORRBOTTENS LÄN</t>
        </is>
      </c>
      <c r="E960" t="inlineStr">
        <is>
          <t>PAJALA</t>
        </is>
      </c>
      <c r="F960" t="inlineStr">
        <is>
          <t>Sveaskog</t>
        </is>
      </c>
      <c r="G960" t="n">
        <v>11.7</v>
      </c>
      <c r="H960" t="n">
        <v>0</v>
      </c>
      <c r="I960" t="n">
        <v>0</v>
      </c>
      <c r="J960" t="n">
        <v>0</v>
      </c>
      <c r="K960" t="n">
        <v>0</v>
      </c>
      <c r="L960" t="n">
        <v>0</v>
      </c>
      <c r="M960" t="n">
        <v>0</v>
      </c>
      <c r="N960" t="n">
        <v>0</v>
      </c>
      <c r="O960" t="n">
        <v>0</v>
      </c>
      <c r="P960" t="n">
        <v>0</v>
      </c>
      <c r="Q960" t="n">
        <v>0</v>
      </c>
      <c r="R960" s="2" t="inlineStr"/>
    </row>
    <row r="961" ht="15" customHeight="1">
      <c r="A961" t="inlineStr">
        <is>
          <t>A 40620-2024</t>
        </is>
      </c>
      <c r="B961" s="1" t="n">
        <v>45557</v>
      </c>
      <c r="C961" s="1" t="n">
        <v>45827</v>
      </c>
      <c r="D961" t="inlineStr">
        <is>
          <t>NORRBOTTENS LÄN</t>
        </is>
      </c>
      <c r="E961" t="inlineStr">
        <is>
          <t>PAJALA</t>
        </is>
      </c>
      <c r="G961" t="n">
        <v>27.7</v>
      </c>
      <c r="H961" t="n">
        <v>0</v>
      </c>
      <c r="I961" t="n">
        <v>0</v>
      </c>
      <c r="J961" t="n">
        <v>0</v>
      </c>
      <c r="K961" t="n">
        <v>0</v>
      </c>
      <c r="L961" t="n">
        <v>0</v>
      </c>
      <c r="M961" t="n">
        <v>0</v>
      </c>
      <c r="N961" t="n">
        <v>0</v>
      </c>
      <c r="O961" t="n">
        <v>0</v>
      </c>
      <c r="P961" t="n">
        <v>0</v>
      </c>
      <c r="Q961" t="n">
        <v>0</v>
      </c>
      <c r="R961" s="2" t="inlineStr"/>
    </row>
    <row r="962" ht="15" customHeight="1">
      <c r="A962" t="inlineStr">
        <is>
          <t>A 40804-2024</t>
        </is>
      </c>
      <c r="B962" s="1" t="n">
        <v>45558</v>
      </c>
      <c r="C962" s="1" t="n">
        <v>45827</v>
      </c>
      <c r="D962" t="inlineStr">
        <is>
          <t>NORRBOTTENS LÄN</t>
        </is>
      </c>
      <c r="E962" t="inlineStr">
        <is>
          <t>PAJALA</t>
        </is>
      </c>
      <c r="G962" t="n">
        <v>93</v>
      </c>
      <c r="H962" t="n">
        <v>0</v>
      </c>
      <c r="I962" t="n">
        <v>0</v>
      </c>
      <c r="J962" t="n">
        <v>0</v>
      </c>
      <c r="K962" t="n">
        <v>0</v>
      </c>
      <c r="L962" t="n">
        <v>0</v>
      </c>
      <c r="M962" t="n">
        <v>0</v>
      </c>
      <c r="N962" t="n">
        <v>0</v>
      </c>
      <c r="O962" t="n">
        <v>0</v>
      </c>
      <c r="P962" t="n">
        <v>0</v>
      </c>
      <c r="Q962" t="n">
        <v>0</v>
      </c>
      <c r="R962" s="2" t="inlineStr"/>
    </row>
    <row r="963" ht="15" customHeight="1">
      <c r="A963" t="inlineStr">
        <is>
          <t>A 40885-2024</t>
        </is>
      </c>
      <c r="B963" s="1" t="n">
        <v>45558</v>
      </c>
      <c r="C963" s="1" t="n">
        <v>45827</v>
      </c>
      <c r="D963" t="inlineStr">
        <is>
          <t>NORRBOTTENS LÄN</t>
        </is>
      </c>
      <c r="E963" t="inlineStr">
        <is>
          <t>PAJALA</t>
        </is>
      </c>
      <c r="G963" t="n">
        <v>6.3</v>
      </c>
      <c r="H963" t="n">
        <v>0</v>
      </c>
      <c r="I963" t="n">
        <v>0</v>
      </c>
      <c r="J963" t="n">
        <v>0</v>
      </c>
      <c r="K963" t="n">
        <v>0</v>
      </c>
      <c r="L963" t="n">
        <v>0</v>
      </c>
      <c r="M963" t="n">
        <v>0</v>
      </c>
      <c r="N963" t="n">
        <v>0</v>
      </c>
      <c r="O963" t="n">
        <v>0</v>
      </c>
      <c r="P963" t="n">
        <v>0</v>
      </c>
      <c r="Q963" t="n">
        <v>0</v>
      </c>
      <c r="R963" s="2" t="inlineStr"/>
    </row>
    <row r="964" ht="15" customHeight="1">
      <c r="A964" t="inlineStr">
        <is>
          <t>A 40894-2024</t>
        </is>
      </c>
      <c r="B964" s="1" t="n">
        <v>45558</v>
      </c>
      <c r="C964" s="1" t="n">
        <v>45827</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40910-2024</t>
        </is>
      </c>
      <c r="B965" s="1" t="n">
        <v>45558</v>
      </c>
      <c r="C965" s="1" t="n">
        <v>45827</v>
      </c>
      <c r="D965" t="inlineStr">
        <is>
          <t>NORRBOTTENS LÄN</t>
        </is>
      </c>
      <c r="E965" t="inlineStr">
        <is>
          <t>PAJALA</t>
        </is>
      </c>
      <c r="G965" t="n">
        <v>0.9</v>
      </c>
      <c r="H965" t="n">
        <v>0</v>
      </c>
      <c r="I965" t="n">
        <v>0</v>
      </c>
      <c r="J965" t="n">
        <v>0</v>
      </c>
      <c r="K965" t="n">
        <v>0</v>
      </c>
      <c r="L965" t="n">
        <v>0</v>
      </c>
      <c r="M965" t="n">
        <v>0</v>
      </c>
      <c r="N965" t="n">
        <v>0</v>
      </c>
      <c r="O965" t="n">
        <v>0</v>
      </c>
      <c r="P965" t="n">
        <v>0</v>
      </c>
      <c r="Q965" t="n">
        <v>0</v>
      </c>
      <c r="R965" s="2" t="inlineStr"/>
    </row>
    <row r="966" ht="15" customHeight="1">
      <c r="A966" t="inlineStr">
        <is>
          <t>A 40926-2024</t>
        </is>
      </c>
      <c r="B966" s="1" t="n">
        <v>45558</v>
      </c>
      <c r="C966" s="1" t="n">
        <v>45827</v>
      </c>
      <c r="D966" t="inlineStr">
        <is>
          <t>NORRBOTTENS LÄN</t>
        </is>
      </c>
      <c r="E966" t="inlineStr">
        <is>
          <t>PAJALA</t>
        </is>
      </c>
      <c r="G966" t="n">
        <v>28.7</v>
      </c>
      <c r="H966" t="n">
        <v>0</v>
      </c>
      <c r="I966" t="n">
        <v>0</v>
      </c>
      <c r="J966" t="n">
        <v>0</v>
      </c>
      <c r="K966" t="n">
        <v>0</v>
      </c>
      <c r="L966" t="n">
        <v>0</v>
      </c>
      <c r="M966" t="n">
        <v>0</v>
      </c>
      <c r="N966" t="n">
        <v>0</v>
      </c>
      <c r="O966" t="n">
        <v>0</v>
      </c>
      <c r="P966" t="n">
        <v>0</v>
      </c>
      <c r="Q966" t="n">
        <v>0</v>
      </c>
      <c r="R966" s="2" t="inlineStr"/>
    </row>
    <row r="967" ht="15" customHeight="1">
      <c r="A967" t="inlineStr">
        <is>
          <t>A 40947-2024</t>
        </is>
      </c>
      <c r="B967" s="1" t="n">
        <v>45558</v>
      </c>
      <c r="C967" s="1" t="n">
        <v>45827</v>
      </c>
      <c r="D967" t="inlineStr">
        <is>
          <t>NORRBOTTENS LÄN</t>
        </is>
      </c>
      <c r="E967" t="inlineStr">
        <is>
          <t>PAJALA</t>
        </is>
      </c>
      <c r="G967" t="n">
        <v>6.9</v>
      </c>
      <c r="H967" t="n">
        <v>0</v>
      </c>
      <c r="I967" t="n">
        <v>0</v>
      </c>
      <c r="J967" t="n">
        <v>0</v>
      </c>
      <c r="K967" t="n">
        <v>0</v>
      </c>
      <c r="L967" t="n">
        <v>0</v>
      </c>
      <c r="M967" t="n">
        <v>0</v>
      </c>
      <c r="N967" t="n">
        <v>0</v>
      </c>
      <c r="O967" t="n">
        <v>0</v>
      </c>
      <c r="P967" t="n">
        <v>0</v>
      </c>
      <c r="Q967" t="n">
        <v>0</v>
      </c>
      <c r="R967" s="2" t="inlineStr"/>
    </row>
    <row r="968" ht="15" customHeight="1">
      <c r="A968" t="inlineStr">
        <is>
          <t>A 41001-2024</t>
        </is>
      </c>
      <c r="B968" s="1" t="n">
        <v>45558</v>
      </c>
      <c r="C968" s="1" t="n">
        <v>45827</v>
      </c>
      <c r="D968" t="inlineStr">
        <is>
          <t>NORRBOTTENS LÄN</t>
        </is>
      </c>
      <c r="E968" t="inlineStr">
        <is>
          <t>PAJALA</t>
        </is>
      </c>
      <c r="G968" t="n">
        <v>6</v>
      </c>
      <c r="H968" t="n">
        <v>0</v>
      </c>
      <c r="I968" t="n">
        <v>0</v>
      </c>
      <c r="J968" t="n">
        <v>0</v>
      </c>
      <c r="K968" t="n">
        <v>0</v>
      </c>
      <c r="L968" t="n">
        <v>0</v>
      </c>
      <c r="M968" t="n">
        <v>0</v>
      </c>
      <c r="N968" t="n">
        <v>0</v>
      </c>
      <c r="O968" t="n">
        <v>0</v>
      </c>
      <c r="P968" t="n">
        <v>0</v>
      </c>
      <c r="Q968" t="n">
        <v>0</v>
      </c>
      <c r="R968" s="2" t="inlineStr"/>
    </row>
    <row r="969" ht="15" customHeight="1">
      <c r="A969" t="inlineStr">
        <is>
          <t>A 41612-2024</t>
        </is>
      </c>
      <c r="B969" s="1" t="n">
        <v>45560</v>
      </c>
      <c r="C969" s="1" t="n">
        <v>45827</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41871-2024</t>
        </is>
      </c>
      <c r="B970" s="1" t="n">
        <v>45561</v>
      </c>
      <c r="C970" s="1" t="n">
        <v>45827</v>
      </c>
      <c r="D970" t="inlineStr">
        <is>
          <t>NORRBOTTENS LÄN</t>
        </is>
      </c>
      <c r="E970" t="inlineStr">
        <is>
          <t>PAJALA</t>
        </is>
      </c>
      <c r="G970" t="n">
        <v>25.1</v>
      </c>
      <c r="H970" t="n">
        <v>0</v>
      </c>
      <c r="I970" t="n">
        <v>0</v>
      </c>
      <c r="J970" t="n">
        <v>0</v>
      </c>
      <c r="K970" t="n">
        <v>0</v>
      </c>
      <c r="L970" t="n">
        <v>0</v>
      </c>
      <c r="M970" t="n">
        <v>0</v>
      </c>
      <c r="N970" t="n">
        <v>0</v>
      </c>
      <c r="O970" t="n">
        <v>0</v>
      </c>
      <c r="P970" t="n">
        <v>0</v>
      </c>
      <c r="Q970" t="n">
        <v>0</v>
      </c>
      <c r="R970" s="2" t="inlineStr"/>
    </row>
    <row r="971" ht="15" customHeight="1">
      <c r="A971" t="inlineStr">
        <is>
          <t>A 42148-2024</t>
        </is>
      </c>
      <c r="B971" s="1" t="n">
        <v>45562</v>
      </c>
      <c r="C971" s="1" t="n">
        <v>45827</v>
      </c>
      <c r="D971" t="inlineStr">
        <is>
          <t>NORRBOTTENS LÄN</t>
        </is>
      </c>
      <c r="E971" t="inlineStr">
        <is>
          <t>PAJALA</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42857-2024</t>
        </is>
      </c>
      <c r="B972" s="1" t="n">
        <v>45566</v>
      </c>
      <c r="C972" s="1" t="n">
        <v>45827</v>
      </c>
      <c r="D972" t="inlineStr">
        <is>
          <t>NORRBOTTENS LÄN</t>
        </is>
      </c>
      <c r="E972" t="inlineStr">
        <is>
          <t>PAJALA</t>
        </is>
      </c>
      <c r="G972" t="n">
        <v>40.1</v>
      </c>
      <c r="H972" t="n">
        <v>0</v>
      </c>
      <c r="I972" t="n">
        <v>0</v>
      </c>
      <c r="J972" t="n">
        <v>0</v>
      </c>
      <c r="K972" t="n">
        <v>0</v>
      </c>
      <c r="L972" t="n">
        <v>0</v>
      </c>
      <c r="M972" t="n">
        <v>0</v>
      </c>
      <c r="N972" t="n">
        <v>0</v>
      </c>
      <c r="O972" t="n">
        <v>0</v>
      </c>
      <c r="P972" t="n">
        <v>0</v>
      </c>
      <c r="Q972" t="n">
        <v>0</v>
      </c>
      <c r="R972" s="2" t="inlineStr"/>
    </row>
    <row r="973" ht="15" customHeight="1">
      <c r="A973" t="inlineStr">
        <is>
          <t>A 42883-2024</t>
        </is>
      </c>
      <c r="B973" s="1" t="n">
        <v>45566</v>
      </c>
      <c r="C973" s="1" t="n">
        <v>45827</v>
      </c>
      <c r="D973" t="inlineStr">
        <is>
          <t>NORRBOTTENS LÄN</t>
        </is>
      </c>
      <c r="E973" t="inlineStr">
        <is>
          <t>PAJALA</t>
        </is>
      </c>
      <c r="G973" t="n">
        <v>2.2</v>
      </c>
      <c r="H973" t="n">
        <v>0</v>
      </c>
      <c r="I973" t="n">
        <v>0</v>
      </c>
      <c r="J973" t="n">
        <v>0</v>
      </c>
      <c r="K973" t="n">
        <v>0</v>
      </c>
      <c r="L973" t="n">
        <v>0</v>
      </c>
      <c r="M973" t="n">
        <v>0</v>
      </c>
      <c r="N973" t="n">
        <v>0</v>
      </c>
      <c r="O973" t="n">
        <v>0</v>
      </c>
      <c r="P973" t="n">
        <v>0</v>
      </c>
      <c r="Q973" t="n">
        <v>0</v>
      </c>
      <c r="R973" s="2" t="inlineStr"/>
    </row>
    <row r="974" ht="15" customHeight="1">
      <c r="A974" t="inlineStr">
        <is>
          <t>A 42888-2024</t>
        </is>
      </c>
      <c r="B974" s="1" t="n">
        <v>45566</v>
      </c>
      <c r="C974" s="1" t="n">
        <v>45827</v>
      </c>
      <c r="D974" t="inlineStr">
        <is>
          <t>NORRBOTTENS LÄN</t>
        </is>
      </c>
      <c r="E974" t="inlineStr">
        <is>
          <t>PAJALA</t>
        </is>
      </c>
      <c r="G974" t="n">
        <v>8.4</v>
      </c>
      <c r="H974" t="n">
        <v>0</v>
      </c>
      <c r="I974" t="n">
        <v>0</v>
      </c>
      <c r="J974" t="n">
        <v>0</v>
      </c>
      <c r="K974" t="n">
        <v>0</v>
      </c>
      <c r="L974" t="n">
        <v>0</v>
      </c>
      <c r="M974" t="n">
        <v>0</v>
      </c>
      <c r="N974" t="n">
        <v>0</v>
      </c>
      <c r="O974" t="n">
        <v>0</v>
      </c>
      <c r="P974" t="n">
        <v>0</v>
      </c>
      <c r="Q974" t="n">
        <v>0</v>
      </c>
      <c r="R974" s="2" t="inlineStr"/>
    </row>
    <row r="975" ht="15" customHeight="1">
      <c r="A975" t="inlineStr">
        <is>
          <t>A 42882-2024</t>
        </is>
      </c>
      <c r="B975" s="1" t="n">
        <v>45566</v>
      </c>
      <c r="C975" s="1" t="n">
        <v>45827</v>
      </c>
      <c r="D975" t="inlineStr">
        <is>
          <t>NORRBOTTENS LÄN</t>
        </is>
      </c>
      <c r="E975" t="inlineStr">
        <is>
          <t>PAJALA</t>
        </is>
      </c>
      <c r="G975" t="n">
        <v>7.4</v>
      </c>
      <c r="H975" t="n">
        <v>0</v>
      </c>
      <c r="I975" t="n">
        <v>0</v>
      </c>
      <c r="J975" t="n">
        <v>0</v>
      </c>
      <c r="K975" t="n">
        <v>0</v>
      </c>
      <c r="L975" t="n">
        <v>0</v>
      </c>
      <c r="M975" t="n">
        <v>0</v>
      </c>
      <c r="N975" t="n">
        <v>0</v>
      </c>
      <c r="O975" t="n">
        <v>0</v>
      </c>
      <c r="P975" t="n">
        <v>0</v>
      </c>
      <c r="Q975" t="n">
        <v>0</v>
      </c>
      <c r="R975" s="2" t="inlineStr"/>
    </row>
    <row r="976" ht="15" customHeight="1">
      <c r="A976" t="inlineStr">
        <is>
          <t>A 42886-2024</t>
        </is>
      </c>
      <c r="B976" s="1" t="n">
        <v>45566</v>
      </c>
      <c r="C976" s="1" t="n">
        <v>45827</v>
      </c>
      <c r="D976" t="inlineStr">
        <is>
          <t>NORRBOTTENS LÄN</t>
        </is>
      </c>
      <c r="E976" t="inlineStr">
        <is>
          <t>PAJALA</t>
        </is>
      </c>
      <c r="G976" t="n">
        <v>26.7</v>
      </c>
      <c r="H976" t="n">
        <v>0</v>
      </c>
      <c r="I976" t="n">
        <v>0</v>
      </c>
      <c r="J976" t="n">
        <v>0</v>
      </c>
      <c r="K976" t="n">
        <v>0</v>
      </c>
      <c r="L976" t="n">
        <v>0</v>
      </c>
      <c r="M976" t="n">
        <v>0</v>
      </c>
      <c r="N976" t="n">
        <v>0</v>
      </c>
      <c r="O976" t="n">
        <v>0</v>
      </c>
      <c r="P976" t="n">
        <v>0</v>
      </c>
      <c r="Q976" t="n">
        <v>0</v>
      </c>
      <c r="R976" s="2" t="inlineStr"/>
    </row>
    <row r="977" ht="15" customHeight="1">
      <c r="A977" t="inlineStr">
        <is>
          <t>A 43472-2024</t>
        </is>
      </c>
      <c r="B977" s="1" t="n">
        <v>45568</v>
      </c>
      <c r="C977" s="1" t="n">
        <v>45827</v>
      </c>
      <c r="D977" t="inlineStr">
        <is>
          <t>NORRBOTTENS LÄN</t>
        </is>
      </c>
      <c r="E977" t="inlineStr">
        <is>
          <t>PAJALA</t>
        </is>
      </c>
      <c r="G977" t="n">
        <v>1.3</v>
      </c>
      <c r="H977" t="n">
        <v>0</v>
      </c>
      <c r="I977" t="n">
        <v>0</v>
      </c>
      <c r="J977" t="n">
        <v>0</v>
      </c>
      <c r="K977" t="n">
        <v>0</v>
      </c>
      <c r="L977" t="n">
        <v>0</v>
      </c>
      <c r="M977" t="n">
        <v>0</v>
      </c>
      <c r="N977" t="n">
        <v>0</v>
      </c>
      <c r="O977" t="n">
        <v>0</v>
      </c>
      <c r="P977" t="n">
        <v>0</v>
      </c>
      <c r="Q977" t="n">
        <v>0</v>
      </c>
      <c r="R977" s="2" t="inlineStr"/>
    </row>
    <row r="978" ht="15" customHeight="1">
      <c r="A978" t="inlineStr">
        <is>
          <t>A 43449-2024</t>
        </is>
      </c>
      <c r="B978" s="1" t="n">
        <v>45568</v>
      </c>
      <c r="C978" s="1" t="n">
        <v>45827</v>
      </c>
      <c r="D978" t="inlineStr">
        <is>
          <t>NORRBOTTENS LÄN</t>
        </is>
      </c>
      <c r="E978" t="inlineStr">
        <is>
          <t>PAJALA</t>
        </is>
      </c>
      <c r="F978" t="inlineStr">
        <is>
          <t>Sveaskog</t>
        </is>
      </c>
      <c r="G978" t="n">
        <v>7.2</v>
      </c>
      <c r="H978" t="n">
        <v>0</v>
      </c>
      <c r="I978" t="n">
        <v>0</v>
      </c>
      <c r="J978" t="n">
        <v>0</v>
      </c>
      <c r="K978" t="n">
        <v>0</v>
      </c>
      <c r="L978" t="n">
        <v>0</v>
      </c>
      <c r="M978" t="n">
        <v>0</v>
      </c>
      <c r="N978" t="n">
        <v>0</v>
      </c>
      <c r="O978" t="n">
        <v>0</v>
      </c>
      <c r="P978" t="n">
        <v>0</v>
      </c>
      <c r="Q978" t="n">
        <v>0</v>
      </c>
      <c r="R978" s="2" t="inlineStr"/>
    </row>
    <row r="979" ht="15" customHeight="1">
      <c r="A979" t="inlineStr">
        <is>
          <t>A 43445-2024</t>
        </is>
      </c>
      <c r="B979" s="1" t="n">
        <v>45568</v>
      </c>
      <c r="C979" s="1" t="n">
        <v>45827</v>
      </c>
      <c r="D979" t="inlineStr">
        <is>
          <t>NORRBOTTENS LÄN</t>
        </is>
      </c>
      <c r="E979" t="inlineStr">
        <is>
          <t>PAJALA</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44121-2024</t>
        </is>
      </c>
      <c r="B980" s="1" t="n">
        <v>45572</v>
      </c>
      <c r="C980" s="1" t="n">
        <v>45827</v>
      </c>
      <c r="D980" t="inlineStr">
        <is>
          <t>NORRBOTTENS LÄN</t>
        </is>
      </c>
      <c r="E980" t="inlineStr">
        <is>
          <t>PAJALA</t>
        </is>
      </c>
      <c r="F980" t="inlineStr">
        <is>
          <t>Sveaskog</t>
        </is>
      </c>
      <c r="G980" t="n">
        <v>14.1</v>
      </c>
      <c r="H980" t="n">
        <v>0</v>
      </c>
      <c r="I980" t="n">
        <v>0</v>
      </c>
      <c r="J980" t="n">
        <v>0</v>
      </c>
      <c r="K980" t="n">
        <v>0</v>
      </c>
      <c r="L980" t="n">
        <v>0</v>
      </c>
      <c r="M980" t="n">
        <v>0</v>
      </c>
      <c r="N980" t="n">
        <v>0</v>
      </c>
      <c r="O980" t="n">
        <v>0</v>
      </c>
      <c r="P980" t="n">
        <v>0</v>
      </c>
      <c r="Q980" t="n">
        <v>0</v>
      </c>
      <c r="R980" s="2" t="inlineStr"/>
    </row>
    <row r="981" ht="15" customHeight="1">
      <c r="A981" t="inlineStr">
        <is>
          <t>A 44110-2024</t>
        </is>
      </c>
      <c r="B981" s="1" t="n">
        <v>45572</v>
      </c>
      <c r="C981" s="1" t="n">
        <v>45827</v>
      </c>
      <c r="D981" t="inlineStr">
        <is>
          <t>NORRBOTTENS LÄN</t>
        </is>
      </c>
      <c r="E981" t="inlineStr">
        <is>
          <t>PAJALA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44216-2024</t>
        </is>
      </c>
      <c r="B982" s="1" t="n">
        <v>45573</v>
      </c>
      <c r="C982" s="1" t="n">
        <v>45827</v>
      </c>
      <c r="D982" t="inlineStr">
        <is>
          <t>NORRBOTTENS LÄN</t>
        </is>
      </c>
      <c r="E982" t="inlineStr">
        <is>
          <t>PAJALA</t>
        </is>
      </c>
      <c r="G982" t="n">
        <v>0.6</v>
      </c>
      <c r="H982" t="n">
        <v>0</v>
      </c>
      <c r="I982" t="n">
        <v>0</v>
      </c>
      <c r="J982" t="n">
        <v>0</v>
      </c>
      <c r="K982" t="n">
        <v>0</v>
      </c>
      <c r="L982" t="n">
        <v>0</v>
      </c>
      <c r="M982" t="n">
        <v>0</v>
      </c>
      <c r="N982" t="n">
        <v>0</v>
      </c>
      <c r="O982" t="n">
        <v>0</v>
      </c>
      <c r="P982" t="n">
        <v>0</v>
      </c>
      <c r="Q982" t="n">
        <v>0</v>
      </c>
      <c r="R982" s="2" t="inlineStr"/>
    </row>
    <row r="983" ht="15" customHeight="1">
      <c r="A983" t="inlineStr">
        <is>
          <t>A 44997-2024</t>
        </is>
      </c>
      <c r="B983" s="1" t="n">
        <v>45575</v>
      </c>
      <c r="C983" s="1" t="n">
        <v>45827</v>
      </c>
      <c r="D983" t="inlineStr">
        <is>
          <t>NORRBOTTENS LÄN</t>
        </is>
      </c>
      <c r="E983" t="inlineStr">
        <is>
          <t>PAJALA</t>
        </is>
      </c>
      <c r="G983" t="n">
        <v>4.5</v>
      </c>
      <c r="H983" t="n">
        <v>0</v>
      </c>
      <c r="I983" t="n">
        <v>0</v>
      </c>
      <c r="J983" t="n">
        <v>0</v>
      </c>
      <c r="K983" t="n">
        <v>0</v>
      </c>
      <c r="L983" t="n">
        <v>0</v>
      </c>
      <c r="M983" t="n">
        <v>0</v>
      </c>
      <c r="N983" t="n">
        <v>0</v>
      </c>
      <c r="O983" t="n">
        <v>0</v>
      </c>
      <c r="P983" t="n">
        <v>0</v>
      </c>
      <c r="Q983" t="n">
        <v>0</v>
      </c>
      <c r="R983" s="2" t="inlineStr"/>
    </row>
    <row r="984" ht="15" customHeight="1">
      <c r="A984" t="inlineStr">
        <is>
          <t>A 44998-2024</t>
        </is>
      </c>
      <c r="B984" s="1" t="n">
        <v>45575</v>
      </c>
      <c r="C984" s="1" t="n">
        <v>45827</v>
      </c>
      <c r="D984" t="inlineStr">
        <is>
          <t>NORRBOTTENS LÄN</t>
        </is>
      </c>
      <c r="E984" t="inlineStr">
        <is>
          <t>PAJALA</t>
        </is>
      </c>
      <c r="G984" t="n">
        <v>3</v>
      </c>
      <c r="H984" t="n">
        <v>0</v>
      </c>
      <c r="I984" t="n">
        <v>0</v>
      </c>
      <c r="J984" t="n">
        <v>0</v>
      </c>
      <c r="K984" t="n">
        <v>0</v>
      </c>
      <c r="L984" t="n">
        <v>0</v>
      </c>
      <c r="M984" t="n">
        <v>0</v>
      </c>
      <c r="N984" t="n">
        <v>0</v>
      </c>
      <c r="O984" t="n">
        <v>0</v>
      </c>
      <c r="P984" t="n">
        <v>0</v>
      </c>
      <c r="Q984" t="n">
        <v>0</v>
      </c>
      <c r="R984" s="2" t="inlineStr"/>
    </row>
    <row r="985" ht="15" customHeight="1">
      <c r="A985" t="inlineStr">
        <is>
          <t>A 45662-2024</t>
        </is>
      </c>
      <c r="B985" s="1" t="n">
        <v>45579</v>
      </c>
      <c r="C985" s="1" t="n">
        <v>45827</v>
      </c>
      <c r="D985" t="inlineStr">
        <is>
          <t>NORRBOTTENS LÄN</t>
        </is>
      </c>
      <c r="E985" t="inlineStr">
        <is>
          <t>PAJALA</t>
        </is>
      </c>
      <c r="G985" t="n">
        <v>4.9</v>
      </c>
      <c r="H985" t="n">
        <v>0</v>
      </c>
      <c r="I985" t="n">
        <v>0</v>
      </c>
      <c r="J985" t="n">
        <v>0</v>
      </c>
      <c r="K985" t="n">
        <v>0</v>
      </c>
      <c r="L985" t="n">
        <v>0</v>
      </c>
      <c r="M985" t="n">
        <v>0</v>
      </c>
      <c r="N985" t="n">
        <v>0</v>
      </c>
      <c r="O985" t="n">
        <v>0</v>
      </c>
      <c r="P985" t="n">
        <v>0</v>
      </c>
      <c r="Q985" t="n">
        <v>0</v>
      </c>
      <c r="R985" s="2" t="inlineStr"/>
    </row>
    <row r="986" ht="15" customHeight="1">
      <c r="A986" t="inlineStr">
        <is>
          <t>A 45655-2024</t>
        </is>
      </c>
      <c r="B986" s="1" t="n">
        <v>45579</v>
      </c>
      <c r="C986" s="1" t="n">
        <v>45827</v>
      </c>
      <c r="D986" t="inlineStr">
        <is>
          <t>NORRBOTTENS LÄN</t>
        </is>
      </c>
      <c r="E986" t="inlineStr">
        <is>
          <t>PAJALA</t>
        </is>
      </c>
      <c r="G986" t="n">
        <v>1.5</v>
      </c>
      <c r="H986" t="n">
        <v>0</v>
      </c>
      <c r="I986" t="n">
        <v>0</v>
      </c>
      <c r="J986" t="n">
        <v>0</v>
      </c>
      <c r="K986" t="n">
        <v>0</v>
      </c>
      <c r="L986" t="n">
        <v>0</v>
      </c>
      <c r="M986" t="n">
        <v>0</v>
      </c>
      <c r="N986" t="n">
        <v>0</v>
      </c>
      <c r="O986" t="n">
        <v>0</v>
      </c>
      <c r="P986" t="n">
        <v>0</v>
      </c>
      <c r="Q986" t="n">
        <v>0</v>
      </c>
      <c r="R986" s="2" t="inlineStr"/>
    </row>
    <row r="987" ht="15" customHeight="1">
      <c r="A987" t="inlineStr">
        <is>
          <t>A 45597-2024</t>
        </is>
      </c>
      <c r="B987" s="1" t="n">
        <v>45579</v>
      </c>
      <c r="C987" s="1" t="n">
        <v>45827</v>
      </c>
      <c r="D987" t="inlineStr">
        <is>
          <t>NORRBOTTENS LÄN</t>
        </is>
      </c>
      <c r="E987" t="inlineStr">
        <is>
          <t>PAJALA</t>
        </is>
      </c>
      <c r="F987" t="inlineStr">
        <is>
          <t>Sveaskog</t>
        </is>
      </c>
      <c r="G987" t="n">
        <v>21.8</v>
      </c>
      <c r="H987" t="n">
        <v>0</v>
      </c>
      <c r="I987" t="n">
        <v>0</v>
      </c>
      <c r="J987" t="n">
        <v>0</v>
      </c>
      <c r="K987" t="n">
        <v>0</v>
      </c>
      <c r="L987" t="n">
        <v>0</v>
      </c>
      <c r="M987" t="n">
        <v>0</v>
      </c>
      <c r="N987" t="n">
        <v>0</v>
      </c>
      <c r="O987" t="n">
        <v>0</v>
      </c>
      <c r="P987" t="n">
        <v>0</v>
      </c>
      <c r="Q987" t="n">
        <v>0</v>
      </c>
      <c r="R987" s="2" t="inlineStr"/>
    </row>
    <row r="988" ht="15" customHeight="1">
      <c r="A988" t="inlineStr">
        <is>
          <t>A 46016-2024</t>
        </is>
      </c>
      <c r="B988" s="1" t="n">
        <v>45580</v>
      </c>
      <c r="C988" s="1" t="n">
        <v>45827</v>
      </c>
      <c r="D988" t="inlineStr">
        <is>
          <t>NORRBOTTENS LÄN</t>
        </is>
      </c>
      <c r="E988" t="inlineStr">
        <is>
          <t>PAJALA</t>
        </is>
      </c>
      <c r="G988" t="n">
        <v>21.1</v>
      </c>
      <c r="H988" t="n">
        <v>0</v>
      </c>
      <c r="I988" t="n">
        <v>0</v>
      </c>
      <c r="J988" t="n">
        <v>0</v>
      </c>
      <c r="K988" t="n">
        <v>0</v>
      </c>
      <c r="L988" t="n">
        <v>0</v>
      </c>
      <c r="M988" t="n">
        <v>0</v>
      </c>
      <c r="N988" t="n">
        <v>0</v>
      </c>
      <c r="O988" t="n">
        <v>0</v>
      </c>
      <c r="P988" t="n">
        <v>0</v>
      </c>
      <c r="Q988" t="n">
        <v>0</v>
      </c>
      <c r="R988" s="2" t="inlineStr"/>
    </row>
    <row r="989" ht="15" customHeight="1">
      <c r="A989" t="inlineStr">
        <is>
          <t>A 46018-2024</t>
        </is>
      </c>
      <c r="B989" s="1" t="n">
        <v>45580</v>
      </c>
      <c r="C989" s="1" t="n">
        <v>45827</v>
      </c>
      <c r="D989" t="inlineStr">
        <is>
          <t>NORRBOTTENS LÄN</t>
        </is>
      </c>
      <c r="E989" t="inlineStr">
        <is>
          <t>PAJALA</t>
        </is>
      </c>
      <c r="G989" t="n">
        <v>3.5</v>
      </c>
      <c r="H989" t="n">
        <v>0</v>
      </c>
      <c r="I989" t="n">
        <v>0</v>
      </c>
      <c r="J989" t="n">
        <v>0</v>
      </c>
      <c r="K989" t="n">
        <v>0</v>
      </c>
      <c r="L989" t="n">
        <v>0</v>
      </c>
      <c r="M989" t="n">
        <v>0</v>
      </c>
      <c r="N989" t="n">
        <v>0</v>
      </c>
      <c r="O989" t="n">
        <v>0</v>
      </c>
      <c r="P989" t="n">
        <v>0</v>
      </c>
      <c r="Q989" t="n">
        <v>0</v>
      </c>
      <c r="R989" s="2" t="inlineStr"/>
    </row>
    <row r="990" ht="15" customHeight="1">
      <c r="A990" t="inlineStr">
        <is>
          <t>A 46022-2024</t>
        </is>
      </c>
      <c r="B990" s="1" t="n">
        <v>45580</v>
      </c>
      <c r="C990" s="1" t="n">
        <v>45827</v>
      </c>
      <c r="D990" t="inlineStr">
        <is>
          <t>NORRBOTTENS LÄN</t>
        </is>
      </c>
      <c r="E990" t="inlineStr">
        <is>
          <t>PAJALA</t>
        </is>
      </c>
      <c r="G990" t="n">
        <v>9.1</v>
      </c>
      <c r="H990" t="n">
        <v>0</v>
      </c>
      <c r="I990" t="n">
        <v>0</v>
      </c>
      <c r="J990" t="n">
        <v>0</v>
      </c>
      <c r="K990" t="n">
        <v>0</v>
      </c>
      <c r="L990" t="n">
        <v>0</v>
      </c>
      <c r="M990" t="n">
        <v>0</v>
      </c>
      <c r="N990" t="n">
        <v>0</v>
      </c>
      <c r="O990" t="n">
        <v>0</v>
      </c>
      <c r="P990" t="n">
        <v>0</v>
      </c>
      <c r="Q990" t="n">
        <v>0</v>
      </c>
      <c r="R990" s="2" t="inlineStr"/>
    </row>
    <row r="991" ht="15" customHeight="1">
      <c r="A991" t="inlineStr">
        <is>
          <t>A 46013-2024</t>
        </is>
      </c>
      <c r="B991" s="1" t="n">
        <v>45580</v>
      </c>
      <c r="C991" s="1" t="n">
        <v>45827</v>
      </c>
      <c r="D991" t="inlineStr">
        <is>
          <t>NORRBOTTENS LÄN</t>
        </is>
      </c>
      <c r="E991" t="inlineStr">
        <is>
          <t>PAJALA</t>
        </is>
      </c>
      <c r="G991" t="n">
        <v>2.5</v>
      </c>
      <c r="H991" t="n">
        <v>0</v>
      </c>
      <c r="I991" t="n">
        <v>0</v>
      </c>
      <c r="J991" t="n">
        <v>0</v>
      </c>
      <c r="K991" t="n">
        <v>0</v>
      </c>
      <c r="L991" t="n">
        <v>0</v>
      </c>
      <c r="M991" t="n">
        <v>0</v>
      </c>
      <c r="N991" t="n">
        <v>0</v>
      </c>
      <c r="O991" t="n">
        <v>0</v>
      </c>
      <c r="P991" t="n">
        <v>0</v>
      </c>
      <c r="Q991" t="n">
        <v>0</v>
      </c>
      <c r="R991" s="2" t="inlineStr"/>
    </row>
    <row r="992" ht="15" customHeight="1">
      <c r="A992" t="inlineStr">
        <is>
          <t>A 46017-2024</t>
        </is>
      </c>
      <c r="B992" s="1" t="n">
        <v>45580</v>
      </c>
      <c r="C992" s="1" t="n">
        <v>45827</v>
      </c>
      <c r="D992" t="inlineStr">
        <is>
          <t>NORRBOTTENS LÄN</t>
        </is>
      </c>
      <c r="E992" t="inlineStr">
        <is>
          <t>PAJALA</t>
        </is>
      </c>
      <c r="G992" t="n">
        <v>6.7</v>
      </c>
      <c r="H992" t="n">
        <v>0</v>
      </c>
      <c r="I992" t="n">
        <v>0</v>
      </c>
      <c r="J992" t="n">
        <v>0</v>
      </c>
      <c r="K992" t="n">
        <v>0</v>
      </c>
      <c r="L992" t="n">
        <v>0</v>
      </c>
      <c r="M992" t="n">
        <v>0</v>
      </c>
      <c r="N992" t="n">
        <v>0</v>
      </c>
      <c r="O992" t="n">
        <v>0</v>
      </c>
      <c r="P992" t="n">
        <v>0</v>
      </c>
      <c r="Q992" t="n">
        <v>0</v>
      </c>
      <c r="R992" s="2" t="inlineStr"/>
    </row>
    <row r="993" ht="15" customHeight="1">
      <c r="A993" t="inlineStr">
        <is>
          <t>A 46025-2024</t>
        </is>
      </c>
      <c r="B993" s="1" t="n">
        <v>45580</v>
      </c>
      <c r="C993" s="1" t="n">
        <v>45827</v>
      </c>
      <c r="D993" t="inlineStr">
        <is>
          <t>NORRBOTTENS LÄN</t>
        </is>
      </c>
      <c r="E993" t="inlineStr">
        <is>
          <t>PAJALA</t>
        </is>
      </c>
      <c r="G993" t="n">
        <v>6.3</v>
      </c>
      <c r="H993" t="n">
        <v>0</v>
      </c>
      <c r="I993" t="n">
        <v>0</v>
      </c>
      <c r="J993" t="n">
        <v>0</v>
      </c>
      <c r="K993" t="n">
        <v>0</v>
      </c>
      <c r="L993" t="n">
        <v>0</v>
      </c>
      <c r="M993" t="n">
        <v>0</v>
      </c>
      <c r="N993" t="n">
        <v>0</v>
      </c>
      <c r="O993" t="n">
        <v>0</v>
      </c>
      <c r="P993" t="n">
        <v>0</v>
      </c>
      <c r="Q993" t="n">
        <v>0</v>
      </c>
      <c r="R993" s="2" t="inlineStr"/>
    </row>
    <row r="994" ht="15" customHeight="1">
      <c r="A994" t="inlineStr">
        <is>
          <t>A 45914-2024</t>
        </is>
      </c>
      <c r="B994" s="1" t="n">
        <v>45580</v>
      </c>
      <c r="C994" s="1" t="n">
        <v>45827</v>
      </c>
      <c r="D994" t="inlineStr">
        <is>
          <t>NORRBOTTENS LÄN</t>
        </is>
      </c>
      <c r="E994" t="inlineStr">
        <is>
          <t>PAJALA</t>
        </is>
      </c>
      <c r="G994" t="n">
        <v>3</v>
      </c>
      <c r="H994" t="n">
        <v>0</v>
      </c>
      <c r="I994" t="n">
        <v>0</v>
      </c>
      <c r="J994" t="n">
        <v>0</v>
      </c>
      <c r="K994" t="n">
        <v>0</v>
      </c>
      <c r="L994" t="n">
        <v>0</v>
      </c>
      <c r="M994" t="n">
        <v>0</v>
      </c>
      <c r="N994" t="n">
        <v>0</v>
      </c>
      <c r="O994" t="n">
        <v>0</v>
      </c>
      <c r="P994" t="n">
        <v>0</v>
      </c>
      <c r="Q994" t="n">
        <v>0</v>
      </c>
      <c r="R994" s="2" t="inlineStr"/>
    </row>
    <row r="995" ht="15" customHeight="1">
      <c r="A995" t="inlineStr">
        <is>
          <t>A 46011-2024</t>
        </is>
      </c>
      <c r="B995" s="1" t="n">
        <v>45580</v>
      </c>
      <c r="C995" s="1" t="n">
        <v>45827</v>
      </c>
      <c r="D995" t="inlineStr">
        <is>
          <t>NORRBOTTENS LÄN</t>
        </is>
      </c>
      <c r="E995" t="inlineStr">
        <is>
          <t>PAJALA</t>
        </is>
      </c>
      <c r="G995" t="n">
        <v>8</v>
      </c>
      <c r="H995" t="n">
        <v>0</v>
      </c>
      <c r="I995" t="n">
        <v>0</v>
      </c>
      <c r="J995" t="n">
        <v>0</v>
      </c>
      <c r="K995" t="n">
        <v>0</v>
      </c>
      <c r="L995" t="n">
        <v>0</v>
      </c>
      <c r="M995" t="n">
        <v>0</v>
      </c>
      <c r="N995" t="n">
        <v>0</v>
      </c>
      <c r="O995" t="n">
        <v>0</v>
      </c>
      <c r="P995" t="n">
        <v>0</v>
      </c>
      <c r="Q995" t="n">
        <v>0</v>
      </c>
      <c r="R995" s="2" t="inlineStr"/>
    </row>
    <row r="996" ht="15" customHeight="1">
      <c r="A996" t="inlineStr">
        <is>
          <t>A 46027-2024</t>
        </is>
      </c>
      <c r="B996" s="1" t="n">
        <v>45580</v>
      </c>
      <c r="C996" s="1" t="n">
        <v>45827</v>
      </c>
      <c r="D996" t="inlineStr">
        <is>
          <t>NORRBOTTENS LÄN</t>
        </is>
      </c>
      <c r="E996" t="inlineStr">
        <is>
          <t>PAJALA</t>
        </is>
      </c>
      <c r="G996" t="n">
        <v>21.1</v>
      </c>
      <c r="H996" t="n">
        <v>0</v>
      </c>
      <c r="I996" t="n">
        <v>0</v>
      </c>
      <c r="J996" t="n">
        <v>0</v>
      </c>
      <c r="K996" t="n">
        <v>0</v>
      </c>
      <c r="L996" t="n">
        <v>0</v>
      </c>
      <c r="M996" t="n">
        <v>0</v>
      </c>
      <c r="N996" t="n">
        <v>0</v>
      </c>
      <c r="O996" t="n">
        <v>0</v>
      </c>
      <c r="P996" t="n">
        <v>0</v>
      </c>
      <c r="Q996" t="n">
        <v>0</v>
      </c>
      <c r="R996" s="2" t="inlineStr"/>
    </row>
    <row r="997" ht="15" customHeight="1">
      <c r="A997" t="inlineStr">
        <is>
          <t>A 46169-2024</t>
        </is>
      </c>
      <c r="B997" s="1" t="n">
        <v>45581</v>
      </c>
      <c r="C997" s="1" t="n">
        <v>45827</v>
      </c>
      <c r="D997" t="inlineStr">
        <is>
          <t>NORRBOTTENS LÄN</t>
        </is>
      </c>
      <c r="E997" t="inlineStr">
        <is>
          <t>PAJALA</t>
        </is>
      </c>
      <c r="G997" t="n">
        <v>4.1</v>
      </c>
      <c r="H997" t="n">
        <v>0</v>
      </c>
      <c r="I997" t="n">
        <v>0</v>
      </c>
      <c r="J997" t="n">
        <v>0</v>
      </c>
      <c r="K997" t="n">
        <v>0</v>
      </c>
      <c r="L997" t="n">
        <v>0</v>
      </c>
      <c r="M997" t="n">
        <v>0</v>
      </c>
      <c r="N997" t="n">
        <v>0</v>
      </c>
      <c r="O997" t="n">
        <v>0</v>
      </c>
      <c r="P997" t="n">
        <v>0</v>
      </c>
      <c r="Q997" t="n">
        <v>0</v>
      </c>
      <c r="R997" s="2" t="inlineStr"/>
    </row>
    <row r="998" ht="15" customHeight="1">
      <c r="A998" t="inlineStr">
        <is>
          <t>A 46760-2024</t>
        </is>
      </c>
      <c r="B998" s="1" t="n">
        <v>45583</v>
      </c>
      <c r="C998" s="1" t="n">
        <v>45827</v>
      </c>
      <c r="D998" t="inlineStr">
        <is>
          <t>NORRBOTTENS LÄN</t>
        </is>
      </c>
      <c r="E998" t="inlineStr">
        <is>
          <t>PAJALA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46764-2024</t>
        </is>
      </c>
      <c r="B999" s="1" t="n">
        <v>45583</v>
      </c>
      <c r="C999" s="1" t="n">
        <v>45827</v>
      </c>
      <c r="D999" t="inlineStr">
        <is>
          <t>NORRBOTTENS LÄN</t>
        </is>
      </c>
      <c r="E999" t="inlineStr">
        <is>
          <t>PAJALA</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46820-2024</t>
        </is>
      </c>
      <c r="B1000" s="1" t="n">
        <v>45583</v>
      </c>
      <c r="C1000" s="1" t="n">
        <v>45827</v>
      </c>
      <c r="D1000" t="inlineStr">
        <is>
          <t>NORRBOTTENS LÄN</t>
        </is>
      </c>
      <c r="E1000" t="inlineStr">
        <is>
          <t>PAJALA</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46830-2024</t>
        </is>
      </c>
      <c r="B1001" s="1" t="n">
        <v>45583</v>
      </c>
      <c r="C1001" s="1" t="n">
        <v>45827</v>
      </c>
      <c r="D1001" t="inlineStr">
        <is>
          <t>NORRBOTTENS LÄN</t>
        </is>
      </c>
      <c r="E1001" t="inlineStr">
        <is>
          <t>PAJALA</t>
        </is>
      </c>
      <c r="F1001" t="inlineStr">
        <is>
          <t>Sveaskog</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46757-2024</t>
        </is>
      </c>
      <c r="B1002" s="1" t="n">
        <v>45583</v>
      </c>
      <c r="C1002" s="1" t="n">
        <v>45827</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46769-2024</t>
        </is>
      </c>
      <c r="B1003" s="1" t="n">
        <v>45583</v>
      </c>
      <c r="C1003" s="1" t="n">
        <v>45827</v>
      </c>
      <c r="D1003" t="inlineStr">
        <is>
          <t>NORRBOTTENS LÄN</t>
        </is>
      </c>
      <c r="E1003" t="inlineStr">
        <is>
          <t>PAJALA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46774-2024</t>
        </is>
      </c>
      <c r="B1004" s="1" t="n">
        <v>45583</v>
      </c>
      <c r="C1004" s="1" t="n">
        <v>45827</v>
      </c>
      <c r="D1004" t="inlineStr">
        <is>
          <t>NORRBOTTENS LÄN</t>
        </is>
      </c>
      <c r="E1004" t="inlineStr">
        <is>
          <t>PAJALA</t>
        </is>
      </c>
      <c r="F1004" t="inlineStr">
        <is>
          <t>SCA</t>
        </is>
      </c>
      <c r="G1004" t="n">
        <v>23.4</v>
      </c>
      <c r="H1004" t="n">
        <v>0</v>
      </c>
      <c r="I1004" t="n">
        <v>0</v>
      </c>
      <c r="J1004" t="n">
        <v>0</v>
      </c>
      <c r="K1004" t="n">
        <v>0</v>
      </c>
      <c r="L1004" t="n">
        <v>0</v>
      </c>
      <c r="M1004" t="n">
        <v>0</v>
      </c>
      <c r="N1004" t="n">
        <v>0</v>
      </c>
      <c r="O1004" t="n">
        <v>0</v>
      </c>
      <c r="P1004" t="n">
        <v>0</v>
      </c>
      <c r="Q1004" t="n">
        <v>0</v>
      </c>
      <c r="R1004" s="2" t="inlineStr"/>
    </row>
    <row r="1005" ht="15" customHeight="1">
      <c r="A1005" t="inlineStr">
        <is>
          <t>A 46851-2024</t>
        </is>
      </c>
      <c r="B1005" s="1" t="n">
        <v>45583</v>
      </c>
      <c r="C1005" s="1" t="n">
        <v>45827</v>
      </c>
      <c r="D1005" t="inlineStr">
        <is>
          <t>NORRBOTTENS LÄN</t>
        </is>
      </c>
      <c r="E1005" t="inlineStr">
        <is>
          <t>PAJALA</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47051-2024</t>
        </is>
      </c>
      <c r="B1006" s="1" t="n">
        <v>45585</v>
      </c>
      <c r="C1006" s="1" t="n">
        <v>45827</v>
      </c>
      <c r="D1006" t="inlineStr">
        <is>
          <t>NORRBOTTENS LÄN</t>
        </is>
      </c>
      <c r="E1006" t="inlineStr">
        <is>
          <t>PAJALA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46951-2024</t>
        </is>
      </c>
      <c r="B1007" s="1" t="n">
        <v>45585</v>
      </c>
      <c r="C1007" s="1" t="n">
        <v>45827</v>
      </c>
      <c r="D1007" t="inlineStr">
        <is>
          <t>NORRBOTTENS LÄN</t>
        </is>
      </c>
      <c r="E1007" t="inlineStr">
        <is>
          <t>PAJALA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46953-2024</t>
        </is>
      </c>
      <c r="B1008" s="1" t="n">
        <v>45585</v>
      </c>
      <c r="C1008" s="1" t="n">
        <v>45827</v>
      </c>
      <c r="D1008" t="inlineStr">
        <is>
          <t>NORRBOTTENS LÄN</t>
        </is>
      </c>
      <c r="E1008" t="inlineStr">
        <is>
          <t>PAJALA</t>
        </is>
      </c>
      <c r="G1008" t="n">
        <v>24.2</v>
      </c>
      <c r="H1008" t="n">
        <v>0</v>
      </c>
      <c r="I1008" t="n">
        <v>0</v>
      </c>
      <c r="J1008" t="n">
        <v>0</v>
      </c>
      <c r="K1008" t="n">
        <v>0</v>
      </c>
      <c r="L1008" t="n">
        <v>0</v>
      </c>
      <c r="M1008" t="n">
        <v>0</v>
      </c>
      <c r="N1008" t="n">
        <v>0</v>
      </c>
      <c r="O1008" t="n">
        <v>0</v>
      </c>
      <c r="P1008" t="n">
        <v>0</v>
      </c>
      <c r="Q1008" t="n">
        <v>0</v>
      </c>
      <c r="R1008" s="2" t="inlineStr"/>
    </row>
    <row r="1009" ht="15" customHeight="1">
      <c r="A1009" t="inlineStr">
        <is>
          <t>A 47189-2024</t>
        </is>
      </c>
      <c r="B1009" s="1" t="n">
        <v>45586</v>
      </c>
      <c r="C1009" s="1" t="n">
        <v>45827</v>
      </c>
      <c r="D1009" t="inlineStr">
        <is>
          <t>NORRBOTTENS LÄN</t>
        </is>
      </c>
      <c r="E1009" t="inlineStr">
        <is>
          <t>PAJALA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47207-2024</t>
        </is>
      </c>
      <c r="B1010" s="1" t="n">
        <v>45586</v>
      </c>
      <c r="C1010" s="1" t="n">
        <v>45827</v>
      </c>
      <c r="D1010" t="inlineStr">
        <is>
          <t>NORRBOTTENS LÄN</t>
        </is>
      </c>
      <c r="E1010" t="inlineStr">
        <is>
          <t>PAJALA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47203-2024</t>
        </is>
      </c>
      <c r="B1011" s="1" t="n">
        <v>45586</v>
      </c>
      <c r="C1011" s="1" t="n">
        <v>45827</v>
      </c>
      <c r="D1011" t="inlineStr">
        <is>
          <t>NORRBOTTENS LÄN</t>
        </is>
      </c>
      <c r="E1011" t="inlineStr">
        <is>
          <t>PAJALA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47199-2024</t>
        </is>
      </c>
      <c r="B1012" s="1" t="n">
        <v>45586</v>
      </c>
      <c r="C1012" s="1" t="n">
        <v>45827</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47195-2024</t>
        </is>
      </c>
      <c r="B1013" s="1" t="n">
        <v>45586</v>
      </c>
      <c r="C1013" s="1" t="n">
        <v>45827</v>
      </c>
      <c r="D1013" t="inlineStr">
        <is>
          <t>NORRBOTTENS LÄN</t>
        </is>
      </c>
      <c r="E1013" t="inlineStr">
        <is>
          <t>PAJALA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47186-2024</t>
        </is>
      </c>
      <c r="B1014" s="1" t="n">
        <v>45586</v>
      </c>
      <c r="C1014" s="1" t="n">
        <v>45827</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47206-2024</t>
        </is>
      </c>
      <c r="B1015" s="1" t="n">
        <v>45586</v>
      </c>
      <c r="C1015" s="1" t="n">
        <v>45827</v>
      </c>
      <c r="D1015" t="inlineStr">
        <is>
          <t>NORRBOTTENS LÄN</t>
        </is>
      </c>
      <c r="E1015" t="inlineStr">
        <is>
          <t>PAJALA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47539-2024</t>
        </is>
      </c>
      <c r="B1016" s="1" t="n">
        <v>45587</v>
      </c>
      <c r="C1016" s="1" t="n">
        <v>45827</v>
      </c>
      <c r="D1016" t="inlineStr">
        <is>
          <t>NORRBOTTENS LÄN</t>
        </is>
      </c>
      <c r="E1016" t="inlineStr">
        <is>
          <t>PAJALA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47328-2024</t>
        </is>
      </c>
      <c r="B1017" s="1" t="n">
        <v>45587</v>
      </c>
      <c r="C1017" s="1" t="n">
        <v>45827</v>
      </c>
      <c r="D1017" t="inlineStr">
        <is>
          <t>NORRBOTTENS LÄN</t>
        </is>
      </c>
      <c r="E1017" t="inlineStr">
        <is>
          <t>PAJALA</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48177-2024</t>
        </is>
      </c>
      <c r="B1018" s="1" t="n">
        <v>45589</v>
      </c>
      <c r="C1018" s="1" t="n">
        <v>45827</v>
      </c>
      <c r="D1018" t="inlineStr">
        <is>
          <t>NORRBOTTENS LÄN</t>
        </is>
      </c>
      <c r="E1018" t="inlineStr">
        <is>
          <t>PAJALA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48179-2024</t>
        </is>
      </c>
      <c r="B1019" s="1" t="n">
        <v>45589</v>
      </c>
      <c r="C1019" s="1" t="n">
        <v>45827</v>
      </c>
      <c r="D1019" t="inlineStr">
        <is>
          <t>NORRBOTTENS LÄN</t>
        </is>
      </c>
      <c r="E1019" t="inlineStr">
        <is>
          <t>PAJALA</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48486-2024</t>
        </is>
      </c>
      <c r="B1020" s="1" t="n">
        <v>45592</v>
      </c>
      <c r="C1020" s="1" t="n">
        <v>45827</v>
      </c>
      <c r="D1020" t="inlineStr">
        <is>
          <t>NORRBOTTENS LÄN</t>
        </is>
      </c>
      <c r="E1020" t="inlineStr">
        <is>
          <t>PAJALA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48485-2024</t>
        </is>
      </c>
      <c r="B1021" s="1" t="n">
        <v>45592</v>
      </c>
      <c r="C1021" s="1" t="n">
        <v>45827</v>
      </c>
      <c r="D1021" t="inlineStr">
        <is>
          <t>NORRBOTTENS LÄN</t>
        </is>
      </c>
      <c r="E1021" t="inlineStr">
        <is>
          <t>PAJALA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48484-2024</t>
        </is>
      </c>
      <c r="B1022" s="1" t="n">
        <v>45592</v>
      </c>
      <c r="C1022" s="1" t="n">
        <v>45827</v>
      </c>
      <c r="D1022" t="inlineStr">
        <is>
          <t>NORRBOTTENS LÄN</t>
        </is>
      </c>
      <c r="E1022" t="inlineStr">
        <is>
          <t>PAJALA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48487-2024</t>
        </is>
      </c>
      <c r="B1023" s="1" t="n">
        <v>45592</v>
      </c>
      <c r="C1023" s="1" t="n">
        <v>45827</v>
      </c>
      <c r="D1023" t="inlineStr">
        <is>
          <t>NORRBOTTENS LÄN</t>
        </is>
      </c>
      <c r="E1023" t="inlineStr">
        <is>
          <t>PAJALA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48764-2024</t>
        </is>
      </c>
      <c r="B1024" s="1" t="n">
        <v>45593</v>
      </c>
      <c r="C1024" s="1" t="n">
        <v>45827</v>
      </c>
      <c r="D1024" t="inlineStr">
        <is>
          <t>NORRBOTTENS LÄN</t>
        </is>
      </c>
      <c r="E1024" t="inlineStr">
        <is>
          <t>PAJALA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48656-2024</t>
        </is>
      </c>
      <c r="B1025" s="1" t="n">
        <v>45593</v>
      </c>
      <c r="C1025" s="1" t="n">
        <v>45827</v>
      </c>
      <c r="D1025" t="inlineStr">
        <is>
          <t>NORRBOTTENS LÄN</t>
        </is>
      </c>
      <c r="E1025" t="inlineStr">
        <is>
          <t>PAJALA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48916-2024</t>
        </is>
      </c>
      <c r="B1026" s="1" t="n">
        <v>45594</v>
      </c>
      <c r="C1026" s="1" t="n">
        <v>45827</v>
      </c>
      <c r="D1026" t="inlineStr">
        <is>
          <t>NORRBOTTENS LÄN</t>
        </is>
      </c>
      <c r="E1026" t="inlineStr">
        <is>
          <t>PAJALA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48920-2024</t>
        </is>
      </c>
      <c r="B1027" s="1" t="n">
        <v>45594</v>
      </c>
      <c r="C1027" s="1" t="n">
        <v>45827</v>
      </c>
      <c r="D1027" t="inlineStr">
        <is>
          <t>NORRBOTTENS LÄN</t>
        </is>
      </c>
      <c r="E1027" t="inlineStr">
        <is>
          <t>PAJALA</t>
        </is>
      </c>
      <c r="F1027" t="inlineStr">
        <is>
          <t>SCA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49254-2024</t>
        </is>
      </c>
      <c r="B1028" s="1" t="n">
        <v>45595</v>
      </c>
      <c r="C1028" s="1" t="n">
        <v>45827</v>
      </c>
      <c r="D1028" t="inlineStr">
        <is>
          <t>NORRBOTTENS LÄN</t>
        </is>
      </c>
      <c r="E1028" t="inlineStr">
        <is>
          <t>PAJALA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49830-2024</t>
        </is>
      </c>
      <c r="B1029" s="1" t="n">
        <v>45597</v>
      </c>
      <c r="C1029" s="1" t="n">
        <v>45827</v>
      </c>
      <c r="D1029" t="inlineStr">
        <is>
          <t>NORRBOTTENS LÄN</t>
        </is>
      </c>
      <c r="E1029" t="inlineStr">
        <is>
          <t>PAJALA</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50016-2024</t>
        </is>
      </c>
      <c r="B1030" s="1" t="n">
        <v>45599</v>
      </c>
      <c r="C1030" s="1" t="n">
        <v>45827</v>
      </c>
      <c r="D1030" t="inlineStr">
        <is>
          <t>NORRBOTTENS LÄN</t>
        </is>
      </c>
      <c r="E1030" t="inlineStr">
        <is>
          <t>PAJALA</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50608-2024</t>
        </is>
      </c>
      <c r="B1031" s="1" t="n">
        <v>45601</v>
      </c>
      <c r="C1031" s="1" t="n">
        <v>45827</v>
      </c>
      <c r="D1031" t="inlineStr">
        <is>
          <t>NORRBOTTENS LÄN</t>
        </is>
      </c>
      <c r="E1031" t="inlineStr">
        <is>
          <t>PAJALA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50610-2024</t>
        </is>
      </c>
      <c r="B1032" s="1" t="n">
        <v>45601</v>
      </c>
      <c r="C1032" s="1" t="n">
        <v>45827</v>
      </c>
      <c r="D1032" t="inlineStr">
        <is>
          <t>NORRBOTTENS LÄN</t>
        </is>
      </c>
      <c r="E1032" t="inlineStr">
        <is>
          <t>PAJALA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50569-2024</t>
        </is>
      </c>
      <c r="B1033" s="1" t="n">
        <v>45601</v>
      </c>
      <c r="C1033" s="1" t="n">
        <v>45827</v>
      </c>
      <c r="D1033" t="inlineStr">
        <is>
          <t>NORRBOTTENS LÄN</t>
        </is>
      </c>
      <c r="E1033" t="inlineStr">
        <is>
          <t>PAJALA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50519-2024</t>
        </is>
      </c>
      <c r="B1034" s="1" t="n">
        <v>45601</v>
      </c>
      <c r="C1034" s="1" t="n">
        <v>45827</v>
      </c>
      <c r="D1034" t="inlineStr">
        <is>
          <t>NORRBOTTENS LÄN</t>
        </is>
      </c>
      <c r="E1034" t="inlineStr">
        <is>
          <t>PAJALA</t>
        </is>
      </c>
      <c r="F1034" t="inlineStr">
        <is>
          <t>Sveaskog</t>
        </is>
      </c>
      <c r="G1034" t="n">
        <v>31.8</v>
      </c>
      <c r="H1034" t="n">
        <v>0</v>
      </c>
      <c r="I1034" t="n">
        <v>0</v>
      </c>
      <c r="J1034" t="n">
        <v>0</v>
      </c>
      <c r="K1034" t="n">
        <v>0</v>
      </c>
      <c r="L1034" t="n">
        <v>0</v>
      </c>
      <c r="M1034" t="n">
        <v>0</v>
      </c>
      <c r="N1034" t="n">
        <v>0</v>
      </c>
      <c r="O1034" t="n">
        <v>0</v>
      </c>
      <c r="P1034" t="n">
        <v>0</v>
      </c>
      <c r="Q1034" t="n">
        <v>0</v>
      </c>
      <c r="R1034" s="2" t="inlineStr"/>
    </row>
    <row r="1035" ht="15" customHeight="1">
      <c r="A1035" t="inlineStr">
        <is>
          <t>A 50888-2024</t>
        </is>
      </c>
      <c r="B1035" s="1" t="n">
        <v>45602</v>
      </c>
      <c r="C1035" s="1" t="n">
        <v>45827</v>
      </c>
      <c r="D1035" t="inlineStr">
        <is>
          <t>NORRBOTTENS LÄN</t>
        </is>
      </c>
      <c r="E1035" t="inlineStr">
        <is>
          <t>PAJALA</t>
        </is>
      </c>
      <c r="G1035" t="n">
        <v>17.2</v>
      </c>
      <c r="H1035" t="n">
        <v>0</v>
      </c>
      <c r="I1035" t="n">
        <v>0</v>
      </c>
      <c r="J1035" t="n">
        <v>0</v>
      </c>
      <c r="K1035" t="n">
        <v>0</v>
      </c>
      <c r="L1035" t="n">
        <v>0</v>
      </c>
      <c r="M1035" t="n">
        <v>0</v>
      </c>
      <c r="N1035" t="n">
        <v>0</v>
      </c>
      <c r="O1035" t="n">
        <v>0</v>
      </c>
      <c r="P1035" t="n">
        <v>0</v>
      </c>
      <c r="Q1035" t="n">
        <v>0</v>
      </c>
      <c r="R1035" s="2" t="inlineStr"/>
    </row>
    <row r="1036" ht="15" customHeight="1">
      <c r="A1036" t="inlineStr">
        <is>
          <t>A 50823-2024</t>
        </is>
      </c>
      <c r="B1036" s="1" t="n">
        <v>45602</v>
      </c>
      <c r="C1036" s="1" t="n">
        <v>45827</v>
      </c>
      <c r="D1036" t="inlineStr">
        <is>
          <t>NORRBOTTENS LÄN</t>
        </is>
      </c>
      <c r="E1036" t="inlineStr">
        <is>
          <t>PAJALA</t>
        </is>
      </c>
      <c r="F1036" t="inlineStr">
        <is>
          <t>Sveaskog</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51062-2024</t>
        </is>
      </c>
      <c r="B1037" s="1" t="n">
        <v>45603</v>
      </c>
      <c r="C1037" s="1" t="n">
        <v>45827</v>
      </c>
      <c r="D1037" t="inlineStr">
        <is>
          <t>NORRBOTTENS LÄN</t>
        </is>
      </c>
      <c r="E1037" t="inlineStr">
        <is>
          <t>PAJALA</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51048-2024</t>
        </is>
      </c>
      <c r="B1038" s="1" t="n">
        <v>45603</v>
      </c>
      <c r="C1038" s="1" t="n">
        <v>45827</v>
      </c>
      <c r="D1038" t="inlineStr">
        <is>
          <t>NORRBOTTENS LÄN</t>
        </is>
      </c>
      <c r="E1038" t="inlineStr">
        <is>
          <t>PAJALA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51817-2024</t>
        </is>
      </c>
      <c r="B1039" s="1" t="n">
        <v>45607</v>
      </c>
      <c r="C1039" s="1" t="n">
        <v>45827</v>
      </c>
      <c r="D1039" t="inlineStr">
        <is>
          <t>NORRBOTTENS LÄN</t>
        </is>
      </c>
      <c r="E1039" t="inlineStr">
        <is>
          <t>PAJALA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53052-2024</t>
        </is>
      </c>
      <c r="B1040" s="1" t="n">
        <v>45611</v>
      </c>
      <c r="C1040" s="1" t="n">
        <v>45827</v>
      </c>
      <c r="D1040" t="inlineStr">
        <is>
          <t>NORRBOTTENS LÄN</t>
        </is>
      </c>
      <c r="E1040" t="inlineStr">
        <is>
          <t>PAJALA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53088-2024</t>
        </is>
      </c>
      <c r="B1041" s="1" t="n">
        <v>45611</v>
      </c>
      <c r="C1041" s="1" t="n">
        <v>45827</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53037-2024</t>
        </is>
      </c>
      <c r="B1042" s="1" t="n">
        <v>45611</v>
      </c>
      <c r="C1042" s="1" t="n">
        <v>45827</v>
      </c>
      <c r="D1042" t="inlineStr">
        <is>
          <t>NORRBOTTENS LÄN</t>
        </is>
      </c>
      <c r="E1042" t="inlineStr">
        <is>
          <t>PAJALA</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53074-2024</t>
        </is>
      </c>
      <c r="B1043" s="1" t="n">
        <v>45611</v>
      </c>
      <c r="C1043" s="1" t="n">
        <v>45827</v>
      </c>
      <c r="D1043" t="inlineStr">
        <is>
          <t>NORRBOTTENS LÄN</t>
        </is>
      </c>
      <c r="E1043" t="inlineStr">
        <is>
          <t>PAJALA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53040-2024</t>
        </is>
      </c>
      <c r="B1044" s="1" t="n">
        <v>45611</v>
      </c>
      <c r="C1044" s="1" t="n">
        <v>45827</v>
      </c>
      <c r="D1044" t="inlineStr">
        <is>
          <t>NORRBOTTENS LÄN</t>
        </is>
      </c>
      <c r="E1044" t="inlineStr">
        <is>
          <t>PAJALA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53230-2024</t>
        </is>
      </c>
      <c r="B1045" s="1" t="n">
        <v>45613</v>
      </c>
      <c r="C1045" s="1" t="n">
        <v>45827</v>
      </c>
      <c r="D1045" t="inlineStr">
        <is>
          <t>NORRBOTTENS LÄN</t>
        </is>
      </c>
      <c r="E1045" t="inlineStr">
        <is>
          <t>PAJALA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53228-2024</t>
        </is>
      </c>
      <c r="B1046" s="1" t="n">
        <v>45613</v>
      </c>
      <c r="C1046" s="1" t="n">
        <v>45827</v>
      </c>
      <c r="D1046" t="inlineStr">
        <is>
          <t>NORRBOTTENS LÄN</t>
        </is>
      </c>
      <c r="E1046" t="inlineStr">
        <is>
          <t>PAJALA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53227-2024</t>
        </is>
      </c>
      <c r="B1047" s="1" t="n">
        <v>45613</v>
      </c>
      <c r="C1047" s="1" t="n">
        <v>45827</v>
      </c>
      <c r="D1047" t="inlineStr">
        <is>
          <t>NORRBOTTENS LÄN</t>
        </is>
      </c>
      <c r="E1047" t="inlineStr">
        <is>
          <t>PAJALA</t>
        </is>
      </c>
      <c r="G1047" t="n">
        <v>44.3</v>
      </c>
      <c r="H1047" t="n">
        <v>0</v>
      </c>
      <c r="I1047" t="n">
        <v>0</v>
      </c>
      <c r="J1047" t="n">
        <v>0</v>
      </c>
      <c r="K1047" t="n">
        <v>0</v>
      </c>
      <c r="L1047" t="n">
        <v>0</v>
      </c>
      <c r="M1047" t="n">
        <v>0</v>
      </c>
      <c r="N1047" t="n">
        <v>0</v>
      </c>
      <c r="O1047" t="n">
        <v>0</v>
      </c>
      <c r="P1047" t="n">
        <v>0</v>
      </c>
      <c r="Q1047" t="n">
        <v>0</v>
      </c>
      <c r="R1047" s="2" t="inlineStr"/>
    </row>
    <row r="1048" ht="15" customHeight="1">
      <c r="A1048" t="inlineStr">
        <is>
          <t>A 53229-2024</t>
        </is>
      </c>
      <c r="B1048" s="1" t="n">
        <v>45613</v>
      </c>
      <c r="C1048" s="1" t="n">
        <v>45827</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53653-2024</t>
        </is>
      </c>
      <c r="B1049" s="1" t="n">
        <v>45615</v>
      </c>
      <c r="C1049" s="1" t="n">
        <v>45827</v>
      </c>
      <c r="D1049" t="inlineStr">
        <is>
          <t>NORRBOTTENS LÄN</t>
        </is>
      </c>
      <c r="E1049" t="inlineStr">
        <is>
          <t>PAJALA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54256-2024</t>
        </is>
      </c>
      <c r="B1050" s="1" t="n">
        <v>45616</v>
      </c>
      <c r="C1050" s="1" t="n">
        <v>45827</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55343-2024</t>
        </is>
      </c>
      <c r="B1051" s="1" t="n">
        <v>45621</v>
      </c>
      <c r="C1051" s="1" t="n">
        <v>45827</v>
      </c>
      <c r="D1051" t="inlineStr">
        <is>
          <t>NORRBOTTENS LÄN</t>
        </is>
      </c>
      <c r="E1051" t="inlineStr">
        <is>
          <t>PAJALA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55774-2024</t>
        </is>
      </c>
      <c r="B1052" s="1" t="n">
        <v>45623</v>
      </c>
      <c r="C1052" s="1" t="n">
        <v>45827</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55776-2024</t>
        </is>
      </c>
      <c r="B1053" s="1" t="n">
        <v>45623</v>
      </c>
      <c r="C1053" s="1" t="n">
        <v>45827</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55928-2024</t>
        </is>
      </c>
      <c r="B1054" s="1" t="n">
        <v>45623</v>
      </c>
      <c r="C1054" s="1" t="n">
        <v>45827</v>
      </c>
      <c r="D1054" t="inlineStr">
        <is>
          <t>NORRBOTTENS LÄN</t>
        </is>
      </c>
      <c r="E1054" t="inlineStr">
        <is>
          <t>PAJALA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55949-2024</t>
        </is>
      </c>
      <c r="B1055" s="1" t="n">
        <v>45623</v>
      </c>
      <c r="C1055" s="1" t="n">
        <v>45827</v>
      </c>
      <c r="D1055" t="inlineStr">
        <is>
          <t>NORRBOTTENS LÄN</t>
        </is>
      </c>
      <c r="E1055" t="inlineStr">
        <is>
          <t>PAJALA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56300-2024</t>
        </is>
      </c>
      <c r="B1056" s="1" t="n">
        <v>45624</v>
      </c>
      <c r="C1056" s="1" t="n">
        <v>45827</v>
      </c>
      <c r="D1056" t="inlineStr">
        <is>
          <t>NORRBOTTENS LÄN</t>
        </is>
      </c>
      <c r="E1056" t="inlineStr">
        <is>
          <t>PAJALA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57549-2024</t>
        </is>
      </c>
      <c r="B1057" s="1" t="n">
        <v>45630</v>
      </c>
      <c r="C1057" s="1" t="n">
        <v>45827</v>
      </c>
      <c r="D1057" t="inlineStr">
        <is>
          <t>NORRBOTTENS LÄN</t>
        </is>
      </c>
      <c r="E1057" t="inlineStr">
        <is>
          <t>PAJALA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57577-2024</t>
        </is>
      </c>
      <c r="B1058" s="1" t="n">
        <v>45630</v>
      </c>
      <c r="C1058" s="1" t="n">
        <v>45827</v>
      </c>
      <c r="D1058" t="inlineStr">
        <is>
          <t>NORRBOTTENS LÄN</t>
        </is>
      </c>
      <c r="E1058" t="inlineStr">
        <is>
          <t>PAJALA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57739-2024</t>
        </is>
      </c>
      <c r="B1059" s="1" t="n">
        <v>45630</v>
      </c>
      <c r="C1059" s="1" t="n">
        <v>45827</v>
      </c>
      <c r="D1059" t="inlineStr">
        <is>
          <t>NORRBOTTENS LÄN</t>
        </is>
      </c>
      <c r="E1059" t="inlineStr">
        <is>
          <t>PAJALA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57559-2024</t>
        </is>
      </c>
      <c r="B1060" s="1" t="n">
        <v>45630</v>
      </c>
      <c r="C1060" s="1" t="n">
        <v>45827</v>
      </c>
      <c r="D1060" t="inlineStr">
        <is>
          <t>NORRBOTTENS LÄN</t>
        </is>
      </c>
      <c r="E1060" t="inlineStr">
        <is>
          <t>PAJALA</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57740-2024</t>
        </is>
      </c>
      <c r="B1061" s="1" t="n">
        <v>45630</v>
      </c>
      <c r="C1061" s="1" t="n">
        <v>45827</v>
      </c>
      <c r="D1061" t="inlineStr">
        <is>
          <t>NORRBOTTENS LÄN</t>
        </is>
      </c>
      <c r="E1061" t="inlineStr">
        <is>
          <t>PAJALA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58052-2024</t>
        </is>
      </c>
      <c r="B1062" s="1" t="n">
        <v>45631</v>
      </c>
      <c r="C1062" s="1" t="n">
        <v>45827</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58031-2024</t>
        </is>
      </c>
      <c r="B1063" s="1" t="n">
        <v>45631</v>
      </c>
      <c r="C1063" s="1" t="n">
        <v>45827</v>
      </c>
      <c r="D1063" t="inlineStr">
        <is>
          <t>NORRBOTTENS LÄN</t>
        </is>
      </c>
      <c r="E1063" t="inlineStr">
        <is>
          <t>PAJALA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58055-2024</t>
        </is>
      </c>
      <c r="B1064" s="1" t="n">
        <v>45631</v>
      </c>
      <c r="C1064" s="1" t="n">
        <v>45827</v>
      </c>
      <c r="D1064" t="inlineStr">
        <is>
          <t>NORRBOTTENS LÄN</t>
        </is>
      </c>
      <c r="E1064" t="inlineStr">
        <is>
          <t>PAJALA</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58643-2024</t>
        </is>
      </c>
      <c r="B1065" s="1" t="n">
        <v>45635</v>
      </c>
      <c r="C1065" s="1" t="n">
        <v>45827</v>
      </c>
      <c r="D1065" t="inlineStr">
        <is>
          <t>NORRBOTTENS LÄN</t>
        </is>
      </c>
      <c r="E1065" t="inlineStr">
        <is>
          <t>PAJALA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59197-2024</t>
        </is>
      </c>
      <c r="B1066" s="1" t="n">
        <v>45637</v>
      </c>
      <c r="C1066" s="1" t="n">
        <v>45827</v>
      </c>
      <c r="D1066" t="inlineStr">
        <is>
          <t>NORRBOTTENS LÄN</t>
        </is>
      </c>
      <c r="E1066" t="inlineStr">
        <is>
          <t>PAJALA</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60399-2024</t>
        </is>
      </c>
      <c r="B1067" s="1" t="n">
        <v>45643</v>
      </c>
      <c r="C1067" s="1" t="n">
        <v>45827</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60608-2024</t>
        </is>
      </c>
      <c r="B1068" s="1" t="n">
        <v>45644</v>
      </c>
      <c r="C1068" s="1" t="n">
        <v>45827</v>
      </c>
      <c r="D1068" t="inlineStr">
        <is>
          <t>NORRBOTTENS LÄN</t>
        </is>
      </c>
      <c r="E1068" t="inlineStr">
        <is>
          <t>PAJALA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61273-2024</t>
        </is>
      </c>
      <c r="B1069" s="1" t="n">
        <v>45645</v>
      </c>
      <c r="C1069" s="1" t="n">
        <v>45827</v>
      </c>
      <c r="D1069" t="inlineStr">
        <is>
          <t>NORRBOTTENS LÄN</t>
        </is>
      </c>
      <c r="E1069" t="inlineStr">
        <is>
          <t>PAJALA</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61369-2024</t>
        </is>
      </c>
      <c r="B1070" s="1" t="n">
        <v>45646</v>
      </c>
      <c r="C1070" s="1" t="n">
        <v>45827</v>
      </c>
      <c r="D1070" t="inlineStr">
        <is>
          <t>NORRBOTTENS LÄN</t>
        </is>
      </c>
      <c r="E1070" t="inlineStr">
        <is>
          <t>PAJALA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62174-2024</t>
        </is>
      </c>
      <c r="B1071" s="1" t="n">
        <v>45657</v>
      </c>
      <c r="C1071" s="1" t="n">
        <v>45827</v>
      </c>
      <c r="D1071" t="inlineStr">
        <is>
          <t>NORRBOTTENS LÄN</t>
        </is>
      </c>
      <c r="E1071" t="inlineStr">
        <is>
          <t>PAJALA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338-2025</t>
        </is>
      </c>
      <c r="B1072" s="1" t="n">
        <v>45660</v>
      </c>
      <c r="C1072" s="1" t="n">
        <v>45827</v>
      </c>
      <c r="D1072" t="inlineStr">
        <is>
          <t>NORRBOTTENS LÄN</t>
        </is>
      </c>
      <c r="E1072" t="inlineStr">
        <is>
          <t>PAJALA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334-2025</t>
        </is>
      </c>
      <c r="B1073" s="1" t="n">
        <v>45660</v>
      </c>
      <c r="C1073" s="1" t="n">
        <v>45827</v>
      </c>
      <c r="D1073" t="inlineStr">
        <is>
          <t>NORRBOTTENS LÄN</t>
        </is>
      </c>
      <c r="E1073" t="inlineStr">
        <is>
          <t>PAJALA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888-2025</t>
        </is>
      </c>
      <c r="B1074" s="1" t="n">
        <v>45665</v>
      </c>
      <c r="C1074" s="1" t="n">
        <v>45827</v>
      </c>
      <c r="D1074" t="inlineStr">
        <is>
          <t>NORRBOTTENS LÄN</t>
        </is>
      </c>
      <c r="E1074" t="inlineStr">
        <is>
          <t>PAJALA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1084-2025</t>
        </is>
      </c>
      <c r="B1075" s="1" t="n">
        <v>45665</v>
      </c>
      <c r="C1075" s="1" t="n">
        <v>45827</v>
      </c>
      <c r="D1075" t="inlineStr">
        <is>
          <t>NORRBOTTENS LÄN</t>
        </is>
      </c>
      <c r="E1075" t="inlineStr">
        <is>
          <t>PAJALA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1078-2025</t>
        </is>
      </c>
      <c r="B1076" s="1" t="n">
        <v>45665</v>
      </c>
      <c r="C1076" s="1" t="n">
        <v>45827</v>
      </c>
      <c r="D1076" t="inlineStr">
        <is>
          <t>NORRBOTTENS LÄN</t>
        </is>
      </c>
      <c r="E1076" t="inlineStr">
        <is>
          <t>PAJALA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898-2025</t>
        </is>
      </c>
      <c r="B1077" s="1" t="n">
        <v>45665</v>
      </c>
      <c r="C1077" s="1" t="n">
        <v>45827</v>
      </c>
      <c r="D1077" t="inlineStr">
        <is>
          <t>NORRBOTTENS LÄN</t>
        </is>
      </c>
      <c r="E1077" t="inlineStr">
        <is>
          <t>PAJALA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1067-2025</t>
        </is>
      </c>
      <c r="B1078" s="1" t="n">
        <v>45666</v>
      </c>
      <c r="C1078" s="1" t="n">
        <v>45827</v>
      </c>
      <c r="D1078" t="inlineStr">
        <is>
          <t>NORRBOTTENS LÄN</t>
        </is>
      </c>
      <c r="E1078" t="inlineStr">
        <is>
          <t>PAJALA</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1290-2025</t>
        </is>
      </c>
      <c r="B1079" s="1" t="n">
        <v>45667</v>
      </c>
      <c r="C1079" s="1" t="n">
        <v>45827</v>
      </c>
      <c r="D1079" t="inlineStr">
        <is>
          <t>NORRBOTTENS LÄN</t>
        </is>
      </c>
      <c r="E1079" t="inlineStr">
        <is>
          <t>PAJALA</t>
        </is>
      </c>
      <c r="G1079" t="n">
        <v>23.4</v>
      </c>
      <c r="H1079" t="n">
        <v>0</v>
      </c>
      <c r="I1079" t="n">
        <v>0</v>
      </c>
      <c r="J1079" t="n">
        <v>0</v>
      </c>
      <c r="K1079" t="n">
        <v>0</v>
      </c>
      <c r="L1079" t="n">
        <v>0</v>
      </c>
      <c r="M1079" t="n">
        <v>0</v>
      </c>
      <c r="N1079" t="n">
        <v>0</v>
      </c>
      <c r="O1079" t="n">
        <v>0</v>
      </c>
      <c r="P1079" t="n">
        <v>0</v>
      </c>
      <c r="Q1079" t="n">
        <v>0</v>
      </c>
      <c r="R1079" s="2" t="inlineStr"/>
    </row>
    <row r="1080" ht="15" customHeight="1">
      <c r="A1080" t="inlineStr">
        <is>
          <t>A 1507-2025</t>
        </is>
      </c>
      <c r="B1080" s="1" t="n">
        <v>45670</v>
      </c>
      <c r="C1080" s="1" t="n">
        <v>45827</v>
      </c>
      <c r="D1080" t="inlineStr">
        <is>
          <t>NORRBOTTENS LÄN</t>
        </is>
      </c>
      <c r="E1080" t="inlineStr">
        <is>
          <t>PAJALA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1934-2025</t>
        </is>
      </c>
      <c r="B1081" s="1" t="n">
        <v>45671</v>
      </c>
      <c r="C1081" s="1" t="n">
        <v>45827</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1933-2025</t>
        </is>
      </c>
      <c r="B1082" s="1" t="n">
        <v>45671</v>
      </c>
      <c r="C1082" s="1" t="n">
        <v>45827</v>
      </c>
      <c r="D1082" t="inlineStr">
        <is>
          <t>NORRBOTTENS LÄN</t>
        </is>
      </c>
      <c r="E1082" t="inlineStr">
        <is>
          <t>PAJALA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2840-2025</t>
        </is>
      </c>
      <c r="B1083" s="1" t="n">
        <v>45677</v>
      </c>
      <c r="C1083" s="1" t="n">
        <v>45827</v>
      </c>
      <c r="D1083" t="inlineStr">
        <is>
          <t>NORRBOTTENS LÄN</t>
        </is>
      </c>
      <c r="E1083" t="inlineStr">
        <is>
          <t>PAJALA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2799-2025</t>
        </is>
      </c>
      <c r="B1084" s="1" t="n">
        <v>45677</v>
      </c>
      <c r="C1084" s="1" t="n">
        <v>45827</v>
      </c>
      <c r="D1084" t="inlineStr">
        <is>
          <t>NORRBOTTENS LÄN</t>
        </is>
      </c>
      <c r="E1084" t="inlineStr">
        <is>
          <t>PAJALA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2988-2025</t>
        </is>
      </c>
      <c r="B1085" s="1" t="n">
        <v>45678</v>
      </c>
      <c r="C1085" s="1" t="n">
        <v>45827</v>
      </c>
      <c r="D1085" t="inlineStr">
        <is>
          <t>NORRBOTTENS LÄN</t>
        </is>
      </c>
      <c r="E1085" t="inlineStr">
        <is>
          <t>PAJALA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3836-2025</t>
        </is>
      </c>
      <c r="B1086" s="1" t="n">
        <v>45682</v>
      </c>
      <c r="C1086" s="1" t="n">
        <v>45827</v>
      </c>
      <c r="D1086" t="inlineStr">
        <is>
          <t>NORRBOTTENS LÄN</t>
        </is>
      </c>
      <c r="E1086" t="inlineStr">
        <is>
          <t>PAJALA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4653-2025</t>
        </is>
      </c>
      <c r="B1087" s="1" t="n">
        <v>45687</v>
      </c>
      <c r="C1087" s="1" t="n">
        <v>45827</v>
      </c>
      <c r="D1087" t="inlineStr">
        <is>
          <t>NORRBOTTENS LÄN</t>
        </is>
      </c>
      <c r="E1087" t="inlineStr">
        <is>
          <t>PAJALA</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4699-2025</t>
        </is>
      </c>
      <c r="B1088" s="1" t="n">
        <v>45688</v>
      </c>
      <c r="C1088" s="1" t="n">
        <v>45827</v>
      </c>
      <c r="D1088" t="inlineStr">
        <is>
          <t>NORRBOTTENS LÄN</t>
        </is>
      </c>
      <c r="E1088" t="inlineStr">
        <is>
          <t>PAJALA</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5031-2025</t>
        </is>
      </c>
      <c r="B1089" s="1" t="n">
        <v>45691</v>
      </c>
      <c r="C1089" s="1" t="n">
        <v>45827</v>
      </c>
      <c r="D1089" t="inlineStr">
        <is>
          <t>NORRBOTTENS LÄN</t>
        </is>
      </c>
      <c r="E1089" t="inlineStr">
        <is>
          <t>PAJALA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5546-2025</t>
        </is>
      </c>
      <c r="B1090" s="1" t="n">
        <v>45693</v>
      </c>
      <c r="C1090" s="1" t="n">
        <v>45827</v>
      </c>
      <c r="D1090" t="inlineStr">
        <is>
          <t>NORRBOTTENS LÄN</t>
        </is>
      </c>
      <c r="E1090" t="inlineStr">
        <is>
          <t>PAJALA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5535-2025</t>
        </is>
      </c>
      <c r="B1091" s="1" t="n">
        <v>45693</v>
      </c>
      <c r="C1091" s="1" t="n">
        <v>45827</v>
      </c>
      <c r="D1091" t="inlineStr">
        <is>
          <t>NORRBOTTENS LÄN</t>
        </is>
      </c>
      <c r="E1091" t="inlineStr">
        <is>
          <t>PAJALA</t>
        </is>
      </c>
      <c r="F1091" t="inlineStr">
        <is>
          <t>SCA</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6329-2025</t>
        </is>
      </c>
      <c r="B1092" s="1" t="n">
        <v>45698</v>
      </c>
      <c r="C1092" s="1" t="n">
        <v>45827</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6330-2025</t>
        </is>
      </c>
      <c r="B1093" s="1" t="n">
        <v>45698</v>
      </c>
      <c r="C1093" s="1" t="n">
        <v>45827</v>
      </c>
      <c r="D1093" t="inlineStr">
        <is>
          <t>NORRBOTTENS LÄN</t>
        </is>
      </c>
      <c r="E1093" t="inlineStr">
        <is>
          <t>PAJALA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6328-2025</t>
        </is>
      </c>
      <c r="B1094" s="1" t="n">
        <v>45698</v>
      </c>
      <c r="C1094" s="1" t="n">
        <v>45827</v>
      </c>
      <c r="D1094" t="inlineStr">
        <is>
          <t>NORRBOTTENS LÄN</t>
        </is>
      </c>
      <c r="E1094" t="inlineStr">
        <is>
          <t>PAJALA</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6781-2025</t>
        </is>
      </c>
      <c r="B1095" s="1" t="n">
        <v>45700</v>
      </c>
      <c r="C1095" s="1" t="n">
        <v>45827</v>
      </c>
      <c r="D1095" t="inlineStr">
        <is>
          <t>NORRBOTTENS LÄN</t>
        </is>
      </c>
      <c r="E1095" t="inlineStr">
        <is>
          <t>PAJALA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7823-2025</t>
        </is>
      </c>
      <c r="B1096" s="1" t="n">
        <v>45706</v>
      </c>
      <c r="C1096" s="1" t="n">
        <v>45827</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7929-2025</t>
        </is>
      </c>
      <c r="B1097" s="1" t="n">
        <v>45707</v>
      </c>
      <c r="C1097" s="1" t="n">
        <v>45827</v>
      </c>
      <c r="D1097" t="inlineStr">
        <is>
          <t>NORRBOTTENS LÄN</t>
        </is>
      </c>
      <c r="E1097" t="inlineStr">
        <is>
          <t>PAJALA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8806-2025</t>
        </is>
      </c>
      <c r="B1098" s="1" t="n">
        <v>45712</v>
      </c>
      <c r="C1098" s="1" t="n">
        <v>45827</v>
      </c>
      <c r="D1098" t="inlineStr">
        <is>
          <t>NORRBOTTENS LÄN</t>
        </is>
      </c>
      <c r="E1098" t="inlineStr">
        <is>
          <t>PAJALA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10908-2025</t>
        </is>
      </c>
      <c r="B1099" s="1" t="n">
        <v>45722</v>
      </c>
      <c r="C1099" s="1" t="n">
        <v>45827</v>
      </c>
      <c r="D1099" t="inlineStr">
        <is>
          <t>NORRBOTTENS LÄN</t>
        </is>
      </c>
      <c r="E1099" t="inlineStr">
        <is>
          <t>PAJALA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13464-2025</t>
        </is>
      </c>
      <c r="B1100" s="1" t="n">
        <v>45736</v>
      </c>
      <c r="C1100" s="1" t="n">
        <v>45827</v>
      </c>
      <c r="D1100" t="inlineStr">
        <is>
          <t>NORRBOTTENS LÄN</t>
        </is>
      </c>
      <c r="E1100" t="inlineStr">
        <is>
          <t>PAJALA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13466-2025</t>
        </is>
      </c>
      <c r="B1101" s="1" t="n">
        <v>45736</v>
      </c>
      <c r="C1101" s="1" t="n">
        <v>45827</v>
      </c>
      <c r="D1101" t="inlineStr">
        <is>
          <t>NORRBOTTENS LÄN</t>
        </is>
      </c>
      <c r="E1101" t="inlineStr">
        <is>
          <t>PAJALA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13480-2025</t>
        </is>
      </c>
      <c r="B1102" s="1" t="n">
        <v>45736</v>
      </c>
      <c r="C1102" s="1" t="n">
        <v>45827</v>
      </c>
      <c r="D1102" t="inlineStr">
        <is>
          <t>NORRBOTTENS LÄN</t>
        </is>
      </c>
      <c r="E1102" t="inlineStr">
        <is>
          <t>PAJALA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14246-2025</t>
        </is>
      </c>
      <c r="B1103" s="1" t="n">
        <v>45740</v>
      </c>
      <c r="C1103" s="1" t="n">
        <v>45827</v>
      </c>
      <c r="D1103" t="inlineStr">
        <is>
          <t>NORRBOTTENS LÄN</t>
        </is>
      </c>
      <c r="E1103" t="inlineStr">
        <is>
          <t>PAJALA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14336-2025</t>
        </is>
      </c>
      <c r="B1104" s="1" t="n">
        <v>45740</v>
      </c>
      <c r="C1104" s="1" t="n">
        <v>45827</v>
      </c>
      <c r="D1104" t="inlineStr">
        <is>
          <t>NORRBOTTENS LÄN</t>
        </is>
      </c>
      <c r="E1104" t="inlineStr">
        <is>
          <t>PAJALA</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14337-2025</t>
        </is>
      </c>
      <c r="B1105" s="1" t="n">
        <v>45740</v>
      </c>
      <c r="C1105" s="1" t="n">
        <v>45827</v>
      </c>
      <c r="D1105" t="inlineStr">
        <is>
          <t>NORRBOTTENS LÄN</t>
        </is>
      </c>
      <c r="E1105" t="inlineStr">
        <is>
          <t>PAJALA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15618-2025</t>
        </is>
      </c>
      <c r="B1106" s="1" t="n">
        <v>45748</v>
      </c>
      <c r="C1106" s="1" t="n">
        <v>45827</v>
      </c>
      <c r="D1106" t="inlineStr">
        <is>
          <t>NORRBOTTENS LÄN</t>
        </is>
      </c>
      <c r="E1106" t="inlineStr">
        <is>
          <t>PAJALA</t>
        </is>
      </c>
      <c r="F1106" t="inlineStr">
        <is>
          <t>Sveaskog</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17105-2025</t>
        </is>
      </c>
      <c r="B1107" s="1" t="n">
        <v>45755</v>
      </c>
      <c r="C1107" s="1" t="n">
        <v>45827</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18784-2025</t>
        </is>
      </c>
      <c r="B1108" s="1" t="n">
        <v>45764</v>
      </c>
      <c r="C1108" s="1" t="n">
        <v>45827</v>
      </c>
      <c r="D1108" t="inlineStr">
        <is>
          <t>NORRBOTTENS LÄN</t>
        </is>
      </c>
      <c r="E1108" t="inlineStr">
        <is>
          <t>PAJALA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19317-2025</t>
        </is>
      </c>
      <c r="B1109" s="1" t="n">
        <v>45769</v>
      </c>
      <c r="C1109" s="1" t="n">
        <v>45827</v>
      </c>
      <c r="D1109" t="inlineStr">
        <is>
          <t>NORRBOTTENS LÄN</t>
        </is>
      </c>
      <c r="E1109" t="inlineStr">
        <is>
          <t>PAJALA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19671-2025</t>
        </is>
      </c>
      <c r="B1110" s="1" t="n">
        <v>45770</v>
      </c>
      <c r="C1110" s="1" t="n">
        <v>45827</v>
      </c>
      <c r="D1110" t="inlineStr">
        <is>
          <t>NORRBOTTENS LÄN</t>
        </is>
      </c>
      <c r="E1110" t="inlineStr">
        <is>
          <t>PAJALA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20200-2025</t>
        </is>
      </c>
      <c r="B1111" s="1" t="n">
        <v>45772</v>
      </c>
      <c r="C1111" s="1" t="n">
        <v>45827</v>
      </c>
      <c r="D1111" t="inlineStr">
        <is>
          <t>NORRBOTTENS LÄN</t>
        </is>
      </c>
      <c r="E1111" t="inlineStr">
        <is>
          <t>PAJALA</t>
        </is>
      </c>
      <c r="F1111" t="inlineStr">
        <is>
          <t>Sveaskog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20769-2025</t>
        </is>
      </c>
      <c r="B1112" s="1" t="n">
        <v>45776</v>
      </c>
      <c r="C1112" s="1" t="n">
        <v>45827</v>
      </c>
      <c r="D1112" t="inlineStr">
        <is>
          <t>NORRBOTTENS LÄN</t>
        </is>
      </c>
      <c r="E1112" t="inlineStr">
        <is>
          <t>PAJALA</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45827</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21058-2025</t>
        </is>
      </c>
      <c r="B1114" s="1" t="n">
        <v>45777</v>
      </c>
      <c r="C1114" s="1" t="n">
        <v>45827</v>
      </c>
      <c r="D1114" t="inlineStr">
        <is>
          <t>NORRBOTTENS LÄN</t>
        </is>
      </c>
      <c r="E1114" t="inlineStr">
        <is>
          <t>PAJALA</t>
        </is>
      </c>
      <c r="F1114" t="inlineStr">
        <is>
          <t>Sveaskog</t>
        </is>
      </c>
      <c r="G1114" t="n">
        <v>44.2</v>
      </c>
      <c r="H1114" t="n">
        <v>0</v>
      </c>
      <c r="I1114" t="n">
        <v>0</v>
      </c>
      <c r="J1114" t="n">
        <v>0</v>
      </c>
      <c r="K1114" t="n">
        <v>0</v>
      </c>
      <c r="L1114" t="n">
        <v>0</v>
      </c>
      <c r="M1114" t="n">
        <v>0</v>
      </c>
      <c r="N1114" t="n">
        <v>0</v>
      </c>
      <c r="O1114" t="n">
        <v>0</v>
      </c>
      <c r="P1114" t="n">
        <v>0</v>
      </c>
      <c r="Q1114" t="n">
        <v>0</v>
      </c>
      <c r="R1114" s="2" t="inlineStr"/>
    </row>
    <row r="1115" ht="15" customHeight="1">
      <c r="A1115" t="inlineStr">
        <is>
          <t>A 21101-2025</t>
        </is>
      </c>
      <c r="B1115" s="1" t="n">
        <v>45777</v>
      </c>
      <c r="C1115" s="1" t="n">
        <v>45827</v>
      </c>
      <c r="D1115" t="inlineStr">
        <is>
          <t>NORRBOTTENS LÄN</t>
        </is>
      </c>
      <c r="E1115" t="inlineStr">
        <is>
          <t>PAJALA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21100-2025</t>
        </is>
      </c>
      <c r="B1116" s="1" t="n">
        <v>45777</v>
      </c>
      <c r="C1116" s="1" t="n">
        <v>45827</v>
      </c>
      <c r="D1116" t="inlineStr">
        <is>
          <t>NORRBOTTENS LÄN</t>
        </is>
      </c>
      <c r="E1116" t="inlineStr">
        <is>
          <t>PAJALA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21295-2025</t>
        </is>
      </c>
      <c r="B1117" s="1" t="n">
        <v>45780</v>
      </c>
      <c r="C1117" s="1" t="n">
        <v>45827</v>
      </c>
      <c r="D1117" t="inlineStr">
        <is>
          <t>NORRBOTTENS LÄN</t>
        </is>
      </c>
      <c r="E1117" t="inlineStr">
        <is>
          <t>PAJALA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21380-2025</t>
        </is>
      </c>
      <c r="B1118" s="1" t="n">
        <v>45782</v>
      </c>
      <c r="C1118" s="1" t="n">
        <v>45827</v>
      </c>
      <c r="D1118" t="inlineStr">
        <is>
          <t>NORRBOTTENS LÄN</t>
        </is>
      </c>
      <c r="E1118" t="inlineStr">
        <is>
          <t>PAJALA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22314-2025</t>
        </is>
      </c>
      <c r="B1119" s="1" t="n">
        <v>45786</v>
      </c>
      <c r="C1119" s="1" t="n">
        <v>45827</v>
      </c>
      <c r="D1119" t="inlineStr">
        <is>
          <t>NORRBOTTENS LÄN</t>
        </is>
      </c>
      <c r="E1119" t="inlineStr">
        <is>
          <t>PAJALA</t>
        </is>
      </c>
      <c r="F1119" t="inlineStr">
        <is>
          <t>SCA</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22522-2025</t>
        </is>
      </c>
      <c r="B1120" s="1" t="n">
        <v>45786</v>
      </c>
      <c r="C1120" s="1" t="n">
        <v>45827</v>
      </c>
      <c r="D1120" t="inlineStr">
        <is>
          <t>NORRBOTTENS LÄN</t>
        </is>
      </c>
      <c r="E1120" t="inlineStr">
        <is>
          <t>PAJALA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23109-2025</t>
        </is>
      </c>
      <c r="B1121" s="1" t="n">
        <v>45791</v>
      </c>
      <c r="C1121" s="1" t="n">
        <v>45827</v>
      </c>
      <c r="D1121" t="inlineStr">
        <is>
          <t>NORRBOTTENS LÄN</t>
        </is>
      </c>
      <c r="E1121" t="inlineStr">
        <is>
          <t>PAJALA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23108-2025</t>
        </is>
      </c>
      <c r="B1122" s="1" t="n">
        <v>45791</v>
      </c>
      <c r="C1122" s="1" t="n">
        <v>45827</v>
      </c>
      <c r="D1122" t="inlineStr">
        <is>
          <t>NORRBOTTENS LÄN</t>
        </is>
      </c>
      <c r="E1122" t="inlineStr">
        <is>
          <t>PAJALA</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23558-2025</t>
        </is>
      </c>
      <c r="B1123" s="1" t="n">
        <v>45792</v>
      </c>
      <c r="C1123" s="1" t="n">
        <v>45827</v>
      </c>
      <c r="D1123" t="inlineStr">
        <is>
          <t>NORRBOTTENS LÄN</t>
        </is>
      </c>
      <c r="E1123" t="inlineStr">
        <is>
          <t>PAJALA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23895-2025</t>
        </is>
      </c>
      <c r="B1124" s="1" t="n">
        <v>45794</v>
      </c>
      <c r="C1124" s="1" t="n">
        <v>45827</v>
      </c>
      <c r="D1124" t="inlineStr">
        <is>
          <t>NORRBOTTENS LÄN</t>
        </is>
      </c>
      <c r="E1124" t="inlineStr">
        <is>
          <t>PAJALA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23978-2025</t>
        </is>
      </c>
      <c r="B1125" s="1" t="n">
        <v>45796</v>
      </c>
      <c r="C1125" s="1" t="n">
        <v>45827</v>
      </c>
      <c r="D1125" t="inlineStr">
        <is>
          <t>NORRBOTTENS LÄN</t>
        </is>
      </c>
      <c r="E1125" t="inlineStr">
        <is>
          <t>PAJALA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24155-2025</t>
        </is>
      </c>
      <c r="B1126" s="1" t="n">
        <v>45796</v>
      </c>
      <c r="C1126" s="1" t="n">
        <v>45827</v>
      </c>
      <c r="D1126" t="inlineStr">
        <is>
          <t>NORRBOTTENS LÄN</t>
        </is>
      </c>
      <c r="E1126" t="inlineStr">
        <is>
          <t>PAJALA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24132-2025</t>
        </is>
      </c>
      <c r="B1127" s="1" t="n">
        <v>45796</v>
      </c>
      <c r="C1127" s="1" t="n">
        <v>45827</v>
      </c>
      <c r="D1127" t="inlineStr">
        <is>
          <t>NORRBOTTENS LÄN</t>
        </is>
      </c>
      <c r="E1127" t="inlineStr">
        <is>
          <t>PAJALA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45827</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24243-2025</t>
        </is>
      </c>
      <c r="B1129" s="1" t="n">
        <v>45797</v>
      </c>
      <c r="C1129" s="1" t="n">
        <v>45827</v>
      </c>
      <c r="D1129" t="inlineStr">
        <is>
          <t>NORRBOTTENS LÄN</t>
        </is>
      </c>
      <c r="E1129" t="inlineStr">
        <is>
          <t>PAJALA</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24271-2025</t>
        </is>
      </c>
      <c r="B1130" s="1" t="n">
        <v>45797</v>
      </c>
      <c r="C1130" s="1" t="n">
        <v>45827</v>
      </c>
      <c r="D1130" t="inlineStr">
        <is>
          <t>NORRBOTTENS LÄN</t>
        </is>
      </c>
      <c r="E1130" t="inlineStr">
        <is>
          <t>PAJALA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24394-2025</t>
        </is>
      </c>
      <c r="B1131" s="1" t="n">
        <v>45797</v>
      </c>
      <c r="C1131" s="1" t="n">
        <v>45827</v>
      </c>
      <c r="D1131" t="inlineStr">
        <is>
          <t>NORRBOTTENS LÄN</t>
        </is>
      </c>
      <c r="E1131" t="inlineStr">
        <is>
          <t>PAJALA</t>
        </is>
      </c>
      <c r="F1131" t="inlineStr">
        <is>
          <t>SCA</t>
        </is>
      </c>
      <c r="G1131" t="n">
        <v>27.1</v>
      </c>
      <c r="H1131" t="n">
        <v>0</v>
      </c>
      <c r="I1131" t="n">
        <v>0</v>
      </c>
      <c r="J1131" t="n">
        <v>0</v>
      </c>
      <c r="K1131" t="n">
        <v>0</v>
      </c>
      <c r="L1131" t="n">
        <v>0</v>
      </c>
      <c r="M1131" t="n">
        <v>0</v>
      </c>
      <c r="N1131" t="n">
        <v>0</v>
      </c>
      <c r="O1131" t="n">
        <v>0</v>
      </c>
      <c r="P1131" t="n">
        <v>0</v>
      </c>
      <c r="Q1131" t="n">
        <v>0</v>
      </c>
      <c r="R1131" s="2" t="inlineStr"/>
    </row>
    <row r="1132" ht="15" customHeight="1">
      <c r="A1132" t="inlineStr">
        <is>
          <t>A 24449-2025</t>
        </is>
      </c>
      <c r="B1132" s="1" t="n">
        <v>45798</v>
      </c>
      <c r="C1132" s="1" t="n">
        <v>45827</v>
      </c>
      <c r="D1132" t="inlineStr">
        <is>
          <t>NORRBOTTENS LÄN</t>
        </is>
      </c>
      <c r="E1132" t="inlineStr">
        <is>
          <t>PAJALA</t>
        </is>
      </c>
      <c r="G1132" t="n">
        <v>18.3</v>
      </c>
      <c r="H1132" t="n">
        <v>0</v>
      </c>
      <c r="I1132" t="n">
        <v>0</v>
      </c>
      <c r="J1132" t="n">
        <v>0</v>
      </c>
      <c r="K1132" t="n">
        <v>0</v>
      </c>
      <c r="L1132" t="n">
        <v>0</v>
      </c>
      <c r="M1132" t="n">
        <v>0</v>
      </c>
      <c r="N1132" t="n">
        <v>0</v>
      </c>
      <c r="O1132" t="n">
        <v>0</v>
      </c>
      <c r="P1132" t="n">
        <v>0</v>
      </c>
      <c r="Q1132" t="n">
        <v>0</v>
      </c>
      <c r="R1132" s="2" t="inlineStr"/>
    </row>
    <row r="1133" ht="15" customHeight="1">
      <c r="A1133" t="inlineStr">
        <is>
          <t>A 25134-2025</t>
        </is>
      </c>
      <c r="B1133" s="1" t="n">
        <v>45798</v>
      </c>
      <c r="C1133" s="1" t="n">
        <v>45827</v>
      </c>
      <c r="D1133" t="inlineStr">
        <is>
          <t>NORRBOTTENS LÄN</t>
        </is>
      </c>
      <c r="E1133" t="inlineStr">
        <is>
          <t>PAJALA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25125-2025</t>
        </is>
      </c>
      <c r="B1134" s="1" t="n">
        <v>45798</v>
      </c>
      <c r="C1134" s="1" t="n">
        <v>45827</v>
      </c>
      <c r="D1134" t="inlineStr">
        <is>
          <t>NORRBOTTENS LÄN</t>
        </is>
      </c>
      <c r="E1134" t="inlineStr">
        <is>
          <t>PAJALA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25166-2025</t>
        </is>
      </c>
      <c r="B1135" s="1" t="n">
        <v>45798</v>
      </c>
      <c r="C1135" s="1" t="n">
        <v>45827</v>
      </c>
      <c r="D1135" t="inlineStr">
        <is>
          <t>NORRBOTTENS LÄN</t>
        </is>
      </c>
      <c r="E1135" t="inlineStr">
        <is>
          <t>PAJALA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24745-2025</t>
        </is>
      </c>
      <c r="B1136" s="1" t="n">
        <v>45799</v>
      </c>
      <c r="C1136" s="1" t="n">
        <v>45827</v>
      </c>
      <c r="D1136" t="inlineStr">
        <is>
          <t>NORRBOTTENS LÄN</t>
        </is>
      </c>
      <c r="E1136" t="inlineStr">
        <is>
          <t>PAJALA</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25445-2025</t>
        </is>
      </c>
      <c r="B1137" s="1" t="n">
        <v>45801</v>
      </c>
      <c r="C1137" s="1" t="n">
        <v>45827</v>
      </c>
      <c r="D1137" t="inlineStr">
        <is>
          <t>NORRBOTTENS LÄN</t>
        </is>
      </c>
      <c r="E1137" t="inlineStr">
        <is>
          <t>PAJALA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25738-2025</t>
        </is>
      </c>
      <c r="B1138" s="1" t="n">
        <v>45803</v>
      </c>
      <c r="C1138" s="1" t="n">
        <v>45827</v>
      </c>
      <c r="D1138" t="inlineStr">
        <is>
          <t>NORRBOTTENS LÄN</t>
        </is>
      </c>
      <c r="E1138" t="inlineStr">
        <is>
          <t>PAJALA</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26224-2025</t>
        </is>
      </c>
      <c r="B1139" s="1" t="n">
        <v>45805</v>
      </c>
      <c r="C1139" s="1" t="n">
        <v>45827</v>
      </c>
      <c r="D1139" t="inlineStr">
        <is>
          <t>NORRBOTTENS LÄN</t>
        </is>
      </c>
      <c r="E1139" t="inlineStr">
        <is>
          <t>PAJALA</t>
        </is>
      </c>
      <c r="F1139" t="inlineStr">
        <is>
          <t>Sveaskog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26514-2025</t>
        </is>
      </c>
      <c r="B1140" s="1" t="n">
        <v>45807</v>
      </c>
      <c r="C1140" s="1" t="n">
        <v>45827</v>
      </c>
      <c r="D1140" t="inlineStr">
        <is>
          <t>NORRBOTTENS LÄN</t>
        </is>
      </c>
      <c r="E1140" t="inlineStr">
        <is>
          <t>PAJALA</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26886-2025</t>
        </is>
      </c>
      <c r="B1141" s="1" t="n">
        <v>45811</v>
      </c>
      <c r="C1141" s="1" t="n">
        <v>45827</v>
      </c>
      <c r="D1141" t="inlineStr">
        <is>
          <t>NORRBOTTENS LÄN</t>
        </is>
      </c>
      <c r="E1141" t="inlineStr">
        <is>
          <t>PAJALA</t>
        </is>
      </c>
      <c r="F1141" t="inlineStr">
        <is>
          <t>Sveaskog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28916-2025</t>
        </is>
      </c>
      <c r="B1142" s="1" t="n">
        <v>45820</v>
      </c>
      <c r="C1142" s="1" t="n">
        <v>45827</v>
      </c>
      <c r="D1142" t="inlineStr">
        <is>
          <t>NORRBOTTENS LÄN</t>
        </is>
      </c>
      <c r="E1142" t="inlineStr">
        <is>
          <t>PAJALA</t>
        </is>
      </c>
      <c r="F1142" t="inlineStr">
        <is>
          <t>Sveaskog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28796-2025</t>
        </is>
      </c>
      <c r="B1143" s="1" t="n">
        <v>45820</v>
      </c>
      <c r="C1143" s="1" t="n">
        <v>45827</v>
      </c>
      <c r="D1143" t="inlineStr">
        <is>
          <t>NORRBOTTENS LÄN</t>
        </is>
      </c>
      <c r="E1143" t="inlineStr">
        <is>
          <t>PAJALA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28861-2025</t>
        </is>
      </c>
      <c r="B1144" s="1" t="n">
        <v>45820</v>
      </c>
      <c r="C1144" s="1" t="n">
        <v>45827</v>
      </c>
      <c r="D1144" t="inlineStr">
        <is>
          <t>NORRBOTTENS LÄN</t>
        </is>
      </c>
      <c r="E1144" t="inlineStr">
        <is>
          <t>PAJALA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28800-2025</t>
        </is>
      </c>
      <c r="B1145" s="1" t="n">
        <v>45820</v>
      </c>
      <c r="C1145" s="1" t="n">
        <v>45827</v>
      </c>
      <c r="D1145" t="inlineStr">
        <is>
          <t>NORRBOTTENS LÄN</t>
        </is>
      </c>
      <c r="E1145" t="inlineStr">
        <is>
          <t>PAJALA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28854-2025</t>
        </is>
      </c>
      <c r="B1146" s="1" t="n">
        <v>45820</v>
      </c>
      <c r="C1146" s="1" t="n">
        <v>45827</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29172-2025</t>
        </is>
      </c>
      <c r="B1147" s="1" t="n">
        <v>45821</v>
      </c>
      <c r="C1147" s="1" t="n">
        <v>45827</v>
      </c>
      <c r="D1147" t="inlineStr">
        <is>
          <t>NORRBOTTENS LÄN</t>
        </is>
      </c>
      <c r="E1147" t="inlineStr">
        <is>
          <t>PAJALA</t>
        </is>
      </c>
      <c r="F1147" t="inlineStr">
        <is>
          <t>Sveaskog</t>
        </is>
      </c>
      <c r="G1147" t="n">
        <v>40.3</v>
      </c>
      <c r="H1147" t="n">
        <v>0</v>
      </c>
      <c r="I1147" t="n">
        <v>0</v>
      </c>
      <c r="J1147" t="n">
        <v>0</v>
      </c>
      <c r="K1147" t="n">
        <v>0</v>
      </c>
      <c r="L1147" t="n">
        <v>0</v>
      </c>
      <c r="M1147" t="n">
        <v>0</v>
      </c>
      <c r="N1147" t="n">
        <v>0</v>
      </c>
      <c r="O1147" t="n">
        <v>0</v>
      </c>
      <c r="P1147" t="n">
        <v>0</v>
      </c>
      <c r="Q1147" t="n">
        <v>0</v>
      </c>
      <c r="R1147" s="2" t="inlineStr"/>
    </row>
    <row r="1148" ht="15" customHeight="1">
      <c r="A1148" t="inlineStr">
        <is>
          <t>A 29173-2025</t>
        </is>
      </c>
      <c r="B1148" s="1" t="n">
        <v>45821</v>
      </c>
      <c r="C1148" s="1" t="n">
        <v>45827</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29155-2025</t>
        </is>
      </c>
      <c r="B1149" s="1" t="n">
        <v>45821</v>
      </c>
      <c r="C1149" s="1" t="n">
        <v>45827</v>
      </c>
      <c r="D1149" t="inlineStr">
        <is>
          <t>NORRBOTTENS LÄN</t>
        </is>
      </c>
      <c r="E1149" t="inlineStr">
        <is>
          <t>PAJALA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29426-2025</t>
        </is>
      </c>
      <c r="B1150" s="1" t="n">
        <v>45824</v>
      </c>
      <c r="C1150" s="1" t="n">
        <v>45827</v>
      </c>
      <c r="D1150" t="inlineStr">
        <is>
          <t>NORRBOTTENS LÄN</t>
        </is>
      </c>
      <c r="E1150" t="inlineStr">
        <is>
          <t>PAJALA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29374-2025</t>
        </is>
      </c>
      <c r="B1151" s="1" t="n">
        <v>45824</v>
      </c>
      <c r="C1151" s="1" t="n">
        <v>45827</v>
      </c>
      <c r="D1151" t="inlineStr">
        <is>
          <t>NORRBOTTENS LÄN</t>
        </is>
      </c>
      <c r="E1151" t="inlineStr">
        <is>
          <t>PAJALA</t>
        </is>
      </c>
      <c r="G1151" t="n">
        <v>15.1</v>
      </c>
      <c r="H1151" t="n">
        <v>0</v>
      </c>
      <c r="I1151" t="n">
        <v>0</v>
      </c>
      <c r="J1151" t="n">
        <v>0</v>
      </c>
      <c r="K1151" t="n">
        <v>0</v>
      </c>
      <c r="L1151" t="n">
        <v>0</v>
      </c>
      <c r="M1151" t="n">
        <v>0</v>
      </c>
      <c r="N1151" t="n">
        <v>0</v>
      </c>
      <c r="O1151" t="n">
        <v>0</v>
      </c>
      <c r="P1151" t="n">
        <v>0</v>
      </c>
      <c r="Q1151" t="n">
        <v>0</v>
      </c>
      <c r="R1151" s="2" t="inlineStr"/>
    </row>
    <row r="1152">
      <c r="A1152" t="inlineStr">
        <is>
          <t>A 29421-2025</t>
        </is>
      </c>
      <c r="B1152" s="1" t="n">
        <v>45824</v>
      </c>
      <c r="C1152" s="1" t="n">
        <v>45827</v>
      </c>
      <c r="D1152" t="inlineStr">
        <is>
          <t>NORRBOTTENS LÄN</t>
        </is>
      </c>
      <c r="E1152" t="inlineStr">
        <is>
          <t>PAJALA</t>
        </is>
      </c>
      <c r="G1152" t="n">
        <v>8.6</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2025-06-19T19:15:09Z</dcterms:created>
  <dcterms:modified xmlns:dcterms="http://purl.org/dc/terms/" xmlns:xsi="http://www.w3.org/2001/XMLSchema-instance" xsi:type="dcterms:W3CDTF">2025-06-19T19:15:10Z</dcterms:modified>
</cp:coreProperties>
</file>