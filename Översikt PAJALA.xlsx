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45361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45361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45361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45361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45361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45361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45361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45361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45361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45361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45361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45361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45361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45361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30324-2022</t>
        </is>
      </c>
      <c r="B16" s="1" t="n">
        <v>44760</v>
      </c>
      <c r="C16" s="1" t="n">
        <v>45361</v>
      </c>
      <c r="D16" t="inlineStr">
        <is>
          <t>NORRBOTTENS LÄN</t>
        </is>
      </c>
      <c r="E16" t="inlineStr">
        <is>
          <t>PAJALA</t>
        </is>
      </c>
      <c r="G16" t="n">
        <v>19.5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Rödvingetrast
Grönsiska
Gök
Tjäder</t>
        </is>
      </c>
      <c r="S16">
        <f>HYPERLINK("https://klasma.github.io/Logging_2521/artfynd/A 30324-2022 artfynd.xlsx", "A 30324-2022")</f>
        <v/>
      </c>
      <c r="T16">
        <f>HYPERLINK("https://klasma.github.io/Logging_2521/kartor/A 30324-2022 karta.png", "A 30324-2022")</f>
        <v/>
      </c>
      <c r="V16">
        <f>HYPERLINK("https://klasma.github.io/Logging_2521/klagomål/A 30324-2022 FSC-klagomål.docx", "A 30324-2022")</f>
        <v/>
      </c>
      <c r="W16">
        <f>HYPERLINK("https://klasma.github.io/Logging_2521/klagomålsmail/A 30324-2022 FSC-klagomål mail.docx", "A 30324-2022")</f>
        <v/>
      </c>
      <c r="X16">
        <f>HYPERLINK("https://klasma.github.io/Logging_2521/tillsyn/A 30324-2022 tillsynsbegäran.docx", "A 30324-2022")</f>
        <v/>
      </c>
      <c r="Y16">
        <f>HYPERLINK("https://klasma.github.io/Logging_2521/tillsynsmail/A 30324-2022 tillsynsbegäran mail.docx", "A 30324-2022")</f>
        <v/>
      </c>
      <c r="Z16">
        <f>HYPERLINK("https://klasma.github.io/Logging_2521/fåglar/A 30324-2022 prioriterade fågelarter.docx", "A 30324-2022")</f>
        <v/>
      </c>
    </row>
    <row r="17" ht="15" customHeight="1">
      <c r="A17" t="inlineStr">
        <is>
          <t>A 33313-2020</t>
        </is>
      </c>
      <c r="B17" s="1" t="n">
        <v>44022</v>
      </c>
      <c r="C17" s="1" t="n">
        <v>45361</v>
      </c>
      <c r="D17" t="inlineStr">
        <is>
          <t>NORRBOTTENS LÄN</t>
        </is>
      </c>
      <c r="E17" t="inlineStr">
        <is>
          <t>PAJALA</t>
        </is>
      </c>
      <c r="F17" t="inlineStr">
        <is>
          <t>Sveaskog</t>
        </is>
      </c>
      <c r="G17" t="n">
        <v>7.3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Ullticka</t>
        </is>
      </c>
      <c r="S17">
        <f>HYPERLINK("https://klasma.github.io/Logging_2521/artfynd/A 33313-2020 artfynd.xlsx", "A 33313-2020")</f>
        <v/>
      </c>
      <c r="T17">
        <f>HYPERLINK("https://klasma.github.io/Logging_2521/kartor/A 33313-2020 karta.png", "A 33313-2020")</f>
        <v/>
      </c>
      <c r="V17">
        <f>HYPERLINK("https://klasma.github.io/Logging_2521/klagomål/A 33313-2020 FSC-klagomål.docx", "A 33313-2020")</f>
        <v/>
      </c>
      <c r="W17">
        <f>HYPERLINK("https://klasma.github.io/Logging_2521/klagomålsmail/A 33313-2020 FSC-klagomål mail.docx", "A 33313-2020")</f>
        <v/>
      </c>
      <c r="X17">
        <f>HYPERLINK("https://klasma.github.io/Logging_2521/tillsyn/A 33313-2020 tillsynsbegäran.docx", "A 33313-2020")</f>
        <v/>
      </c>
      <c r="Y17">
        <f>HYPERLINK("https://klasma.github.io/Logging_2521/tillsynsmail/A 33313-2020 tillsynsbegäran mail.docx", "A 33313-2020")</f>
        <v/>
      </c>
    </row>
    <row r="18" ht="15" customHeight="1">
      <c r="A18" t="inlineStr">
        <is>
          <t>A 33836-2020</t>
        </is>
      </c>
      <c r="B18" s="1" t="n">
        <v>44022</v>
      </c>
      <c r="C18" s="1" t="n">
        <v>45361</v>
      </c>
      <c r="D18" t="inlineStr">
        <is>
          <t>NORRBOTTENS LÄN</t>
        </is>
      </c>
      <c r="E18" t="inlineStr">
        <is>
          <t>PAJALA</t>
        </is>
      </c>
      <c r="G18" t="n">
        <v>35.7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Knottrig blåslav
Tretåig hackspett
Vitplätt</t>
        </is>
      </c>
      <c r="S18">
        <f>HYPERLINK("https://klasma.github.io/Logging_2521/artfynd/A 33836-2020 artfynd.xlsx", "A 33836-2020")</f>
        <v/>
      </c>
      <c r="T18">
        <f>HYPERLINK("https://klasma.github.io/Logging_2521/kartor/A 33836-2020 karta.png", "A 33836-2020")</f>
        <v/>
      </c>
      <c r="V18">
        <f>HYPERLINK("https://klasma.github.io/Logging_2521/klagomål/A 33836-2020 FSC-klagomål.docx", "A 33836-2020")</f>
        <v/>
      </c>
      <c r="W18">
        <f>HYPERLINK("https://klasma.github.io/Logging_2521/klagomålsmail/A 33836-2020 FSC-klagomål mail.docx", "A 33836-2020")</f>
        <v/>
      </c>
      <c r="X18">
        <f>HYPERLINK("https://klasma.github.io/Logging_2521/tillsyn/A 33836-2020 tillsynsbegäran.docx", "A 33836-2020")</f>
        <v/>
      </c>
      <c r="Y18">
        <f>HYPERLINK("https://klasma.github.io/Logging_2521/tillsynsmail/A 33836-2020 tillsynsbegäran mail.docx", "A 33836-2020")</f>
        <v/>
      </c>
      <c r="Z18">
        <f>HYPERLINK("https://klasma.github.io/Logging_2521/fåglar/A 33836-2020 prioriterade fågelarter.docx", "A 33836-2020")</f>
        <v/>
      </c>
    </row>
    <row r="19" ht="15" customHeight="1">
      <c r="A19" t="inlineStr">
        <is>
          <t>A 62610-2021</t>
        </is>
      </c>
      <c r="B19" s="1" t="n">
        <v>44503</v>
      </c>
      <c r="C19" s="1" t="n">
        <v>45361</v>
      </c>
      <c r="D19" t="inlineStr">
        <is>
          <t>NORRBOTTENS LÄN</t>
        </is>
      </c>
      <c r="E19" t="inlineStr">
        <is>
          <t>PAJALA</t>
        </is>
      </c>
      <c r="F19" t="inlineStr">
        <is>
          <t>Sveaskog</t>
        </is>
      </c>
      <c r="G19" t="n">
        <v>1.6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Spillkråka
Plattlummer</t>
        </is>
      </c>
      <c r="S19">
        <f>HYPERLINK("https://klasma.github.io/Logging_2521/artfynd/A 62610-2021 artfynd.xlsx", "A 62610-2021")</f>
        <v/>
      </c>
      <c r="T19">
        <f>HYPERLINK("https://klasma.github.io/Logging_2521/kartor/A 62610-2021 karta.png", "A 62610-2021")</f>
        <v/>
      </c>
      <c r="V19">
        <f>HYPERLINK("https://klasma.github.io/Logging_2521/klagomål/A 62610-2021 FSC-klagomål.docx", "A 62610-2021")</f>
        <v/>
      </c>
      <c r="W19">
        <f>HYPERLINK("https://klasma.github.io/Logging_2521/klagomålsmail/A 62610-2021 FSC-klagomål mail.docx", "A 62610-2021")</f>
        <v/>
      </c>
      <c r="X19">
        <f>HYPERLINK("https://klasma.github.io/Logging_2521/tillsyn/A 62610-2021 tillsynsbegäran.docx", "A 62610-2021")</f>
        <v/>
      </c>
      <c r="Y19">
        <f>HYPERLINK("https://klasma.github.io/Logging_2521/tillsynsmail/A 62610-2021 tillsynsbegäran mail.docx", "A 62610-2021")</f>
        <v/>
      </c>
      <c r="Z19">
        <f>HYPERLINK("https://klasma.github.io/Logging_2521/fåglar/A 62610-2021 prioriterade fågelarter.docx", "A 62610-2021")</f>
        <v/>
      </c>
    </row>
    <row r="20" ht="15" customHeight="1">
      <c r="A20" t="inlineStr">
        <is>
          <t>A 7959-2022</t>
        </is>
      </c>
      <c r="B20" s="1" t="n">
        <v>44608</v>
      </c>
      <c r="C20" s="1" t="n">
        <v>45361</v>
      </c>
      <c r="D20" t="inlineStr">
        <is>
          <t>NORRBOTTENS LÄN</t>
        </is>
      </c>
      <c r="E20" t="inlineStr">
        <is>
          <t>PAJALA</t>
        </is>
      </c>
      <c r="F20" t="inlineStr">
        <is>
          <t>SCA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Knottrig blåslav
Svartvit taggsvamp
Talltaggsvamp</t>
        </is>
      </c>
      <c r="S20">
        <f>HYPERLINK("https://klasma.github.io/Logging_2521/artfynd/A 7959-2022 artfynd.xlsx", "A 7959-2022")</f>
        <v/>
      </c>
      <c r="T20">
        <f>HYPERLINK("https://klasma.github.io/Logging_2521/kartor/A 7959-2022 karta.png", "A 7959-2022")</f>
        <v/>
      </c>
      <c r="V20">
        <f>HYPERLINK("https://klasma.github.io/Logging_2521/klagomål/A 7959-2022 FSC-klagomål.docx", "A 7959-2022")</f>
        <v/>
      </c>
      <c r="W20">
        <f>HYPERLINK("https://klasma.github.io/Logging_2521/klagomålsmail/A 7959-2022 FSC-klagomål mail.docx", "A 7959-2022")</f>
        <v/>
      </c>
      <c r="X20">
        <f>HYPERLINK("https://klasma.github.io/Logging_2521/tillsyn/A 7959-2022 tillsynsbegäran.docx", "A 7959-2022")</f>
        <v/>
      </c>
      <c r="Y20">
        <f>HYPERLINK("https://klasma.github.io/Logging_2521/tillsynsmail/A 7959-2022 tillsynsbegäran mail.docx", "A 7959-2022")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45361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45361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45361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45361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45361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45361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45361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45361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45361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45361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45361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45361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45361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45361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45361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45361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45361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45361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45361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45361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45361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  <c r="Z41">
        <f>HYPERLINK("https://klasma.github.io/Logging_2521/fåglar/A 42854-2020 prioriterade fågelarter.docx",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45361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45361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45361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45361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45361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45361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45361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45361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45361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45361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45361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45361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45361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45361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45361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45361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45361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45361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45361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45361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45361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45361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45361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45361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45361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45361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45361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45361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45361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45361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45361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45361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45361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45361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45361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45361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45361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45361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45361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45361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45361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45361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45361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45361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45361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45361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45361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45361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45361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45361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45361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45361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45361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45361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45361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45361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45361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45361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45361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45361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45361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45361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45361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45361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45361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45361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45361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45361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45361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45361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45361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45361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45361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45361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45361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45361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45361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45361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45361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45361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45361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45361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45361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45361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45361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45361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45361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45361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45361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45361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45361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45361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45361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45361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45361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45361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45361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45361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45361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45361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45361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45361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45361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45361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45361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45361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45361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45361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45361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45361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45361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45361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45361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45361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45361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45361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45361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45361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45361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45361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45361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45361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45361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45361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45361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45361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45361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45361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45361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45361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45361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45361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45361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45361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45361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45361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45361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45361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45361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45361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45361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45361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45361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45361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45361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45361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45361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45361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45361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45361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45361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45361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45361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45361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45361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45361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45361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45361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45361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45361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45361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45361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45361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45361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45361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45361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45361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45361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45361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45361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45361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45361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45361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45361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45361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45361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45361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45361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45361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45361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45361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45361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45361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45361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45361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45361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45361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45361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45361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45361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45361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45361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45361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45361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45361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45361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45361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45361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45361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45361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45361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45361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45361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45361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45361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45361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45361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45361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45361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45361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45361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45361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45361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45361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45361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45361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45361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45361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45361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45361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45361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45361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45361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45361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45361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45361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45361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45361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45361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45361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45361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45361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45361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45361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45361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45361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45361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45361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45361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45361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45361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45361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45361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45361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45361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45361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45361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45361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45361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45361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45361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45361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45361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45361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45361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45361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45361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45361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45361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45361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45361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45361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45361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45361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45361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45361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45361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45361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45361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45361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45361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45361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45361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45361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45361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45361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45361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45361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45361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45361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45361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45361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45361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45361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45361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45361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45361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45361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45361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45361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45361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45361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45361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45361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45361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45361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45361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45361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45361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45361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45361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45361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45361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45361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45361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45361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45361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45361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45361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45361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45361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45361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45361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45361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45361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45361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45361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45361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45361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45361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45361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45361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45361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45361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45361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45361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45361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45361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45361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45361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45361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45361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45361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45361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45361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45361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45361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45361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45361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45361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45361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45361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45361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45361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45361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45361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45361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45361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45361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45361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45361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45361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45361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45361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45361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45361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45361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45361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45361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45361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45361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45361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45361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45361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45361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45361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45361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45361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45361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45361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45361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45361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45361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45361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45361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45361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45361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45361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45361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45361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45361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45361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45361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45361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45361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45361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45361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45361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45361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45361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45361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45361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45361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45361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45361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45361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45361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45361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45361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45361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45361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45361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45361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45361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45361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45361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45361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45361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45361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45361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45361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45361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45361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45361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45361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45361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45361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45361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45361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45361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45361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45361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45361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45361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45361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45361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45361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45361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45361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45361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45361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45361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45361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45361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45361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45361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45361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45361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45361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45361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45361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45361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45361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45361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45361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45361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45361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45361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45361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45361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45361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45361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45361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45361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45361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45361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45361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45361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45361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45361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45361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45361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45361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45361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45361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45361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45361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45361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45361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45361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45361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45361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45361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45361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45361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45361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45361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45361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45361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45361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45361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45361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45361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45361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45361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45361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45361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45361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45361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45361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45361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45361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45361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45361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45361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45361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45361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45361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45361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45361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45361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45361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45361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45361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45361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45361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45361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45361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45361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45361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45361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45361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45361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45361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45361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45361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45361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45361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45361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45361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45361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45361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45361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45361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45361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45361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45361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45361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45361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45361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45361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45361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45361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45361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45361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45361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45361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45361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45361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45361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45361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45361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45361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45361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45361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45361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45361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45361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45361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45361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45361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45361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45361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45361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45361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45361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45361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45361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45361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45361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45361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45361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45361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45361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45361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45361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45361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45361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45361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45361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45361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45361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45361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45361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45361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45361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45361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45361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45361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45361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45361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45361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45361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45361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45361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45361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45361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45361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45361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45361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45361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45361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45361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45361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45361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45361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45361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45361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45361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45361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45361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45361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45361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45361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45361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45361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45361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45361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45361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45361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45361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45361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45361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45361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45361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45361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45361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45361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45361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45361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45361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45361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45361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45361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45361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45361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45361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45361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45361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45361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45361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45361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45361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45361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45361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45361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45361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45361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45361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45361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45361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45361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45361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45361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45361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45361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45361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45361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45361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45361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45361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45361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45361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45361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45361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45361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45361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45361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45361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45361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45361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45361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45361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45361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45361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45361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45361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45361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45361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45361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45361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45361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45361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45361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45361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45361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45361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45361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45361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45361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45361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45361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45361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45361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45361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45361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45361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45361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45361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45361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45361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45361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45361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45361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45361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45361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45361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45361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45361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45361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45361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45361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45361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45361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45361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45361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45361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45361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45361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45361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45361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45361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45361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45361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45361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45361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45361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45361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45361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45361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45361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45361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45361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45361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45361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45361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45361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45361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45361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45361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45361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45361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45361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45361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45361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45361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45361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45361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45361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45361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45361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45361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45361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45361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45361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45361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45361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45361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45361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45361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45361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45361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45361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45361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45361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45361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45361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45361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45361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45361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45361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45361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45361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45361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45361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45361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45361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45361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45361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45361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45361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45361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45361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45361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45361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45361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45361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45361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45361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45361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45361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45361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45361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45361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45361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45361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45361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45361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45361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45361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45361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5730-2024</t>
        </is>
      </c>
      <c r="B833" s="1" t="n">
        <v>45334</v>
      </c>
      <c r="C833" s="1" t="n">
        <v>45361</v>
      </c>
      <c r="D833" t="inlineStr">
        <is>
          <t>NORRBOTTENS LÄN</t>
        </is>
      </c>
      <c r="E833" t="inlineStr">
        <is>
          <t>PAJALA</t>
        </is>
      </c>
      <c r="G833" t="n">
        <v>26.2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5731-2024</t>
        </is>
      </c>
      <c r="B834" s="1" t="n">
        <v>45334</v>
      </c>
      <c r="C834" s="1" t="n">
        <v>45361</v>
      </c>
      <c r="D834" t="inlineStr">
        <is>
          <t>NORRBOTTENS LÄN</t>
        </is>
      </c>
      <c r="E834" t="inlineStr">
        <is>
          <t>PAJALA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5739-2024</t>
        </is>
      </c>
      <c r="B835" s="1" t="n">
        <v>45334</v>
      </c>
      <c r="C835" s="1" t="n">
        <v>45361</v>
      </c>
      <c r="D835" t="inlineStr">
        <is>
          <t>NORRBOTTENS LÄN</t>
        </is>
      </c>
      <c r="E835" t="inlineStr">
        <is>
          <t>PAJALA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45361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45361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8212-2024</t>
        </is>
      </c>
      <c r="B838" s="1" t="n">
        <v>45351</v>
      </c>
      <c r="C838" s="1" t="n">
        <v>45361</v>
      </c>
      <c r="D838" t="inlineStr">
        <is>
          <t>NORRBOTTENS LÄN</t>
        </is>
      </c>
      <c r="E838" t="inlineStr">
        <is>
          <t>PAJALA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8553-2024</t>
        </is>
      </c>
      <c r="B839" s="1" t="n">
        <v>45351</v>
      </c>
      <c r="C839" s="1" t="n">
        <v>45361</v>
      </c>
      <c r="D839" t="inlineStr">
        <is>
          <t>NORRBOTTENS LÄN</t>
        </is>
      </c>
      <c r="E839" t="inlineStr">
        <is>
          <t>PAJALA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8530-2024</t>
        </is>
      </c>
      <c r="B840" s="1" t="n">
        <v>45351</v>
      </c>
      <c r="C840" s="1" t="n">
        <v>45361</v>
      </c>
      <c r="D840" t="inlineStr">
        <is>
          <t>NORRBOTTENS LÄN</t>
        </is>
      </c>
      <c r="E840" t="inlineStr">
        <is>
          <t>PAJALA</t>
        </is>
      </c>
      <c r="G840" t="n">
        <v>37.9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8296-2024</t>
        </is>
      </c>
      <c r="B841" s="1" t="n">
        <v>45352</v>
      </c>
      <c r="C841" s="1" t="n">
        <v>45361</v>
      </c>
      <c r="D841" t="inlineStr">
        <is>
          <t>NORRBOTTENS LÄN</t>
        </is>
      </c>
      <c r="E841" t="inlineStr">
        <is>
          <t>PAJALA</t>
        </is>
      </c>
      <c r="G841" t="n">
        <v>22.2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8859-2024</t>
        </is>
      </c>
      <c r="B842" s="1" t="n">
        <v>45357</v>
      </c>
      <c r="C842" s="1" t="n">
        <v>45361</v>
      </c>
      <c r="D842" t="inlineStr">
        <is>
          <t>NORRBOTTENS LÄN</t>
        </is>
      </c>
      <c r="E842" t="inlineStr">
        <is>
          <t>PAJALA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8858-2024</t>
        </is>
      </c>
      <c r="B843" s="1" t="n">
        <v>45357</v>
      </c>
      <c r="C843" s="1" t="n">
        <v>45361</v>
      </c>
      <c r="D843" t="inlineStr">
        <is>
          <t>NORRBOTTENS LÄN</t>
        </is>
      </c>
      <c r="E843" t="inlineStr">
        <is>
          <t>PAJALA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9585-2024</t>
        </is>
      </c>
      <c r="B844" s="1" t="n">
        <v>45360</v>
      </c>
      <c r="C844" s="1" t="n">
        <v>45361</v>
      </c>
      <c r="D844" t="inlineStr">
        <is>
          <t>NORRBOTTENS LÄN</t>
        </is>
      </c>
      <c r="E844" t="inlineStr">
        <is>
          <t>PAJALA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2024-03-10T17:24:52Z</dcterms:created>
  <dcterms:modified xmlns:dcterms="http://purl.org/dc/terms/" xmlns:xsi="http://www.w3.org/2001/XMLSchema-instance" xsi:type="dcterms:W3CDTF">2024-03-10T17:24:53Z</dcterms:modified>
</cp:coreProperties>
</file>