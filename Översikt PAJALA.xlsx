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45781</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45781</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45781</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45781</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45781</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45781</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9402-2025</t>
        </is>
      </c>
      <c r="B8" s="1" t="n">
        <v>45715</v>
      </c>
      <c r="C8" s="1" t="n">
        <v>45781</v>
      </c>
      <c r="D8" t="inlineStr">
        <is>
          <t>NORRBOTTENS LÄN</t>
        </is>
      </c>
      <c r="E8" t="inlineStr">
        <is>
          <t>PAJALA</t>
        </is>
      </c>
      <c r="G8" t="n">
        <v>22.7</v>
      </c>
      <c r="H8" t="n">
        <v>1</v>
      </c>
      <c r="I8" t="n">
        <v>4</v>
      </c>
      <c r="J8" t="n">
        <v>7</v>
      </c>
      <c r="K8" t="n">
        <v>0</v>
      </c>
      <c r="L8" t="n">
        <v>0</v>
      </c>
      <c r="M8" t="n">
        <v>0</v>
      </c>
      <c r="N8" t="n">
        <v>0</v>
      </c>
      <c r="O8" t="n">
        <v>7</v>
      </c>
      <c r="P8" t="n">
        <v>0</v>
      </c>
      <c r="Q8" t="n">
        <v>11</v>
      </c>
      <c r="R8" s="2" t="inlineStr">
        <is>
          <t>Gammelgransskål
Garnlav
Granticka
Harticka
Järpe
Skrovellav
Ullticka
Bårdlav
Dvärgtufs
Luddlav
Skinnlav</t>
        </is>
      </c>
      <c r="S8">
        <f>HYPERLINK("https://klasma.github.io/Logging_252521/artfynd/A 9402-2025 artfynd.xlsx", "A 9402-2025")</f>
        <v/>
      </c>
      <c r="T8">
        <f>HYPERLINK("https://klasma.github.io/Logging_252521/kartor/A 9402-2025 karta.png", "A 9402-2025")</f>
        <v/>
      </c>
      <c r="V8">
        <f>HYPERLINK("https://klasma.github.io/Logging_252521/klagomål/A 9402-2025 FSC-klagomål.docx", "A 9402-2025")</f>
        <v/>
      </c>
      <c r="W8">
        <f>HYPERLINK("https://klasma.github.io/Logging_252521/klagomålsmail/A 9402-2025 FSC-klagomål mail.docx", "A 9402-2025")</f>
        <v/>
      </c>
      <c r="X8">
        <f>HYPERLINK("https://klasma.github.io/Logging_252521/tillsyn/A 9402-2025 tillsynsbegäran.docx", "A 9402-2025")</f>
        <v/>
      </c>
      <c r="Y8">
        <f>HYPERLINK("https://klasma.github.io/Logging_252521/tillsynsmail/A 9402-2025 tillsynsbegäran mail.docx", "A 9402-2025")</f>
        <v/>
      </c>
      <c r="Z8">
        <f>HYPERLINK("https://klasma.github.io/Logging_252521/fåglar/A 9402-2025 prioriterade fågelarter.docx", "A 9402-2025")</f>
        <v/>
      </c>
    </row>
    <row r="9" ht="15" customHeight="1">
      <c r="A9" t="inlineStr">
        <is>
          <t>A 16006-2025</t>
        </is>
      </c>
      <c r="B9" s="1" t="n">
        <v>45749</v>
      </c>
      <c r="C9" s="1" t="n">
        <v>45781</v>
      </c>
      <c r="D9" t="inlineStr">
        <is>
          <t>NORRBOTTENS LÄN</t>
        </is>
      </c>
      <c r="E9" t="inlineStr">
        <is>
          <t>PAJALA</t>
        </is>
      </c>
      <c r="G9" t="n">
        <v>24.2</v>
      </c>
      <c r="H9" t="n">
        <v>1</v>
      </c>
      <c r="I9" t="n">
        <v>4</v>
      </c>
      <c r="J9" t="n">
        <v>7</v>
      </c>
      <c r="K9" t="n">
        <v>0</v>
      </c>
      <c r="L9" t="n">
        <v>0</v>
      </c>
      <c r="M9" t="n">
        <v>0</v>
      </c>
      <c r="N9" t="n">
        <v>0</v>
      </c>
      <c r="O9" t="n">
        <v>7</v>
      </c>
      <c r="P9" t="n">
        <v>0</v>
      </c>
      <c r="Q9" t="n">
        <v>11</v>
      </c>
      <c r="R9" s="2" t="inlineStr">
        <is>
          <t>Gammelgransskål
Garnlav
Granticka
Harticka
Järpe
Skrovellav
Ullticka
Bårdlav
Dvärgtufs
Luddlav
Skinnlav</t>
        </is>
      </c>
      <c r="S9">
        <f>HYPERLINK("https://klasma.github.io/Logging_252521/artfynd/A 16006-2025 artfynd.xlsx", "A 16006-2025")</f>
        <v/>
      </c>
      <c r="T9">
        <f>HYPERLINK("https://klasma.github.io/Logging_252521/kartor/A 16006-2025 karta.png", "A 16006-2025")</f>
        <v/>
      </c>
      <c r="V9">
        <f>HYPERLINK("https://klasma.github.io/Logging_252521/klagomål/A 16006-2025 FSC-klagomål.docx", "A 16006-2025")</f>
        <v/>
      </c>
      <c r="W9">
        <f>HYPERLINK("https://klasma.github.io/Logging_252521/klagomålsmail/A 16006-2025 FSC-klagomål mail.docx", "A 16006-2025")</f>
        <v/>
      </c>
      <c r="X9">
        <f>HYPERLINK("https://klasma.github.io/Logging_252521/tillsyn/A 16006-2025 tillsynsbegäran.docx", "A 16006-2025")</f>
        <v/>
      </c>
      <c r="Y9">
        <f>HYPERLINK("https://klasma.github.io/Logging_252521/tillsynsmail/A 16006-2025 tillsynsbegäran mail.docx", "A 16006-2025")</f>
        <v/>
      </c>
      <c r="Z9">
        <f>HYPERLINK("https://klasma.github.io/Logging_252521/fåglar/A 16006-2025 prioriterade fågelarter.docx", "A 16006-2025")</f>
        <v/>
      </c>
    </row>
    <row r="10" ht="15" customHeight="1">
      <c r="A10" t="inlineStr">
        <is>
          <t>A 7961-2022</t>
        </is>
      </c>
      <c r="B10" s="1" t="n">
        <v>44608</v>
      </c>
      <c r="C10" s="1" t="n">
        <v>45781</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45781</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45781</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45781</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45781</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45781</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45781</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45781</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45781</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45781</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45781</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45781</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45781</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45781</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45781</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45781</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45781</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45781</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45781</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45781</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45781</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45781</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45781</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45781</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45781</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45781</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45781</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45781</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45781</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45781</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45781</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45781</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45781</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45781</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45781</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45781</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45781</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45781</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45781</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45781</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45781</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45781</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45781</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45781</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45781</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45781</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45781</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45781</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45781</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45781</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45781</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45781</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45781</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45781</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45781</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45781</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45781</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45781</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45781</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45781</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45781</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45781</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45781</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45781</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45781</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45781</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45781</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45781</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45781</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45781</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45781</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45781</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45781</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45781</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45781</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45781</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45781</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45781</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45781</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45781</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45781</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45781</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45781</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45781</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45781</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45781</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45781</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45781</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45781</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45781</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45781</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45781</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45781</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45781</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45781</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45781</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45781</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45781</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45781</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45781</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45781</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45781</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45781</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45781</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45781</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45781</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45781</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45781</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45781</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45781</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45781</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45781</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45781</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45781</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45781</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45781</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45781</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45781</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45781</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45781</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45781</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45781</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45781</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45781</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45781</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45781</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45781</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45781</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45781</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45781</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45781</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45781</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45781</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45781</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45781</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45781</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45781</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45781</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45781</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45781</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45781</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45781</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45781</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45781</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45781</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45781</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45781</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45781</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45781</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45781</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45781</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45781</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45781</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45781</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45781</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45781</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45781</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45781</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45781</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45781</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45781</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45781</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45781</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45781</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45781</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45781</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45781</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45781</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45781</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45781</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45781</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45781</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45781</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45781</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45781</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45781</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45781</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45781</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45781</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45781</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45781</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45781</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45781</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45781</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45781</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45781</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45781</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45781</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45781</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45781</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45781</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45781</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45781</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45781</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45781</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45781</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45781</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45781</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45781</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45781</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45781</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45781</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45781</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45781</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45781</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45781</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45781</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45781</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45781</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45781</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45781</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45781</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45781</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45781</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45781</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45781</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45781</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45781</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45781</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45781</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45781</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45781</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45781</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45781</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45781</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45781</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45781</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45781</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45781</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45781</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45781</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45781</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45781</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45781</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45781</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45781</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45781</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45781</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45781</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45781</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45781</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45781</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45781</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45781</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45781</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45781</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45781</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45781</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45781</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45781</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45781</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45781</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45781</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45781</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45781</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45781</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45781</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45781</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45781</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45781</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45781</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45781</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45781</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45781</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45781</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45781</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45781</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45781</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45781</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45781</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45781</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45781</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45781</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45781</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45781</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45781</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45781</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45781</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45781</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45781</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45781</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45781</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45781</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45781</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45781</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45781</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45781</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45781</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45781</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45781</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45781</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45781</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45781</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45781</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45781</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45781</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45781</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45781</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45781</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45781</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45781</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45781</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45781</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45781</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45781</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45781</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45781</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45781</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45781</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45781</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45781</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45781</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45781</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45781</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45781</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45781</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45781</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45781</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45781</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45781</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45781</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45781</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45781</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45781</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45781</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45781</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45781</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45781</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45781</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45781</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45781</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45781</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45781</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45781</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45781</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45781</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45781</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45781</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45781</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45781</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45781</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45781</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45781</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45781</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45781</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45781</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45781</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45781</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45781</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45781</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45781</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45781</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45781</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45781</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45781</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45781</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45781</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45781</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45781</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45781</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45781</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45781</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45781</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45781</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45781</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45781</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45781</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45781</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45781</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45781</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45781</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45781</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45781</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45781</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45781</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45781</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45781</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45781</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45781</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45781</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45781</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45781</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45781</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45781</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45781</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45781</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45781</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45781</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45781</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45781</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45781</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45781</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45781</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45781</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45781</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45781</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45781</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45781</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45781</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45781</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45781</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45781</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45781</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45781</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45781</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45781</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45781</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45781</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45781</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45781</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45781</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45781</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45781</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45781</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45781</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45781</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45781</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45781</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45781</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45781</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45781</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45781</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45781</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45781</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45781</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45781</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45781</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45781</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45781</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45781</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45781</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45781</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45781</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45781</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45781</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45781</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45781</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45781</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45781</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45781</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45781</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45781</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45781</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45781</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45781</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45781</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45781</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45781</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45781</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45781</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45781</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45781</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45781</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45781</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45781</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45781</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45781</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45781</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45781</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45781</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45781</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45781</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45781</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45781</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45781</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45781</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45781</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45781</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45781</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45781</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45781</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45781</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45781</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45781</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45781</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45781</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45781</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45781</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45781</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45781</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45781</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45781</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45781</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45781</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45781</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45781</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45781</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45781</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45781</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45781</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45781</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45781</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45781</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45781</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45781</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45781</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45781</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45781</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45781</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45781</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45781</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45781</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45781</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45781</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45781</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45781</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45781</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45781</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45781</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45781</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45781</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45781</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45781</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45781</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45781</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45781</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45781</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45781</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45781</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45781</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45781</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45781</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45781</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45781</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45781</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45781</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45781</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45781</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45781</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45781</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45781</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45781</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45781</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45781</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45781</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45781</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45781</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45781</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45781</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45781</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45781</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45781</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45781</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45781</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45781</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45781</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45781</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45781</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45781</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45781</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45781</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45781</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45781</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45781</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45781</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45781</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45781</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45781</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45781</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45781</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45781</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45781</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45781</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45781</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45781</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45781</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45781</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45781</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45781</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45781</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45781</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45781</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45781</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45781</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45781</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45781</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45781</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45781</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45781</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45781</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45781</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45781</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45781</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45781</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45781</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45781</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45781</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45781</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45781</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45781</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45781</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45781</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45781</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45781</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45781</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45781</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45781</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45781</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45781</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45781</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45781</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45781</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45781</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45781</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45781</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45781</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45781</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45781</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45781</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45781</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45781</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45781</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45781</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45781</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45781</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45781</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45781</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45781</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45781</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45781</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45781</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45781</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45781</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45781</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45781</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45781</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45781</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45781</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45781</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45781</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45781</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45781</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45781</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45781</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45781</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45781</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45781</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45781</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45781</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45781</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45781</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45781</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45781</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45781</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45781</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45781</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45781</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45781</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45781</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45781</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45781</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45781</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45781</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45781</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45781</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45781</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45781</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45781</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45781</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45781</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45781</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45781</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45781</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45781</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45781</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45781</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45781</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45781</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45781</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45781</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45781</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45781</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45781</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45781</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45781</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45781</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45781</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45781</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45781</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45781</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45781</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45781</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45781</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45781</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45781</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45781</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45781</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45781</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45781</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45781</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45781</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45781</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45781</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45781</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45781</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45781</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45781</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45781</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45781</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45781</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45781</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45781</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45781</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45781</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45781</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45781</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45781</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45781</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45781</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45781</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45781</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45781</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45781</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45781</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45781</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45781</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45781</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45781</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45781</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45781</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45781</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45781</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45781</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45781</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45781</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45781</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45781</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45781</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45781</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45781</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45781</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45781</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45781</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45781</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45781</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45781</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45781</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45781</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45781</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45781</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45781</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45781</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45781</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45781</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45781</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45781</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45781</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45781</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45781</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45781</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45781</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45781</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45781</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45781</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45781</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45781</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45781</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45781</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45781</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45781</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45781</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45781</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45781</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45781</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45781</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45781</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45781</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45781</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45781</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45781</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45781</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45781</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45781</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45781</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45781</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45781</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45781</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45781</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45781</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45781</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45781</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45781</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45781</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45781</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45781</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45781</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45781</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45781</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45781</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45781</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45781</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45781</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45781</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45781</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45781</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45781</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45781</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45781</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45781</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45781</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45781</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45781</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45781</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45781</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45781</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45781</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45781</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45781</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45781</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45781</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45781</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45781</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45781</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45781</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45781</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45781</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45781</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45781</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45781</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45781</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45781</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45781</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45781</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45781</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45781</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45781</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45781</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45781</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45781</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45781</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45781</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45781</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45781</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45781</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45781</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45781</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45781</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45781</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45781</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45781</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45781</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45781</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45781</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45781</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45781</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45781</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45781</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45781</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45781</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45781</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45781</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45781</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45781</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45781</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45781</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45781</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45781</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45781</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45781</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45781</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45781</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45781</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45781</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45781</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45781</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45781</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45781</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45781</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45781</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45781</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45781</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45781</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45781</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45781</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45781</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45781</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45781</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45781</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45781</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45781</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45781</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45781</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45781</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45781</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45781</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45781</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45781</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45781</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45781</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45781</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45781</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45781</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45781</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45781</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45781</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45781</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45781</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45781</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45781</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45781</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c r="U909">
        <f>HYPERLINK("https://klasma.github.io/Logging_2521/knärot/A 31097-2024 karta knärot.png", "A 31097-2024")</f>
        <v/>
      </c>
      <c r="V909">
        <f>HYPERLINK("https://klasma.github.io/Logging_2521/klagomål/A 31097-2024 FSC-klagomål.docx", "A 31097-2024")</f>
        <v/>
      </c>
      <c r="W909">
        <f>HYPERLINK("https://klasma.github.io/Logging_2521/klagomålsmail/A 31097-2024 FSC-klagomål mail.docx", "A 31097-2024")</f>
        <v/>
      </c>
      <c r="X909">
        <f>HYPERLINK("https://klasma.github.io/Logging_2521/tillsyn/A 31097-2024 tillsynsbegäran.docx", "A 31097-2024")</f>
        <v/>
      </c>
      <c r="Y909">
        <f>HYPERLINK("https://klasma.github.io/Logging_2521/tillsynsmail/A 31097-2024 tillsynsbegäran mail.docx", "A 31097-2024")</f>
        <v/>
      </c>
    </row>
    <row r="910" ht="15" customHeight="1">
      <c r="A910" t="inlineStr">
        <is>
          <t>A 31316-2024</t>
        </is>
      </c>
      <c r="B910" s="1" t="n">
        <v>45504</v>
      </c>
      <c r="C910" s="1" t="n">
        <v>45781</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45781</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45781</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45781</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45781</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45781</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45781</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45781</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45781</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45781</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45781</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45781</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45781</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45781</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45781</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45781</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45781</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45781</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45781</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45781</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45781</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45781</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45781</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45781</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45781</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45781</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45781</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45781</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45781</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45781</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45781</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45781</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45781</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45781</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45781</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45781</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45781</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45781</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45781</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45781</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45781</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45781</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45781</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45781</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45781</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45781</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45781</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45781</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45781</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45781</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45781</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45781</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45781</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45781</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45781</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45781</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45781</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45781</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45781</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45781</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45781</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45781</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45781</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45781</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45781</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45781</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45781</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45781</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45781</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45781</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45781</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45781</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45781</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45781</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45781</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45781</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45781</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45781</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45781</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45781</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45781</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45781</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45781</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45781</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45781</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45781</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45781</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45781</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45781</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45781</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45781</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45781</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45781</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45781</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45781</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45781</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45781</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45781</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45781</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45781</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45781</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45781</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45781</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45781</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45781</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45781</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45781</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45781</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45781</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45781</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45781</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45781</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45781</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45781</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45781</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45781</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45781</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45781</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45781</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45781</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45781</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45781</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45781</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45781</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45781</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45781</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45781</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45781</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45781</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45781</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45781</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45781</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45781</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45781</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45781</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45781</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45781</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45781</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45781</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45781</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45781</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45781</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45781</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45781</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45781</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45781</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45781</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45781</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45781</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45781</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45781</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45781</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45781</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45781</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45781</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45781</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45781</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45781</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45781</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45781</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45781</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45781</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45781</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45781</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45781</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45781</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45781</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45781</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45781</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45781</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45781</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45781</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45781</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45781</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45781</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45781</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45781</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45781</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45781</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45781</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45781</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45781</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45781</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45781</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45781</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45781</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45781</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45781</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45781</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45781</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45781</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45781</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15618-2025</t>
        </is>
      </c>
      <c r="B1102" s="1" t="n">
        <v>45748</v>
      </c>
      <c r="C1102" s="1" t="n">
        <v>45781</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row r="1103" ht="15" customHeight="1">
      <c r="A1103" t="inlineStr">
        <is>
          <t>A 17105-2025</t>
        </is>
      </c>
      <c r="B1103" s="1" t="n">
        <v>45755</v>
      </c>
      <c r="C1103" s="1" t="n">
        <v>45781</v>
      </c>
      <c r="D1103" t="inlineStr">
        <is>
          <t>NORRBOTTENS LÄN</t>
        </is>
      </c>
      <c r="E1103" t="inlineStr">
        <is>
          <t>PAJALA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18784-2025</t>
        </is>
      </c>
      <c r="B1104" s="1" t="n">
        <v>45764</v>
      </c>
      <c r="C1104" s="1" t="n">
        <v>45781</v>
      </c>
      <c r="D1104" t="inlineStr">
        <is>
          <t>NORRBOTTENS LÄN</t>
        </is>
      </c>
      <c r="E1104" t="inlineStr">
        <is>
          <t>PAJALA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19317-2025</t>
        </is>
      </c>
      <c r="B1105" s="1" t="n">
        <v>45769</v>
      </c>
      <c r="C1105" s="1" t="n">
        <v>45781</v>
      </c>
      <c r="D1105" t="inlineStr">
        <is>
          <t>NORRBOTTENS LÄN</t>
        </is>
      </c>
      <c r="E1105" t="inlineStr">
        <is>
          <t>PAJALA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19671-2025</t>
        </is>
      </c>
      <c r="B1106" s="1" t="n">
        <v>45770</v>
      </c>
      <c r="C1106" s="1" t="n">
        <v>45781</v>
      </c>
      <c r="D1106" t="inlineStr">
        <is>
          <t>NORRBOTTENS LÄN</t>
        </is>
      </c>
      <c r="E1106" t="inlineStr">
        <is>
          <t>PAJALA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20200-2025</t>
        </is>
      </c>
      <c r="B1107" s="1" t="n">
        <v>45772</v>
      </c>
      <c r="C1107" s="1" t="n">
        <v>45781</v>
      </c>
      <c r="D1107" t="inlineStr">
        <is>
          <t>NORRBOTTENS LÄN</t>
        </is>
      </c>
      <c r="E1107" t="inlineStr">
        <is>
          <t>PAJALA</t>
        </is>
      </c>
      <c r="F1107" t="inlineStr">
        <is>
          <t>Sveaskog</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20769-2025</t>
        </is>
      </c>
      <c r="B1108" s="1" t="n">
        <v>45776</v>
      </c>
      <c r="C1108" s="1" t="n">
        <v>45781</v>
      </c>
      <c r="D1108" t="inlineStr">
        <is>
          <t>NORRBOTTENS LÄN</t>
        </is>
      </c>
      <c r="E1108" t="inlineStr">
        <is>
          <t>PAJALA</t>
        </is>
      </c>
      <c r="F1108" t="inlineStr">
        <is>
          <t>Sveaskog</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21058-2025</t>
        </is>
      </c>
      <c r="B1109" s="1" t="n">
        <v>45777</v>
      </c>
      <c r="C1109" s="1" t="n">
        <v>45781</v>
      </c>
      <c r="D1109" t="inlineStr">
        <is>
          <t>NORRBOTTENS LÄN</t>
        </is>
      </c>
      <c r="E1109" t="inlineStr">
        <is>
          <t>PAJALA</t>
        </is>
      </c>
      <c r="F1109" t="inlineStr">
        <is>
          <t>Sveaskog</t>
        </is>
      </c>
      <c r="G1109" t="n">
        <v>44.2</v>
      </c>
      <c r="H1109" t="n">
        <v>0</v>
      </c>
      <c r="I1109" t="n">
        <v>0</v>
      </c>
      <c r="J1109" t="n">
        <v>0</v>
      </c>
      <c r="K1109" t="n">
        <v>0</v>
      </c>
      <c r="L1109" t="n">
        <v>0</v>
      </c>
      <c r="M1109" t="n">
        <v>0</v>
      </c>
      <c r="N1109" t="n">
        <v>0</v>
      </c>
      <c r="O1109" t="n">
        <v>0</v>
      </c>
      <c r="P1109" t="n">
        <v>0</v>
      </c>
      <c r="Q1109" t="n">
        <v>0</v>
      </c>
      <c r="R1109" s="2" t="inlineStr"/>
    </row>
    <row r="1110" ht="15" customHeight="1">
      <c r="A1110" t="inlineStr">
        <is>
          <t>A 21103-2025</t>
        </is>
      </c>
      <c r="B1110" s="1" t="n">
        <v>45777</v>
      </c>
      <c r="C1110" s="1" t="n">
        <v>45781</v>
      </c>
      <c r="D1110" t="inlineStr">
        <is>
          <t>NORRBOTTENS LÄN</t>
        </is>
      </c>
      <c r="E1110" t="inlineStr">
        <is>
          <t>PAJALA</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21101-2025</t>
        </is>
      </c>
      <c r="B1111" s="1" t="n">
        <v>45777</v>
      </c>
      <c r="C1111" s="1" t="n">
        <v>45781</v>
      </c>
      <c r="D1111" t="inlineStr">
        <is>
          <t>NORRBOTTENS LÄN</t>
        </is>
      </c>
      <c r="E1111" t="inlineStr">
        <is>
          <t>PAJALA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21100-2025</t>
        </is>
      </c>
      <c r="B1112" s="1" t="n">
        <v>45777</v>
      </c>
      <c r="C1112" s="1" t="n">
        <v>45781</v>
      </c>
      <c r="D1112" t="inlineStr">
        <is>
          <t>NORRBOTTENS LÄN</t>
        </is>
      </c>
      <c r="E1112" t="inlineStr">
        <is>
          <t>PAJALA</t>
        </is>
      </c>
      <c r="G1112" t="n">
        <v>6.3</v>
      </c>
      <c r="H1112" t="n">
        <v>0</v>
      </c>
      <c r="I1112" t="n">
        <v>0</v>
      </c>
      <c r="J1112" t="n">
        <v>0</v>
      </c>
      <c r="K1112" t="n">
        <v>0</v>
      </c>
      <c r="L1112" t="n">
        <v>0</v>
      </c>
      <c r="M1112" t="n">
        <v>0</v>
      </c>
      <c r="N1112" t="n">
        <v>0</v>
      </c>
      <c r="O1112" t="n">
        <v>0</v>
      </c>
      <c r="P1112" t="n">
        <v>0</v>
      </c>
      <c r="Q1112" t="n">
        <v>0</v>
      </c>
      <c r="R1112" s="2" t="inlineStr"/>
    </row>
    <row r="1113">
      <c r="A1113" t="inlineStr">
        <is>
          <t>A 21295-2025</t>
        </is>
      </c>
      <c r="B1113" s="1" t="n">
        <v>45780</v>
      </c>
      <c r="C1113" s="1" t="n">
        <v>45781</v>
      </c>
      <c r="D1113" t="inlineStr">
        <is>
          <t>NORRBOTTENS LÄN</t>
        </is>
      </c>
      <c r="E1113" t="inlineStr">
        <is>
          <t>PAJALA</t>
        </is>
      </c>
      <c r="G1113" t="n">
        <v>1.3</v>
      </c>
      <c r="H1113" t="n">
        <v>0</v>
      </c>
      <c r="I1113" t="n">
        <v>0</v>
      </c>
      <c r="J1113" t="n">
        <v>0</v>
      </c>
      <c r="K1113" t="n">
        <v>0</v>
      </c>
      <c r="L1113" t="n">
        <v>0</v>
      </c>
      <c r="M1113" t="n">
        <v>0</v>
      </c>
      <c r="N1113" t="n">
        <v>0</v>
      </c>
      <c r="O1113" t="n">
        <v>0</v>
      </c>
      <c r="P1113" t="n">
        <v>0</v>
      </c>
      <c r="Q1113" t="n">
        <v>0</v>
      </c>
      <c r="R1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2025-05-04T21:31:36Z</dcterms:created>
  <dcterms:modified xmlns:dcterms="http://purl.org/dc/terms/" xmlns:xsi="http://www.w3.org/2001/XMLSchema-instance" xsi:type="dcterms:W3CDTF">2025-05-04T21:31:37Z</dcterms:modified>
</cp:coreProperties>
</file>