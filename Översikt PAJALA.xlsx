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45711</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45711</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45711</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45711</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45711</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45711</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45711</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45711</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45711</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45711</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45711</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45711</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45711</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45711</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45711</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45711</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45711</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45711</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45711</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45711</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45711</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45711</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45711</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45711</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45711</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45711</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45711</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45711</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45711</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45711</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45711</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45711</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45711</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45711</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45711</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45711</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45711</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45711</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45711</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45711</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45711</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45711</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45711</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45711</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45711</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45711</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45711</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30239-2021</t>
        </is>
      </c>
      <c r="B49" s="1" t="n">
        <v>44363</v>
      </c>
      <c r="C49" s="1" t="n">
        <v>45711</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45711</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60597-2021</t>
        </is>
      </c>
      <c r="B51" s="1" t="n">
        <v>44496</v>
      </c>
      <c r="C51" s="1" t="n">
        <v>45711</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65518-2021</t>
        </is>
      </c>
      <c r="B52" s="1" t="n">
        <v>44516</v>
      </c>
      <c r="C52" s="1" t="n">
        <v>45711</v>
      </c>
      <c r="D52" t="inlineStr">
        <is>
          <t>NORRBOTTENS LÄN</t>
        </is>
      </c>
      <c r="E52" t="inlineStr">
        <is>
          <t>PAJALA</t>
        </is>
      </c>
      <c r="F52" t="inlineStr">
        <is>
          <t>Sveaskog</t>
        </is>
      </c>
      <c r="G52" t="n">
        <v>1.5</v>
      </c>
      <c r="H52" t="n">
        <v>0</v>
      </c>
      <c r="I52" t="n">
        <v>1</v>
      </c>
      <c r="J52" t="n">
        <v>0</v>
      </c>
      <c r="K52" t="n">
        <v>0</v>
      </c>
      <c r="L52" t="n">
        <v>0</v>
      </c>
      <c r="M52" t="n">
        <v>0</v>
      </c>
      <c r="N52" t="n">
        <v>0</v>
      </c>
      <c r="O52" t="n">
        <v>0</v>
      </c>
      <c r="P52" t="n">
        <v>0</v>
      </c>
      <c r="Q52" t="n">
        <v>1</v>
      </c>
      <c r="R52" s="2" t="inlineStr">
        <is>
          <t>Stuplav</t>
        </is>
      </c>
      <c r="S52">
        <f>HYPERLINK("https://klasma.github.io/Logging_2521/artfynd/A 65518-2021 artfynd.xlsx", "A 65518-2021")</f>
        <v/>
      </c>
      <c r="T52">
        <f>HYPERLINK("https://klasma.github.io/Logging_2521/kartor/A 65518-2021 karta.png", "A 65518-2021")</f>
        <v/>
      </c>
      <c r="V52">
        <f>HYPERLINK("https://klasma.github.io/Logging_2521/klagomål/A 65518-2021 FSC-klagomål.docx", "A 65518-2021")</f>
        <v/>
      </c>
      <c r="W52">
        <f>HYPERLINK("https://klasma.github.io/Logging_2521/klagomålsmail/A 65518-2021 FSC-klagomål mail.docx", "A 65518-2021")</f>
        <v/>
      </c>
      <c r="X52">
        <f>HYPERLINK("https://klasma.github.io/Logging_2521/tillsyn/A 65518-2021 tillsynsbegäran.docx", "A 65518-2021")</f>
        <v/>
      </c>
      <c r="Y52">
        <f>HYPERLINK("https://klasma.github.io/Logging_2521/tillsynsmail/A 65518-2021 tillsynsbegäran mail.docx", "A 65518-2021")</f>
        <v/>
      </c>
    </row>
    <row r="53" ht="15" customHeight="1">
      <c r="A53" t="inlineStr">
        <is>
          <t>A 7960-2022</t>
        </is>
      </c>
      <c r="B53" s="1" t="n">
        <v>44608</v>
      </c>
      <c r="C53" s="1" t="n">
        <v>45711</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12061-2022</t>
        </is>
      </c>
      <c r="B54" s="1" t="n">
        <v>44636</v>
      </c>
      <c r="C54" s="1" t="n">
        <v>45711</v>
      </c>
      <c r="D54" t="inlineStr">
        <is>
          <t>NORRBOTTENS LÄN</t>
        </is>
      </c>
      <c r="E54" t="inlineStr">
        <is>
          <t>PAJALA</t>
        </is>
      </c>
      <c r="G54" t="n">
        <v>36</v>
      </c>
      <c r="H54" t="n">
        <v>0</v>
      </c>
      <c r="I54" t="n">
        <v>1</v>
      </c>
      <c r="J54" t="n">
        <v>0</v>
      </c>
      <c r="K54" t="n">
        <v>0</v>
      </c>
      <c r="L54" t="n">
        <v>0</v>
      </c>
      <c r="M54" t="n">
        <v>0</v>
      </c>
      <c r="N54" t="n">
        <v>0</v>
      </c>
      <c r="O54" t="n">
        <v>0</v>
      </c>
      <c r="P54" t="n">
        <v>0</v>
      </c>
      <c r="Q54" t="n">
        <v>1</v>
      </c>
      <c r="R54" s="2" t="inlineStr">
        <is>
          <t>Grönpyrola</t>
        </is>
      </c>
      <c r="S54">
        <f>HYPERLINK("https://klasma.github.io/Logging_2521/artfynd/A 12061-2022 artfynd.xlsx", "A 12061-2022")</f>
        <v/>
      </c>
      <c r="T54">
        <f>HYPERLINK("https://klasma.github.io/Logging_2521/kartor/A 12061-2022 karta.png", "A 12061-2022")</f>
        <v/>
      </c>
      <c r="V54">
        <f>HYPERLINK("https://klasma.github.io/Logging_2521/klagomål/A 12061-2022 FSC-klagomål.docx", "A 12061-2022")</f>
        <v/>
      </c>
      <c r="W54">
        <f>HYPERLINK("https://klasma.github.io/Logging_2521/klagomålsmail/A 12061-2022 FSC-klagomål mail.docx", "A 12061-2022")</f>
        <v/>
      </c>
      <c r="X54">
        <f>HYPERLINK("https://klasma.github.io/Logging_2521/tillsyn/A 12061-2022 tillsynsbegäran.docx", "A 12061-2022")</f>
        <v/>
      </c>
      <c r="Y54">
        <f>HYPERLINK("https://klasma.github.io/Logging_2521/tillsynsmail/A 12061-2022 tillsynsbegäran mail.docx", "A 12061-2022")</f>
        <v/>
      </c>
    </row>
    <row r="55" ht="15" customHeight="1">
      <c r="A55" t="inlineStr">
        <is>
          <t>A 47700-2022</t>
        </is>
      </c>
      <c r="B55" s="1" t="n">
        <v>44854</v>
      </c>
      <c r="C55" s="1" t="n">
        <v>45711</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49756-2022</t>
        </is>
      </c>
      <c r="B56" s="1" t="n">
        <v>44862</v>
      </c>
      <c r="C56" s="1" t="n">
        <v>45711</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Lunglav</t>
        </is>
      </c>
      <c r="S56">
        <f>HYPERLINK("https://klasma.github.io/Logging_2521/artfynd/A 49756-2022 artfynd.xlsx", "A 49756-2022")</f>
        <v/>
      </c>
      <c r="T56">
        <f>HYPERLINK("https://klasma.github.io/Logging_2521/kartor/A 49756-2022 karta.png", "A 49756-2022")</f>
        <v/>
      </c>
      <c r="V56">
        <f>HYPERLINK("https://klasma.github.io/Logging_2521/klagomål/A 49756-2022 FSC-klagomål.docx", "A 49756-2022")</f>
        <v/>
      </c>
      <c r="W56">
        <f>HYPERLINK("https://klasma.github.io/Logging_2521/klagomålsmail/A 49756-2022 FSC-klagomål mail.docx", "A 49756-2022")</f>
        <v/>
      </c>
      <c r="X56">
        <f>HYPERLINK("https://klasma.github.io/Logging_2521/tillsyn/A 49756-2022 tillsynsbegäran.docx", "A 49756-2022")</f>
        <v/>
      </c>
      <c r="Y56">
        <f>HYPERLINK("https://klasma.github.io/Logging_2521/tillsynsmail/A 49756-2022 tillsynsbegäran mail.docx", "A 49756-2022")</f>
        <v/>
      </c>
    </row>
    <row r="57" ht="15" customHeight="1">
      <c r="A57" t="inlineStr">
        <is>
          <t>A 59071-2022</t>
        </is>
      </c>
      <c r="B57" s="1" t="n">
        <v>44904</v>
      </c>
      <c r="C57" s="1" t="n">
        <v>45711</v>
      </c>
      <c r="D57" t="inlineStr">
        <is>
          <t>NORRBOTTENS LÄN</t>
        </is>
      </c>
      <c r="E57" t="inlineStr">
        <is>
          <t>PAJALA</t>
        </is>
      </c>
      <c r="F57" t="inlineStr">
        <is>
          <t>Sveaskog</t>
        </is>
      </c>
      <c r="G57" t="n">
        <v>9</v>
      </c>
      <c r="H57" t="n">
        <v>0</v>
      </c>
      <c r="I57" t="n">
        <v>0</v>
      </c>
      <c r="J57" t="n">
        <v>1</v>
      </c>
      <c r="K57" t="n">
        <v>0</v>
      </c>
      <c r="L57" t="n">
        <v>0</v>
      </c>
      <c r="M57" t="n">
        <v>0</v>
      </c>
      <c r="N57" t="n">
        <v>0</v>
      </c>
      <c r="O57" t="n">
        <v>1</v>
      </c>
      <c r="P57" t="n">
        <v>0</v>
      </c>
      <c r="Q57" t="n">
        <v>1</v>
      </c>
      <c r="R57" s="2" t="inlineStr">
        <is>
          <t>Garnlav</t>
        </is>
      </c>
      <c r="S57">
        <f>HYPERLINK("https://klasma.github.io/Logging_2521/artfynd/A 59071-2022 artfynd.xlsx", "A 59071-2022")</f>
        <v/>
      </c>
      <c r="T57">
        <f>HYPERLINK("https://klasma.github.io/Logging_2521/kartor/A 59071-2022 karta.png", "A 59071-2022")</f>
        <v/>
      </c>
      <c r="V57">
        <f>HYPERLINK("https://klasma.github.io/Logging_2521/klagomål/A 59071-2022 FSC-klagomål.docx", "A 59071-2022")</f>
        <v/>
      </c>
      <c r="W57">
        <f>HYPERLINK("https://klasma.github.io/Logging_2521/klagomålsmail/A 59071-2022 FSC-klagomål mail.docx", "A 59071-2022")</f>
        <v/>
      </c>
      <c r="X57">
        <f>HYPERLINK("https://klasma.github.io/Logging_2521/tillsyn/A 59071-2022 tillsynsbegäran.docx", "A 59071-2022")</f>
        <v/>
      </c>
      <c r="Y57">
        <f>HYPERLINK("https://klasma.github.io/Logging_2521/tillsynsmail/A 59071-2022 tillsynsbegäran mail.docx", "A 59071-2022")</f>
        <v/>
      </c>
    </row>
    <row r="58" ht="15" customHeight="1">
      <c r="A58" t="inlineStr">
        <is>
          <t>A 14979-2023</t>
        </is>
      </c>
      <c r="B58" s="1" t="n">
        <v>45014</v>
      </c>
      <c r="C58" s="1" t="n">
        <v>45711</v>
      </c>
      <c r="D58" t="inlineStr">
        <is>
          <t>NORRBOTTENS LÄN</t>
        </is>
      </c>
      <c r="E58" t="inlineStr">
        <is>
          <t>PAJALA</t>
        </is>
      </c>
      <c r="F58" t="inlineStr">
        <is>
          <t>Allmännings- och besparingsskogar</t>
        </is>
      </c>
      <c r="G58" t="n">
        <v>26.1</v>
      </c>
      <c r="H58" t="n">
        <v>0</v>
      </c>
      <c r="I58" t="n">
        <v>0</v>
      </c>
      <c r="J58" t="n">
        <v>1</v>
      </c>
      <c r="K58" t="n">
        <v>0</v>
      </c>
      <c r="L58" t="n">
        <v>0</v>
      </c>
      <c r="M58" t="n">
        <v>0</v>
      </c>
      <c r="N58" t="n">
        <v>0</v>
      </c>
      <c r="O58" t="n">
        <v>1</v>
      </c>
      <c r="P58" t="n">
        <v>0</v>
      </c>
      <c r="Q58" t="n">
        <v>1</v>
      </c>
      <c r="R58" s="2" t="inlineStr">
        <is>
          <t>Garnlav</t>
        </is>
      </c>
      <c r="S58">
        <f>HYPERLINK("https://klasma.github.io/Logging_2521/artfynd/A 14979-2023 artfynd.xlsx", "A 14979-2023")</f>
        <v/>
      </c>
      <c r="T58">
        <f>HYPERLINK("https://klasma.github.io/Logging_2521/kartor/A 14979-2023 karta.png", "A 14979-2023")</f>
        <v/>
      </c>
      <c r="V58">
        <f>HYPERLINK("https://klasma.github.io/Logging_2521/klagomål/A 14979-2023 FSC-klagomål.docx", "A 14979-2023")</f>
        <v/>
      </c>
      <c r="W58">
        <f>HYPERLINK("https://klasma.github.io/Logging_2521/klagomålsmail/A 14979-2023 FSC-klagomål mail.docx", "A 14979-2023")</f>
        <v/>
      </c>
      <c r="X58">
        <f>HYPERLINK("https://klasma.github.io/Logging_2521/tillsyn/A 14979-2023 tillsynsbegäran.docx", "A 14979-2023")</f>
        <v/>
      </c>
      <c r="Y58">
        <f>HYPERLINK("https://klasma.github.io/Logging_2521/tillsynsmail/A 14979-2023 tillsynsbegäran mail.docx", "A 14979-2023")</f>
        <v/>
      </c>
    </row>
    <row r="59" ht="15" customHeight="1">
      <c r="A59" t="inlineStr">
        <is>
          <t>A 31349-2023</t>
        </is>
      </c>
      <c r="B59" s="1" t="n">
        <v>45114</v>
      </c>
      <c r="C59" s="1" t="n">
        <v>45711</v>
      </c>
      <c r="D59" t="inlineStr">
        <is>
          <t>NORRBOTTENS LÄN</t>
        </is>
      </c>
      <c r="E59" t="inlineStr">
        <is>
          <t>PAJALA</t>
        </is>
      </c>
      <c r="G59" t="n">
        <v>8.300000000000001</v>
      </c>
      <c r="H59" t="n">
        <v>1</v>
      </c>
      <c r="I59" t="n">
        <v>0</v>
      </c>
      <c r="J59" t="n">
        <v>0</v>
      </c>
      <c r="K59" t="n">
        <v>0</v>
      </c>
      <c r="L59" t="n">
        <v>0</v>
      </c>
      <c r="M59" t="n">
        <v>0</v>
      </c>
      <c r="N59" t="n">
        <v>0</v>
      </c>
      <c r="O59" t="n">
        <v>0</v>
      </c>
      <c r="P59" t="n">
        <v>0</v>
      </c>
      <c r="Q59" t="n">
        <v>1</v>
      </c>
      <c r="R59" s="2" t="inlineStr">
        <is>
          <t>Revlummer</t>
        </is>
      </c>
      <c r="S59">
        <f>HYPERLINK("https://klasma.github.io/Logging_2521/artfynd/A 31349-2023 artfynd.xlsx", "A 31349-2023")</f>
        <v/>
      </c>
      <c r="T59">
        <f>HYPERLINK("https://klasma.github.io/Logging_2521/kartor/A 31349-2023 karta.png", "A 31349-2023")</f>
        <v/>
      </c>
      <c r="V59">
        <f>HYPERLINK("https://klasma.github.io/Logging_2521/klagomål/A 31349-2023 FSC-klagomål.docx", "A 31349-2023")</f>
        <v/>
      </c>
      <c r="W59">
        <f>HYPERLINK("https://klasma.github.io/Logging_2521/klagomålsmail/A 31349-2023 FSC-klagomål mail.docx", "A 31349-2023")</f>
        <v/>
      </c>
      <c r="X59">
        <f>HYPERLINK("https://klasma.github.io/Logging_2521/tillsyn/A 31349-2023 tillsynsbegäran.docx", "A 31349-2023")</f>
        <v/>
      </c>
      <c r="Y59">
        <f>HYPERLINK("https://klasma.github.io/Logging_2521/tillsynsmail/A 31349-2023 tillsynsbegäran mail.docx", "A 31349-2023")</f>
        <v/>
      </c>
    </row>
    <row r="60" ht="15" customHeight="1">
      <c r="A60" t="inlineStr">
        <is>
          <t>A 43851-2023</t>
        </is>
      </c>
      <c r="B60" s="1" t="n">
        <v>45187</v>
      </c>
      <c r="C60" s="1" t="n">
        <v>45711</v>
      </c>
      <c r="D60" t="inlineStr">
        <is>
          <t>NORRBOTTENS LÄN</t>
        </is>
      </c>
      <c r="E60" t="inlineStr">
        <is>
          <t>PAJALA</t>
        </is>
      </c>
      <c r="G60" t="n">
        <v>7.2</v>
      </c>
      <c r="H60" t="n">
        <v>0</v>
      </c>
      <c r="I60" t="n">
        <v>0</v>
      </c>
      <c r="J60" t="n">
        <v>1</v>
      </c>
      <c r="K60" t="n">
        <v>0</v>
      </c>
      <c r="L60" t="n">
        <v>0</v>
      </c>
      <c r="M60" t="n">
        <v>0</v>
      </c>
      <c r="N60" t="n">
        <v>0</v>
      </c>
      <c r="O60" t="n">
        <v>1</v>
      </c>
      <c r="P60" t="n">
        <v>0</v>
      </c>
      <c r="Q60" t="n">
        <v>1</v>
      </c>
      <c r="R60" s="2" t="inlineStr">
        <is>
          <t>Garnlav</t>
        </is>
      </c>
      <c r="S60">
        <f>HYPERLINK("https://klasma.github.io/Logging_2521/artfynd/A 43851-2023 artfynd.xlsx", "A 43851-2023")</f>
        <v/>
      </c>
      <c r="T60">
        <f>HYPERLINK("https://klasma.github.io/Logging_2521/kartor/A 43851-2023 karta.png", "A 43851-2023")</f>
        <v/>
      </c>
      <c r="V60">
        <f>HYPERLINK("https://klasma.github.io/Logging_2521/klagomål/A 43851-2023 FSC-klagomål.docx", "A 43851-2023")</f>
        <v/>
      </c>
      <c r="W60">
        <f>HYPERLINK("https://klasma.github.io/Logging_2521/klagomålsmail/A 43851-2023 FSC-klagomål mail.docx", "A 43851-2023")</f>
        <v/>
      </c>
      <c r="X60">
        <f>HYPERLINK("https://klasma.github.io/Logging_2521/tillsyn/A 43851-2023 tillsynsbegäran.docx", "A 43851-2023")</f>
        <v/>
      </c>
      <c r="Y60">
        <f>HYPERLINK("https://klasma.github.io/Logging_2521/tillsynsmail/A 43851-2023 tillsynsbegäran mail.docx", "A 43851-2023")</f>
        <v/>
      </c>
    </row>
    <row r="61" ht="15" customHeight="1">
      <c r="A61" t="inlineStr">
        <is>
          <t>A 50382-2023</t>
        </is>
      </c>
      <c r="B61" s="1" t="n">
        <v>45216</v>
      </c>
      <c r="C61" s="1" t="n">
        <v>45711</v>
      </c>
      <c r="D61" t="inlineStr">
        <is>
          <t>NORRBOTTENS LÄN</t>
        </is>
      </c>
      <c r="E61" t="inlineStr">
        <is>
          <t>PAJALA</t>
        </is>
      </c>
      <c r="F61" t="inlineStr">
        <is>
          <t>Sveaskog</t>
        </is>
      </c>
      <c r="G61" t="n">
        <v>4</v>
      </c>
      <c r="H61" t="n">
        <v>0</v>
      </c>
      <c r="I61" t="n">
        <v>0</v>
      </c>
      <c r="J61" t="n">
        <v>0</v>
      </c>
      <c r="K61" t="n">
        <v>1</v>
      </c>
      <c r="L61" t="n">
        <v>0</v>
      </c>
      <c r="M61" t="n">
        <v>0</v>
      </c>
      <c r="N61" t="n">
        <v>0</v>
      </c>
      <c r="O61" t="n">
        <v>1</v>
      </c>
      <c r="P61" t="n">
        <v>1</v>
      </c>
      <c r="Q61" t="n">
        <v>1</v>
      </c>
      <c r="R61" s="2" t="inlineStr">
        <is>
          <t>Lappticka</t>
        </is>
      </c>
      <c r="S61">
        <f>HYPERLINK("https://klasma.github.io/Logging_2521/artfynd/A 50382-2023 artfynd.xlsx", "A 50382-2023")</f>
        <v/>
      </c>
      <c r="T61">
        <f>HYPERLINK("https://klasma.github.io/Logging_2521/kartor/A 50382-2023 karta.png", "A 50382-2023")</f>
        <v/>
      </c>
      <c r="V61">
        <f>HYPERLINK("https://klasma.github.io/Logging_2521/klagomål/A 50382-2023 FSC-klagomål.docx", "A 50382-2023")</f>
        <v/>
      </c>
      <c r="W61">
        <f>HYPERLINK("https://klasma.github.io/Logging_2521/klagomålsmail/A 50382-2023 FSC-klagomål mail.docx", "A 50382-2023")</f>
        <v/>
      </c>
      <c r="X61">
        <f>HYPERLINK("https://klasma.github.io/Logging_2521/tillsyn/A 50382-2023 tillsynsbegäran.docx", "A 50382-2023")</f>
        <v/>
      </c>
      <c r="Y61">
        <f>HYPERLINK("https://klasma.github.io/Logging_2521/tillsynsmail/A 50382-2023 tillsynsbegäran mail.docx", "A 50382-2023")</f>
        <v/>
      </c>
    </row>
    <row r="62" ht="15" customHeight="1">
      <c r="A62" t="inlineStr">
        <is>
          <t>A 50377-2023</t>
        </is>
      </c>
      <c r="B62" s="1" t="n">
        <v>45216</v>
      </c>
      <c r="C62" s="1" t="n">
        <v>45711</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60069-2023</t>
        </is>
      </c>
      <c r="B63" s="1" t="n">
        <v>45258</v>
      </c>
      <c r="C63" s="1" t="n">
        <v>45711</v>
      </c>
      <c r="D63" t="inlineStr">
        <is>
          <t>NORRBOTTENS LÄN</t>
        </is>
      </c>
      <c r="E63" t="inlineStr">
        <is>
          <t>PAJALA</t>
        </is>
      </c>
      <c r="G63" t="n">
        <v>4.4</v>
      </c>
      <c r="H63" t="n">
        <v>0</v>
      </c>
      <c r="I63" t="n">
        <v>0</v>
      </c>
      <c r="J63" t="n">
        <v>1</v>
      </c>
      <c r="K63" t="n">
        <v>0</v>
      </c>
      <c r="L63" t="n">
        <v>0</v>
      </c>
      <c r="M63" t="n">
        <v>0</v>
      </c>
      <c r="N63" t="n">
        <v>0</v>
      </c>
      <c r="O63" t="n">
        <v>1</v>
      </c>
      <c r="P63" t="n">
        <v>0</v>
      </c>
      <c r="Q63" t="n">
        <v>1</v>
      </c>
      <c r="R63" s="2" t="inlineStr">
        <is>
          <t>Garnlav</t>
        </is>
      </c>
      <c r="S63">
        <f>HYPERLINK("https://klasma.github.io/Logging_2521/artfynd/A 60069-2023 artfynd.xlsx", "A 60069-2023")</f>
        <v/>
      </c>
      <c r="T63">
        <f>HYPERLINK("https://klasma.github.io/Logging_2521/kartor/A 60069-2023 karta.png", "A 60069-2023")</f>
        <v/>
      </c>
      <c r="V63">
        <f>HYPERLINK("https://klasma.github.io/Logging_2521/klagomål/A 60069-2023 FSC-klagomål.docx", "A 60069-2023")</f>
        <v/>
      </c>
      <c r="W63">
        <f>HYPERLINK("https://klasma.github.io/Logging_2521/klagomålsmail/A 60069-2023 FSC-klagomål mail.docx", "A 60069-2023")</f>
        <v/>
      </c>
      <c r="X63">
        <f>HYPERLINK("https://klasma.github.io/Logging_2521/tillsyn/A 60069-2023 tillsynsbegäran.docx", "A 60069-2023")</f>
        <v/>
      </c>
      <c r="Y63">
        <f>HYPERLINK("https://klasma.github.io/Logging_2521/tillsynsmail/A 60069-2023 tillsynsbegäran mail.docx", "A 60069-2023")</f>
        <v/>
      </c>
    </row>
    <row r="64" ht="15" customHeight="1">
      <c r="A64" t="inlineStr">
        <is>
          <t>A 8985-2024</t>
        </is>
      </c>
      <c r="B64" s="1" t="n">
        <v>45356</v>
      </c>
      <c r="C64" s="1" t="n">
        <v>45711</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9757-2024</t>
        </is>
      </c>
      <c r="B65" s="1" t="n">
        <v>45362</v>
      </c>
      <c r="C65" s="1" t="n">
        <v>45711</v>
      </c>
      <c r="D65" t="inlineStr">
        <is>
          <t>NORRBOTTENS LÄN</t>
        </is>
      </c>
      <c r="E65" t="inlineStr">
        <is>
          <t>PAJALA</t>
        </is>
      </c>
      <c r="F65" t="inlineStr">
        <is>
          <t>Allmännings- och besparingsskogar</t>
        </is>
      </c>
      <c r="G65" t="n">
        <v>38.1</v>
      </c>
      <c r="H65" t="n">
        <v>1</v>
      </c>
      <c r="I65" t="n">
        <v>0</v>
      </c>
      <c r="J65" t="n">
        <v>0</v>
      </c>
      <c r="K65" t="n">
        <v>0</v>
      </c>
      <c r="L65" t="n">
        <v>0</v>
      </c>
      <c r="M65" t="n">
        <v>0</v>
      </c>
      <c r="N65" t="n">
        <v>0</v>
      </c>
      <c r="O65" t="n">
        <v>0</v>
      </c>
      <c r="P65" t="n">
        <v>0</v>
      </c>
      <c r="Q65" t="n">
        <v>1</v>
      </c>
      <c r="R65" s="2" t="inlineStr">
        <is>
          <t>Fläcknycklar</t>
        </is>
      </c>
      <c r="S65">
        <f>HYPERLINK("https://klasma.github.io/Logging_2521/artfynd/A 9757-2024 artfynd.xlsx", "A 9757-2024")</f>
        <v/>
      </c>
      <c r="T65">
        <f>HYPERLINK("https://klasma.github.io/Logging_2521/kartor/A 9757-2024 karta.png", "A 9757-2024")</f>
        <v/>
      </c>
      <c r="V65">
        <f>HYPERLINK("https://klasma.github.io/Logging_2521/klagomål/A 9757-2024 FSC-klagomål.docx", "A 9757-2024")</f>
        <v/>
      </c>
      <c r="W65">
        <f>HYPERLINK("https://klasma.github.io/Logging_2521/klagomålsmail/A 9757-2024 FSC-klagomål mail.docx", "A 9757-2024")</f>
        <v/>
      </c>
      <c r="X65">
        <f>HYPERLINK("https://klasma.github.io/Logging_2521/tillsyn/A 9757-2024 tillsynsbegäran.docx", "A 9757-2024")</f>
        <v/>
      </c>
      <c r="Y65">
        <f>HYPERLINK("https://klasma.github.io/Logging_2521/tillsynsmail/A 9757-2024 tillsynsbegäran mail.docx", "A 9757-2024")</f>
        <v/>
      </c>
    </row>
    <row r="66" ht="15" customHeight="1">
      <c r="A66" t="inlineStr">
        <is>
          <t>A 16008-2024</t>
        </is>
      </c>
      <c r="B66" s="1" t="n">
        <v>45405</v>
      </c>
      <c r="C66" s="1" t="n">
        <v>45711</v>
      </c>
      <c r="D66" t="inlineStr">
        <is>
          <t>NORRBOTTENS LÄN</t>
        </is>
      </c>
      <c r="E66" t="inlineStr">
        <is>
          <t>PAJALA</t>
        </is>
      </c>
      <c r="G66" t="n">
        <v>39.9</v>
      </c>
      <c r="H66" t="n">
        <v>0</v>
      </c>
      <c r="I66" t="n">
        <v>1</v>
      </c>
      <c r="J66" t="n">
        <v>0</v>
      </c>
      <c r="K66" t="n">
        <v>0</v>
      </c>
      <c r="L66" t="n">
        <v>0</v>
      </c>
      <c r="M66" t="n">
        <v>0</v>
      </c>
      <c r="N66" t="n">
        <v>0</v>
      </c>
      <c r="O66" t="n">
        <v>0</v>
      </c>
      <c r="P66" t="n">
        <v>0</v>
      </c>
      <c r="Q66" t="n">
        <v>1</v>
      </c>
      <c r="R66" s="2" t="inlineStr">
        <is>
          <t>Grönpyrola</t>
        </is>
      </c>
      <c r="S66">
        <f>HYPERLINK("https://klasma.github.io/Logging_2521/artfynd/A 16008-2024 artfynd.xlsx", "A 16008-2024")</f>
        <v/>
      </c>
      <c r="T66">
        <f>HYPERLINK("https://klasma.github.io/Logging_2521/kartor/A 16008-2024 karta.png", "A 16008-2024")</f>
        <v/>
      </c>
      <c r="V66">
        <f>HYPERLINK("https://klasma.github.io/Logging_2521/klagomål/A 16008-2024 FSC-klagomål.docx", "A 16008-2024")</f>
        <v/>
      </c>
      <c r="W66">
        <f>HYPERLINK("https://klasma.github.io/Logging_2521/klagomålsmail/A 16008-2024 FSC-klagomål mail.docx", "A 16008-2024")</f>
        <v/>
      </c>
      <c r="X66">
        <f>HYPERLINK("https://klasma.github.io/Logging_2521/tillsyn/A 16008-2024 tillsynsbegäran.docx", "A 16008-2024")</f>
        <v/>
      </c>
      <c r="Y66">
        <f>HYPERLINK("https://klasma.github.io/Logging_2521/tillsynsmail/A 16008-2024 tillsynsbegäran mail.docx", "A 16008-2024")</f>
        <v/>
      </c>
    </row>
    <row r="67" ht="15" customHeight="1">
      <c r="A67" t="inlineStr">
        <is>
          <t>A 25484-2024</t>
        </is>
      </c>
      <c r="B67" s="1" t="n">
        <v>45463</v>
      </c>
      <c r="C67" s="1" t="n">
        <v>45711</v>
      </c>
      <c r="D67" t="inlineStr">
        <is>
          <t>NORRBOTTENS LÄN</t>
        </is>
      </c>
      <c r="E67" t="inlineStr">
        <is>
          <t>PAJALA</t>
        </is>
      </c>
      <c r="F67" t="inlineStr">
        <is>
          <t>Sveaskog</t>
        </is>
      </c>
      <c r="G67" t="n">
        <v>5.9</v>
      </c>
      <c r="H67" t="n">
        <v>0</v>
      </c>
      <c r="I67" t="n">
        <v>0</v>
      </c>
      <c r="J67" t="n">
        <v>1</v>
      </c>
      <c r="K67" t="n">
        <v>0</v>
      </c>
      <c r="L67" t="n">
        <v>0</v>
      </c>
      <c r="M67" t="n">
        <v>0</v>
      </c>
      <c r="N67" t="n">
        <v>0</v>
      </c>
      <c r="O67" t="n">
        <v>1</v>
      </c>
      <c r="P67" t="n">
        <v>0</v>
      </c>
      <c r="Q67" t="n">
        <v>1</v>
      </c>
      <c r="R67" s="2" t="inlineStr">
        <is>
          <t>Violmussling</t>
        </is>
      </c>
      <c r="S67">
        <f>HYPERLINK("https://klasma.github.io/Logging_2521/artfynd/A 25484-2024 artfynd.xlsx", "A 25484-2024")</f>
        <v/>
      </c>
      <c r="T67">
        <f>HYPERLINK("https://klasma.github.io/Logging_2521/kartor/A 25484-2024 karta.png", "A 25484-2024")</f>
        <v/>
      </c>
      <c r="V67">
        <f>HYPERLINK("https://klasma.github.io/Logging_2521/klagomål/A 25484-2024 FSC-klagomål.docx", "A 25484-2024")</f>
        <v/>
      </c>
      <c r="W67">
        <f>HYPERLINK("https://klasma.github.io/Logging_2521/klagomålsmail/A 25484-2024 FSC-klagomål mail.docx", "A 25484-2024")</f>
        <v/>
      </c>
      <c r="X67">
        <f>HYPERLINK("https://klasma.github.io/Logging_2521/tillsyn/A 25484-2024 tillsynsbegäran.docx", "A 25484-2024")</f>
        <v/>
      </c>
      <c r="Y67">
        <f>HYPERLINK("https://klasma.github.io/Logging_2521/tillsynsmail/A 25484-2024 tillsynsbegäran mail.docx", "A 25484-2024")</f>
        <v/>
      </c>
    </row>
    <row r="68" ht="15" customHeight="1">
      <c r="A68" t="inlineStr">
        <is>
          <t>A 28428-2024</t>
        </is>
      </c>
      <c r="B68" s="1" t="n">
        <v>45477</v>
      </c>
      <c r="C68" s="1" t="n">
        <v>45711</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44777-2024</t>
        </is>
      </c>
      <c r="B69" s="1" t="n">
        <v>45574</v>
      </c>
      <c r="C69" s="1" t="n">
        <v>45711</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46952-2024</t>
        </is>
      </c>
      <c r="B70" s="1" t="n">
        <v>45585</v>
      </c>
      <c r="C70" s="1" t="n">
        <v>45711</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60408-2024</t>
        </is>
      </c>
      <c r="B71" s="1" t="n">
        <v>45643</v>
      </c>
      <c r="C71" s="1" t="n">
        <v>45711</v>
      </c>
      <c r="D71" t="inlineStr">
        <is>
          <t>NORRBOTTENS LÄN</t>
        </is>
      </c>
      <c r="E71" t="inlineStr">
        <is>
          <t>PAJALA</t>
        </is>
      </c>
      <c r="G71" t="n">
        <v>20</v>
      </c>
      <c r="H71" t="n">
        <v>1</v>
      </c>
      <c r="I71" t="n">
        <v>0</v>
      </c>
      <c r="J71" t="n">
        <v>1</v>
      </c>
      <c r="K71" t="n">
        <v>0</v>
      </c>
      <c r="L71" t="n">
        <v>0</v>
      </c>
      <c r="M71" t="n">
        <v>0</v>
      </c>
      <c r="N71" t="n">
        <v>0</v>
      </c>
      <c r="O71" t="n">
        <v>1</v>
      </c>
      <c r="P71" t="n">
        <v>0</v>
      </c>
      <c r="Q71" t="n">
        <v>1</v>
      </c>
      <c r="R71" s="2" t="inlineStr">
        <is>
          <t>Järpe</t>
        </is>
      </c>
      <c r="S71">
        <f>HYPERLINK("https://klasma.github.io/Logging_2521/artfynd/A 60408-2024 artfynd.xlsx", "A 60408-2024")</f>
        <v/>
      </c>
      <c r="T71">
        <f>HYPERLINK("https://klasma.github.io/Logging_2521/kartor/A 60408-2024 karta.png", "A 60408-2024")</f>
        <v/>
      </c>
      <c r="V71">
        <f>HYPERLINK("https://klasma.github.io/Logging_2521/klagomål/A 60408-2024 FSC-klagomål.docx", "A 60408-2024")</f>
        <v/>
      </c>
      <c r="W71">
        <f>HYPERLINK("https://klasma.github.io/Logging_2521/klagomålsmail/A 60408-2024 FSC-klagomål mail.docx", "A 60408-2024")</f>
        <v/>
      </c>
      <c r="X71">
        <f>HYPERLINK("https://klasma.github.io/Logging_2521/tillsyn/A 60408-2024 tillsynsbegäran.docx", "A 60408-2024")</f>
        <v/>
      </c>
      <c r="Y71">
        <f>HYPERLINK("https://klasma.github.io/Logging_2521/tillsynsmail/A 60408-2024 tillsynsbegäran mail.docx", "A 60408-2024")</f>
        <v/>
      </c>
      <c r="Z71">
        <f>HYPERLINK("https://klasma.github.io/Logging_2521/fåglar/A 60408-2024 prioriterade fågelarter.docx", "A 60408-2024")</f>
        <v/>
      </c>
    </row>
    <row r="72" ht="15" customHeight="1">
      <c r="A72" t="inlineStr">
        <is>
          <t>A 18258-2019</t>
        </is>
      </c>
      <c r="B72" s="1" t="n">
        <v>43558</v>
      </c>
      <c r="C72" s="1" t="n">
        <v>45711</v>
      </c>
      <c r="D72" t="inlineStr">
        <is>
          <t>NORRBOTTENS LÄN</t>
        </is>
      </c>
      <c r="E72" t="inlineStr">
        <is>
          <t>PAJALA</t>
        </is>
      </c>
      <c r="G72" t="n">
        <v>2.4</v>
      </c>
      <c r="H72" t="n">
        <v>0</v>
      </c>
      <c r="I72" t="n">
        <v>0</v>
      </c>
      <c r="J72" t="n">
        <v>0</v>
      </c>
      <c r="K72" t="n">
        <v>0</v>
      </c>
      <c r="L72" t="n">
        <v>0</v>
      </c>
      <c r="M72" t="n">
        <v>0</v>
      </c>
      <c r="N72" t="n">
        <v>0</v>
      </c>
      <c r="O72" t="n">
        <v>0</v>
      </c>
      <c r="P72" t="n">
        <v>0</v>
      </c>
      <c r="Q72" t="n">
        <v>0</v>
      </c>
      <c r="R72" s="2" t="inlineStr"/>
    </row>
    <row r="73" ht="15" customHeight="1">
      <c r="A73" t="inlineStr">
        <is>
          <t>A 20148-2019</t>
        </is>
      </c>
      <c r="B73" s="1" t="n">
        <v>43567</v>
      </c>
      <c r="C73" s="1" t="n">
        <v>45711</v>
      </c>
      <c r="D73" t="inlineStr">
        <is>
          <t>NORRBOTTENS LÄN</t>
        </is>
      </c>
      <c r="E73" t="inlineStr">
        <is>
          <t>PAJALA</t>
        </is>
      </c>
      <c r="G73" t="n">
        <v>4.7</v>
      </c>
      <c r="H73" t="n">
        <v>0</v>
      </c>
      <c r="I73" t="n">
        <v>0</v>
      </c>
      <c r="J73" t="n">
        <v>0</v>
      </c>
      <c r="K73" t="n">
        <v>0</v>
      </c>
      <c r="L73" t="n">
        <v>0</v>
      </c>
      <c r="M73" t="n">
        <v>0</v>
      </c>
      <c r="N73" t="n">
        <v>0</v>
      </c>
      <c r="O73" t="n">
        <v>0</v>
      </c>
      <c r="P73" t="n">
        <v>0</v>
      </c>
      <c r="Q73" t="n">
        <v>0</v>
      </c>
      <c r="R73" s="2" t="inlineStr"/>
    </row>
    <row r="74" ht="15" customHeight="1">
      <c r="A74" t="inlineStr">
        <is>
          <t>A 20053-2019</t>
        </is>
      </c>
      <c r="B74" s="1" t="n">
        <v>43570</v>
      </c>
      <c r="C74" s="1" t="n">
        <v>45711</v>
      </c>
      <c r="D74" t="inlineStr">
        <is>
          <t>NORRBOTTENS LÄN</t>
        </is>
      </c>
      <c r="E74" t="inlineStr">
        <is>
          <t>PAJALA</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20349-2019</t>
        </is>
      </c>
      <c r="B75" s="1" t="n">
        <v>43570</v>
      </c>
      <c r="C75" s="1" t="n">
        <v>45711</v>
      </c>
      <c r="D75" t="inlineStr">
        <is>
          <t>NORRBOTTENS LÄN</t>
        </is>
      </c>
      <c r="E75" t="inlineStr">
        <is>
          <t>PAJALA</t>
        </is>
      </c>
      <c r="G75" t="n">
        <v>3.6</v>
      </c>
      <c r="H75" t="n">
        <v>0</v>
      </c>
      <c r="I75" t="n">
        <v>0</v>
      </c>
      <c r="J75" t="n">
        <v>0</v>
      </c>
      <c r="K75" t="n">
        <v>0</v>
      </c>
      <c r="L75" t="n">
        <v>0</v>
      </c>
      <c r="M75" t="n">
        <v>0</v>
      </c>
      <c r="N75" t="n">
        <v>0</v>
      </c>
      <c r="O75" t="n">
        <v>0</v>
      </c>
      <c r="P75" t="n">
        <v>0</v>
      </c>
      <c r="Q75" t="n">
        <v>0</v>
      </c>
      <c r="R75" s="2" t="inlineStr"/>
    </row>
    <row r="76" ht="15" customHeight="1">
      <c r="A76" t="inlineStr">
        <is>
          <t>A 20382-2019</t>
        </is>
      </c>
      <c r="B76" s="1" t="n">
        <v>43571</v>
      </c>
      <c r="C76" s="1" t="n">
        <v>45711</v>
      </c>
      <c r="D76" t="inlineStr">
        <is>
          <t>NORRBOTTENS LÄN</t>
        </is>
      </c>
      <c r="E76" t="inlineStr">
        <is>
          <t>PAJALA</t>
        </is>
      </c>
      <c r="G76" t="n">
        <v>3.5</v>
      </c>
      <c r="H76" t="n">
        <v>0</v>
      </c>
      <c r="I76" t="n">
        <v>0</v>
      </c>
      <c r="J76" t="n">
        <v>0</v>
      </c>
      <c r="K76" t="n">
        <v>0</v>
      </c>
      <c r="L76" t="n">
        <v>0</v>
      </c>
      <c r="M76" t="n">
        <v>0</v>
      </c>
      <c r="N76" t="n">
        <v>0</v>
      </c>
      <c r="O76" t="n">
        <v>0</v>
      </c>
      <c r="P76" t="n">
        <v>0</v>
      </c>
      <c r="Q76" t="n">
        <v>0</v>
      </c>
      <c r="R76" s="2" t="inlineStr"/>
    </row>
    <row r="77" ht="15" customHeight="1">
      <c r="A77" t="inlineStr">
        <is>
          <t>A 20410-2019</t>
        </is>
      </c>
      <c r="B77" s="1" t="n">
        <v>43571</v>
      </c>
      <c r="C77" s="1" t="n">
        <v>45711</v>
      </c>
      <c r="D77" t="inlineStr">
        <is>
          <t>NORRBOTTENS LÄN</t>
        </is>
      </c>
      <c r="E77" t="inlineStr">
        <is>
          <t>PAJALA</t>
        </is>
      </c>
      <c r="F77" t="inlineStr">
        <is>
          <t>Kyrkan</t>
        </is>
      </c>
      <c r="G77" t="n">
        <v>3.2</v>
      </c>
      <c r="H77" t="n">
        <v>0</v>
      </c>
      <c r="I77" t="n">
        <v>0</v>
      </c>
      <c r="J77" t="n">
        <v>0</v>
      </c>
      <c r="K77" t="n">
        <v>0</v>
      </c>
      <c r="L77" t="n">
        <v>0</v>
      </c>
      <c r="M77" t="n">
        <v>0</v>
      </c>
      <c r="N77" t="n">
        <v>0</v>
      </c>
      <c r="O77" t="n">
        <v>0</v>
      </c>
      <c r="P77" t="n">
        <v>0</v>
      </c>
      <c r="Q77" t="n">
        <v>0</v>
      </c>
      <c r="R77" s="2" t="inlineStr"/>
    </row>
    <row r="78" ht="15" customHeight="1">
      <c r="A78" t="inlineStr">
        <is>
          <t>A 20537-2019</t>
        </is>
      </c>
      <c r="B78" s="1" t="n">
        <v>43572</v>
      </c>
      <c r="C78" s="1" t="n">
        <v>45711</v>
      </c>
      <c r="D78" t="inlineStr">
        <is>
          <t>NORRBOTTENS LÄN</t>
        </is>
      </c>
      <c r="E78" t="inlineStr">
        <is>
          <t>PAJALA</t>
        </is>
      </c>
      <c r="G78" t="n">
        <v>7.2</v>
      </c>
      <c r="H78" t="n">
        <v>0</v>
      </c>
      <c r="I78" t="n">
        <v>0</v>
      </c>
      <c r="J78" t="n">
        <v>0</v>
      </c>
      <c r="K78" t="n">
        <v>0</v>
      </c>
      <c r="L78" t="n">
        <v>0</v>
      </c>
      <c r="M78" t="n">
        <v>0</v>
      </c>
      <c r="N78" t="n">
        <v>0</v>
      </c>
      <c r="O78" t="n">
        <v>0</v>
      </c>
      <c r="P78" t="n">
        <v>0</v>
      </c>
      <c r="Q78" t="n">
        <v>0</v>
      </c>
      <c r="R78" s="2" t="inlineStr"/>
    </row>
    <row r="79" ht="15" customHeight="1">
      <c r="A79" t="inlineStr">
        <is>
          <t>A 21088-2019</t>
        </is>
      </c>
      <c r="B79" s="1" t="n">
        <v>43574</v>
      </c>
      <c r="C79" s="1" t="n">
        <v>45711</v>
      </c>
      <c r="D79" t="inlineStr">
        <is>
          <t>NORRBOTTENS LÄN</t>
        </is>
      </c>
      <c r="E79" t="inlineStr">
        <is>
          <t>PAJALA</t>
        </is>
      </c>
      <c r="G79" t="n">
        <v>0.6</v>
      </c>
      <c r="H79" t="n">
        <v>0</v>
      </c>
      <c r="I79" t="n">
        <v>0</v>
      </c>
      <c r="J79" t="n">
        <v>0</v>
      </c>
      <c r="K79" t="n">
        <v>0</v>
      </c>
      <c r="L79" t="n">
        <v>0</v>
      </c>
      <c r="M79" t="n">
        <v>0</v>
      </c>
      <c r="N79" t="n">
        <v>0</v>
      </c>
      <c r="O79" t="n">
        <v>0</v>
      </c>
      <c r="P79" t="n">
        <v>0</v>
      </c>
      <c r="Q79" t="n">
        <v>0</v>
      </c>
      <c r="R79" s="2" t="inlineStr"/>
    </row>
    <row r="80" ht="15" customHeight="1">
      <c r="A80" t="inlineStr">
        <is>
          <t>A 21517-2019</t>
        </is>
      </c>
      <c r="B80" s="1" t="n">
        <v>43580</v>
      </c>
      <c r="C80" s="1" t="n">
        <v>45711</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21510-2019</t>
        </is>
      </c>
      <c r="B81" s="1" t="n">
        <v>43580</v>
      </c>
      <c r="C81" s="1" t="n">
        <v>45711</v>
      </c>
      <c r="D81" t="inlineStr">
        <is>
          <t>NORRBOTTENS LÄN</t>
        </is>
      </c>
      <c r="E81" t="inlineStr">
        <is>
          <t>PAJALA</t>
        </is>
      </c>
      <c r="G81" t="n">
        <v>3.6</v>
      </c>
      <c r="H81" t="n">
        <v>0</v>
      </c>
      <c r="I81" t="n">
        <v>0</v>
      </c>
      <c r="J81" t="n">
        <v>0</v>
      </c>
      <c r="K81" t="n">
        <v>0</v>
      </c>
      <c r="L81" t="n">
        <v>0</v>
      </c>
      <c r="M81" t="n">
        <v>0</v>
      </c>
      <c r="N81" t="n">
        <v>0</v>
      </c>
      <c r="O81" t="n">
        <v>0</v>
      </c>
      <c r="P81" t="n">
        <v>0</v>
      </c>
      <c r="Q81" t="n">
        <v>0</v>
      </c>
      <c r="R81" s="2" t="inlineStr"/>
    </row>
    <row r="82" ht="15" customHeight="1">
      <c r="A82" t="inlineStr">
        <is>
          <t>A 22564-2019</t>
        </is>
      </c>
      <c r="B82" s="1" t="n">
        <v>43587</v>
      </c>
      <c r="C82" s="1" t="n">
        <v>45711</v>
      </c>
      <c r="D82" t="inlineStr">
        <is>
          <t>NORRBOTTENS LÄN</t>
        </is>
      </c>
      <c r="E82" t="inlineStr">
        <is>
          <t>PAJALA</t>
        </is>
      </c>
      <c r="G82" t="n">
        <v>1.7</v>
      </c>
      <c r="H82" t="n">
        <v>0</v>
      </c>
      <c r="I82" t="n">
        <v>0</v>
      </c>
      <c r="J82" t="n">
        <v>0</v>
      </c>
      <c r="K82" t="n">
        <v>0</v>
      </c>
      <c r="L82" t="n">
        <v>0</v>
      </c>
      <c r="M82" t="n">
        <v>0</v>
      </c>
      <c r="N82" t="n">
        <v>0</v>
      </c>
      <c r="O82" t="n">
        <v>0</v>
      </c>
      <c r="P82" t="n">
        <v>0</v>
      </c>
      <c r="Q82" t="n">
        <v>0</v>
      </c>
      <c r="R82" s="2" t="inlineStr"/>
    </row>
    <row r="83" ht="15" customHeight="1">
      <c r="A83" t="inlineStr">
        <is>
          <t>A 22861-2019</t>
        </is>
      </c>
      <c r="B83" s="1" t="n">
        <v>43591</v>
      </c>
      <c r="C83" s="1" t="n">
        <v>45711</v>
      </c>
      <c r="D83" t="inlineStr">
        <is>
          <t>NORRBOTTENS LÄN</t>
        </is>
      </c>
      <c r="E83" t="inlineStr">
        <is>
          <t>PAJALA</t>
        </is>
      </c>
      <c r="G83" t="n">
        <v>2.2</v>
      </c>
      <c r="H83" t="n">
        <v>0</v>
      </c>
      <c r="I83" t="n">
        <v>0</v>
      </c>
      <c r="J83" t="n">
        <v>0</v>
      </c>
      <c r="K83" t="n">
        <v>0</v>
      </c>
      <c r="L83" t="n">
        <v>0</v>
      </c>
      <c r="M83" t="n">
        <v>0</v>
      </c>
      <c r="N83" t="n">
        <v>0</v>
      </c>
      <c r="O83" t="n">
        <v>0</v>
      </c>
      <c r="P83" t="n">
        <v>0</v>
      </c>
      <c r="Q83" t="n">
        <v>0</v>
      </c>
      <c r="R83" s="2" t="inlineStr"/>
    </row>
    <row r="84" ht="15" customHeight="1">
      <c r="A84" t="inlineStr">
        <is>
          <t>A 22859-2019</t>
        </is>
      </c>
      <c r="B84" s="1" t="n">
        <v>43591</v>
      </c>
      <c r="C84" s="1" t="n">
        <v>45711</v>
      </c>
      <c r="D84" t="inlineStr">
        <is>
          <t>NORRBOTTENS LÄN</t>
        </is>
      </c>
      <c r="E84" t="inlineStr">
        <is>
          <t>PAJALA</t>
        </is>
      </c>
      <c r="G84" t="n">
        <v>5.4</v>
      </c>
      <c r="H84" t="n">
        <v>0</v>
      </c>
      <c r="I84" t="n">
        <v>0</v>
      </c>
      <c r="J84" t="n">
        <v>0</v>
      </c>
      <c r="K84" t="n">
        <v>0</v>
      </c>
      <c r="L84" t="n">
        <v>0</v>
      </c>
      <c r="M84" t="n">
        <v>0</v>
      </c>
      <c r="N84" t="n">
        <v>0</v>
      </c>
      <c r="O84" t="n">
        <v>0</v>
      </c>
      <c r="P84" t="n">
        <v>0</v>
      </c>
      <c r="Q84" t="n">
        <v>0</v>
      </c>
      <c r="R84" s="2" t="inlineStr"/>
    </row>
    <row r="85" ht="15" customHeight="1">
      <c r="A85" t="inlineStr">
        <is>
          <t>A 23628-2019</t>
        </is>
      </c>
      <c r="B85" s="1" t="n">
        <v>43594</v>
      </c>
      <c r="C85" s="1" t="n">
        <v>45711</v>
      </c>
      <c r="D85" t="inlineStr">
        <is>
          <t>NORRBOTTENS LÄN</t>
        </is>
      </c>
      <c r="E85" t="inlineStr">
        <is>
          <t>PAJALA</t>
        </is>
      </c>
      <c r="G85" t="n">
        <v>55.9</v>
      </c>
      <c r="H85" t="n">
        <v>0</v>
      </c>
      <c r="I85" t="n">
        <v>0</v>
      </c>
      <c r="J85" t="n">
        <v>0</v>
      </c>
      <c r="K85" t="n">
        <v>0</v>
      </c>
      <c r="L85" t="n">
        <v>0</v>
      </c>
      <c r="M85" t="n">
        <v>0</v>
      </c>
      <c r="N85" t="n">
        <v>0</v>
      </c>
      <c r="O85" t="n">
        <v>0</v>
      </c>
      <c r="P85" t="n">
        <v>0</v>
      </c>
      <c r="Q85" t="n">
        <v>0</v>
      </c>
      <c r="R85" s="2" t="inlineStr"/>
    </row>
    <row r="86" ht="15" customHeight="1">
      <c r="A86" t="inlineStr">
        <is>
          <t>A 24847-2019</t>
        </is>
      </c>
      <c r="B86" s="1" t="n">
        <v>43599</v>
      </c>
      <c r="C86" s="1" t="n">
        <v>45711</v>
      </c>
      <c r="D86" t="inlineStr">
        <is>
          <t>NORRBOTTENS LÄN</t>
        </is>
      </c>
      <c r="E86" t="inlineStr">
        <is>
          <t>PAJALA</t>
        </is>
      </c>
      <c r="G86" t="n">
        <v>7.6</v>
      </c>
      <c r="H86" t="n">
        <v>0</v>
      </c>
      <c r="I86" t="n">
        <v>0</v>
      </c>
      <c r="J86" t="n">
        <v>0</v>
      </c>
      <c r="K86" t="n">
        <v>0</v>
      </c>
      <c r="L86" t="n">
        <v>0</v>
      </c>
      <c r="M86" t="n">
        <v>0</v>
      </c>
      <c r="N86" t="n">
        <v>0</v>
      </c>
      <c r="O86" t="n">
        <v>0</v>
      </c>
      <c r="P86" t="n">
        <v>0</v>
      </c>
      <c r="Q86" t="n">
        <v>0</v>
      </c>
      <c r="R86" s="2" t="inlineStr"/>
    </row>
    <row r="87" ht="15" customHeight="1">
      <c r="A87" t="inlineStr">
        <is>
          <t>A 24901-2019</t>
        </is>
      </c>
      <c r="B87" s="1" t="n">
        <v>43602</v>
      </c>
      <c r="C87" s="1" t="n">
        <v>45711</v>
      </c>
      <c r="D87" t="inlineStr">
        <is>
          <t>NORRBOTTENS LÄN</t>
        </is>
      </c>
      <c r="E87" t="inlineStr">
        <is>
          <t>PAJALA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25834-2019</t>
        </is>
      </c>
      <c r="B88" s="1" t="n">
        <v>43608</v>
      </c>
      <c r="C88" s="1" t="n">
        <v>45711</v>
      </c>
      <c r="D88" t="inlineStr">
        <is>
          <t>NORRBOTTENS LÄN</t>
        </is>
      </c>
      <c r="E88" t="inlineStr">
        <is>
          <t>PAJALA</t>
        </is>
      </c>
      <c r="F88" t="inlineStr">
        <is>
          <t>Sveaskog</t>
        </is>
      </c>
      <c r="G88" t="n">
        <v>31.2</v>
      </c>
      <c r="H88" t="n">
        <v>0</v>
      </c>
      <c r="I88" t="n">
        <v>0</v>
      </c>
      <c r="J88" t="n">
        <v>0</v>
      </c>
      <c r="K88" t="n">
        <v>0</v>
      </c>
      <c r="L88" t="n">
        <v>0</v>
      </c>
      <c r="M88" t="n">
        <v>0</v>
      </c>
      <c r="N88" t="n">
        <v>0</v>
      </c>
      <c r="O88" t="n">
        <v>0</v>
      </c>
      <c r="P88" t="n">
        <v>0</v>
      </c>
      <c r="Q88" t="n">
        <v>0</v>
      </c>
      <c r="R88" s="2" t="inlineStr"/>
    </row>
    <row r="89" ht="15" customHeight="1">
      <c r="A89" t="inlineStr">
        <is>
          <t>A 26056-2019</t>
        </is>
      </c>
      <c r="B89" s="1" t="n">
        <v>43609</v>
      </c>
      <c r="C89" s="1" t="n">
        <v>45711</v>
      </c>
      <c r="D89" t="inlineStr">
        <is>
          <t>NORRBOTTENS LÄN</t>
        </is>
      </c>
      <c r="E89" t="inlineStr">
        <is>
          <t>PAJALA</t>
        </is>
      </c>
      <c r="F89" t="inlineStr">
        <is>
          <t>Sveaskog</t>
        </is>
      </c>
      <c r="G89" t="n">
        <v>8.199999999999999</v>
      </c>
      <c r="H89" t="n">
        <v>0</v>
      </c>
      <c r="I89" t="n">
        <v>0</v>
      </c>
      <c r="J89" t="n">
        <v>0</v>
      </c>
      <c r="K89" t="n">
        <v>0</v>
      </c>
      <c r="L89" t="n">
        <v>0</v>
      </c>
      <c r="M89" t="n">
        <v>0</v>
      </c>
      <c r="N89" t="n">
        <v>0</v>
      </c>
      <c r="O89" t="n">
        <v>0</v>
      </c>
      <c r="P89" t="n">
        <v>0</v>
      </c>
      <c r="Q89" t="n">
        <v>0</v>
      </c>
      <c r="R89" s="2" t="inlineStr"/>
    </row>
    <row r="90" ht="15" customHeight="1">
      <c r="A90" t="inlineStr">
        <is>
          <t>A 26869-2019</t>
        </is>
      </c>
      <c r="B90" s="1" t="n">
        <v>43609</v>
      </c>
      <c r="C90" s="1" t="n">
        <v>45711</v>
      </c>
      <c r="D90" t="inlineStr">
        <is>
          <t>NORRBOTTENS LÄN</t>
        </is>
      </c>
      <c r="E90" t="inlineStr">
        <is>
          <t>PAJALA</t>
        </is>
      </c>
      <c r="G90" t="n">
        <v>4.4</v>
      </c>
      <c r="H90" t="n">
        <v>0</v>
      </c>
      <c r="I90" t="n">
        <v>0</v>
      </c>
      <c r="J90" t="n">
        <v>0</v>
      </c>
      <c r="K90" t="n">
        <v>0</v>
      </c>
      <c r="L90" t="n">
        <v>0</v>
      </c>
      <c r="M90" t="n">
        <v>0</v>
      </c>
      <c r="N90" t="n">
        <v>0</v>
      </c>
      <c r="O90" t="n">
        <v>0</v>
      </c>
      <c r="P90" t="n">
        <v>0</v>
      </c>
      <c r="Q90" t="n">
        <v>0</v>
      </c>
      <c r="R90" s="2" t="inlineStr"/>
    </row>
    <row r="91" ht="15" customHeight="1">
      <c r="A91" t="inlineStr">
        <is>
          <t>A 28579-2019</t>
        </is>
      </c>
      <c r="B91" s="1" t="n">
        <v>43626</v>
      </c>
      <c r="C91" s="1" t="n">
        <v>45711</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28581-2019</t>
        </is>
      </c>
      <c r="B92" s="1" t="n">
        <v>43626</v>
      </c>
      <c r="C92" s="1" t="n">
        <v>45711</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28582-2019</t>
        </is>
      </c>
      <c r="B93" s="1" t="n">
        <v>43626</v>
      </c>
      <c r="C93" s="1" t="n">
        <v>45711</v>
      </c>
      <c r="D93" t="inlineStr">
        <is>
          <t>NORRBOTTENS LÄN</t>
        </is>
      </c>
      <c r="E93" t="inlineStr">
        <is>
          <t>PAJALA</t>
        </is>
      </c>
      <c r="G93" t="n">
        <v>6.6</v>
      </c>
      <c r="H93" t="n">
        <v>0</v>
      </c>
      <c r="I93" t="n">
        <v>0</v>
      </c>
      <c r="J93" t="n">
        <v>0</v>
      </c>
      <c r="K93" t="n">
        <v>0</v>
      </c>
      <c r="L93" t="n">
        <v>0</v>
      </c>
      <c r="M93" t="n">
        <v>0</v>
      </c>
      <c r="N93" t="n">
        <v>0</v>
      </c>
      <c r="O93" t="n">
        <v>0</v>
      </c>
      <c r="P93" t="n">
        <v>0</v>
      </c>
      <c r="Q93" t="n">
        <v>0</v>
      </c>
      <c r="R93" s="2" t="inlineStr"/>
    </row>
    <row r="94" ht="15" customHeight="1">
      <c r="A94" t="inlineStr">
        <is>
          <t>A 30645-2019</t>
        </is>
      </c>
      <c r="B94" s="1" t="n">
        <v>43635</v>
      </c>
      <c r="C94" s="1" t="n">
        <v>45711</v>
      </c>
      <c r="D94" t="inlineStr">
        <is>
          <t>NORRBOTTENS LÄN</t>
        </is>
      </c>
      <c r="E94" t="inlineStr">
        <is>
          <t>PAJALA</t>
        </is>
      </c>
      <c r="G94" t="n">
        <v>58.7</v>
      </c>
      <c r="H94" t="n">
        <v>0</v>
      </c>
      <c r="I94" t="n">
        <v>0</v>
      </c>
      <c r="J94" t="n">
        <v>0</v>
      </c>
      <c r="K94" t="n">
        <v>0</v>
      </c>
      <c r="L94" t="n">
        <v>0</v>
      </c>
      <c r="M94" t="n">
        <v>0</v>
      </c>
      <c r="N94" t="n">
        <v>0</v>
      </c>
      <c r="O94" t="n">
        <v>0</v>
      </c>
      <c r="P94" t="n">
        <v>0</v>
      </c>
      <c r="Q94" t="n">
        <v>0</v>
      </c>
      <c r="R94" s="2" t="inlineStr"/>
    </row>
    <row r="95" ht="15" customHeight="1">
      <c r="A95" t="inlineStr">
        <is>
          <t>A 32747-2019</t>
        </is>
      </c>
      <c r="B95" s="1" t="n">
        <v>43647</v>
      </c>
      <c r="C95" s="1" t="n">
        <v>45711</v>
      </c>
      <c r="D95" t="inlineStr">
        <is>
          <t>NORRBOTTENS LÄN</t>
        </is>
      </c>
      <c r="E95" t="inlineStr">
        <is>
          <t>PAJALA</t>
        </is>
      </c>
      <c r="F95" t="inlineStr">
        <is>
          <t>SCA</t>
        </is>
      </c>
      <c r="G95" t="n">
        <v>20.8</v>
      </c>
      <c r="H95" t="n">
        <v>0</v>
      </c>
      <c r="I95" t="n">
        <v>0</v>
      </c>
      <c r="J95" t="n">
        <v>0</v>
      </c>
      <c r="K95" t="n">
        <v>0</v>
      </c>
      <c r="L95" t="n">
        <v>0</v>
      </c>
      <c r="M95" t="n">
        <v>0</v>
      </c>
      <c r="N95" t="n">
        <v>0</v>
      </c>
      <c r="O95" t="n">
        <v>0</v>
      </c>
      <c r="P95" t="n">
        <v>0</v>
      </c>
      <c r="Q95" t="n">
        <v>0</v>
      </c>
      <c r="R95" s="2" t="inlineStr"/>
    </row>
    <row r="96" ht="15" customHeight="1">
      <c r="A96" t="inlineStr">
        <is>
          <t>A 33259-2019</t>
        </is>
      </c>
      <c r="B96" s="1" t="n">
        <v>43650</v>
      </c>
      <c r="C96" s="1" t="n">
        <v>45711</v>
      </c>
      <c r="D96" t="inlineStr">
        <is>
          <t>NORRBOTTENS LÄN</t>
        </is>
      </c>
      <c r="E96" t="inlineStr">
        <is>
          <t>PAJALA</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33330-2019</t>
        </is>
      </c>
      <c r="B97" s="1" t="n">
        <v>43650</v>
      </c>
      <c r="C97" s="1" t="n">
        <v>45711</v>
      </c>
      <c r="D97" t="inlineStr">
        <is>
          <t>NORRBOTTENS LÄN</t>
        </is>
      </c>
      <c r="E97" t="inlineStr">
        <is>
          <t>PAJALA</t>
        </is>
      </c>
      <c r="F97" t="inlineStr">
        <is>
          <t>Sveaskog</t>
        </is>
      </c>
      <c r="G97" t="n">
        <v>9.699999999999999</v>
      </c>
      <c r="H97" t="n">
        <v>0</v>
      </c>
      <c r="I97" t="n">
        <v>0</v>
      </c>
      <c r="J97" t="n">
        <v>0</v>
      </c>
      <c r="K97" t="n">
        <v>0</v>
      </c>
      <c r="L97" t="n">
        <v>0</v>
      </c>
      <c r="M97" t="n">
        <v>0</v>
      </c>
      <c r="N97" t="n">
        <v>0</v>
      </c>
      <c r="O97" t="n">
        <v>0</v>
      </c>
      <c r="P97" t="n">
        <v>0</v>
      </c>
      <c r="Q97" t="n">
        <v>0</v>
      </c>
      <c r="R97" s="2" t="inlineStr"/>
    </row>
    <row r="98" ht="15" customHeight="1">
      <c r="A98" t="inlineStr">
        <is>
          <t>A 34153-2019</t>
        </is>
      </c>
      <c r="B98" s="1" t="n">
        <v>43655</v>
      </c>
      <c r="C98" s="1" t="n">
        <v>45711</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35698-2019</t>
        </is>
      </c>
      <c r="B99" s="1" t="n">
        <v>43655</v>
      </c>
      <c r="C99" s="1" t="n">
        <v>45711</v>
      </c>
      <c r="D99" t="inlineStr">
        <is>
          <t>NORRBOTTENS LÄN</t>
        </is>
      </c>
      <c r="E99" t="inlineStr">
        <is>
          <t>PAJALA</t>
        </is>
      </c>
      <c r="G99" t="n">
        <v>2.3</v>
      </c>
      <c r="H99" t="n">
        <v>0</v>
      </c>
      <c r="I99" t="n">
        <v>0</v>
      </c>
      <c r="J99" t="n">
        <v>0</v>
      </c>
      <c r="K99" t="n">
        <v>0</v>
      </c>
      <c r="L99" t="n">
        <v>0</v>
      </c>
      <c r="M99" t="n">
        <v>0</v>
      </c>
      <c r="N99" t="n">
        <v>0</v>
      </c>
      <c r="O99" t="n">
        <v>0</v>
      </c>
      <c r="P99" t="n">
        <v>0</v>
      </c>
      <c r="Q99" t="n">
        <v>0</v>
      </c>
      <c r="R99" s="2" t="inlineStr"/>
    </row>
    <row r="100" ht="15" customHeight="1">
      <c r="A100" t="inlineStr">
        <is>
          <t>A 35700-2019</t>
        </is>
      </c>
      <c r="B100" s="1" t="n">
        <v>43655</v>
      </c>
      <c r="C100" s="1" t="n">
        <v>45711</v>
      </c>
      <c r="D100" t="inlineStr">
        <is>
          <t>NORRBOTTENS LÄN</t>
        </is>
      </c>
      <c r="E100" t="inlineStr">
        <is>
          <t>PAJALA</t>
        </is>
      </c>
      <c r="G100" t="n">
        <v>12.2</v>
      </c>
      <c r="H100" t="n">
        <v>0</v>
      </c>
      <c r="I100" t="n">
        <v>0</v>
      </c>
      <c r="J100" t="n">
        <v>0</v>
      </c>
      <c r="K100" t="n">
        <v>0</v>
      </c>
      <c r="L100" t="n">
        <v>0</v>
      </c>
      <c r="M100" t="n">
        <v>0</v>
      </c>
      <c r="N100" t="n">
        <v>0</v>
      </c>
      <c r="O100" t="n">
        <v>0</v>
      </c>
      <c r="P100" t="n">
        <v>0</v>
      </c>
      <c r="Q100" t="n">
        <v>0</v>
      </c>
      <c r="R100" s="2" t="inlineStr"/>
    </row>
    <row r="101" ht="15" customHeight="1">
      <c r="A101" t="inlineStr">
        <is>
          <t>A 35101-2019</t>
        </is>
      </c>
      <c r="B101" s="1" t="n">
        <v>43661</v>
      </c>
      <c r="C101" s="1" t="n">
        <v>45711</v>
      </c>
      <c r="D101" t="inlineStr">
        <is>
          <t>NORRBOTTENS LÄN</t>
        </is>
      </c>
      <c r="E101" t="inlineStr">
        <is>
          <t>PAJALA</t>
        </is>
      </c>
      <c r="F101" t="inlineStr">
        <is>
          <t>Sveaskog</t>
        </is>
      </c>
      <c r="G101" t="n">
        <v>35.1</v>
      </c>
      <c r="H101" t="n">
        <v>0</v>
      </c>
      <c r="I101" t="n">
        <v>0</v>
      </c>
      <c r="J101" t="n">
        <v>0</v>
      </c>
      <c r="K101" t="n">
        <v>0</v>
      </c>
      <c r="L101" t="n">
        <v>0</v>
      </c>
      <c r="M101" t="n">
        <v>0</v>
      </c>
      <c r="N101" t="n">
        <v>0</v>
      </c>
      <c r="O101" t="n">
        <v>0</v>
      </c>
      <c r="P101" t="n">
        <v>0</v>
      </c>
      <c r="Q101" t="n">
        <v>0</v>
      </c>
      <c r="R101" s="2" t="inlineStr"/>
    </row>
    <row r="102" ht="15" customHeight="1">
      <c r="A102" t="inlineStr">
        <is>
          <t>A 35113-2019</t>
        </is>
      </c>
      <c r="B102" s="1" t="n">
        <v>43661</v>
      </c>
      <c r="C102" s="1" t="n">
        <v>45711</v>
      </c>
      <c r="D102" t="inlineStr">
        <is>
          <t>NORRBOTTENS LÄN</t>
        </is>
      </c>
      <c r="E102" t="inlineStr">
        <is>
          <t>PAJALA</t>
        </is>
      </c>
      <c r="F102" t="inlineStr">
        <is>
          <t>Sveaskog</t>
        </is>
      </c>
      <c r="G102" t="n">
        <v>2.1</v>
      </c>
      <c r="H102" t="n">
        <v>0</v>
      </c>
      <c r="I102" t="n">
        <v>0</v>
      </c>
      <c r="J102" t="n">
        <v>0</v>
      </c>
      <c r="K102" t="n">
        <v>0</v>
      </c>
      <c r="L102" t="n">
        <v>0</v>
      </c>
      <c r="M102" t="n">
        <v>0</v>
      </c>
      <c r="N102" t="n">
        <v>0</v>
      </c>
      <c r="O102" t="n">
        <v>0</v>
      </c>
      <c r="P102" t="n">
        <v>0</v>
      </c>
      <c r="Q102" t="n">
        <v>0</v>
      </c>
      <c r="R102" s="2" t="inlineStr"/>
    </row>
    <row r="103" ht="15" customHeight="1">
      <c r="A103" t="inlineStr">
        <is>
          <t>A 35797-2019</t>
        </is>
      </c>
      <c r="B103" s="1" t="n">
        <v>43665</v>
      </c>
      <c r="C103" s="1" t="n">
        <v>45711</v>
      </c>
      <c r="D103" t="inlineStr">
        <is>
          <t>NORRBOTTENS LÄN</t>
        </is>
      </c>
      <c r="E103" t="inlineStr">
        <is>
          <t>PAJALA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36753-2019</t>
        </is>
      </c>
      <c r="B104" s="1" t="n">
        <v>43672</v>
      </c>
      <c r="C104" s="1" t="n">
        <v>45711</v>
      </c>
      <c r="D104" t="inlineStr">
        <is>
          <t>NORRBOTTENS LÄN</t>
        </is>
      </c>
      <c r="E104" t="inlineStr">
        <is>
          <t>PAJALA</t>
        </is>
      </c>
      <c r="G104" t="n">
        <v>2.2</v>
      </c>
      <c r="H104" t="n">
        <v>0</v>
      </c>
      <c r="I104" t="n">
        <v>0</v>
      </c>
      <c r="J104" t="n">
        <v>0</v>
      </c>
      <c r="K104" t="n">
        <v>0</v>
      </c>
      <c r="L104" t="n">
        <v>0</v>
      </c>
      <c r="M104" t="n">
        <v>0</v>
      </c>
      <c r="N104" t="n">
        <v>0</v>
      </c>
      <c r="O104" t="n">
        <v>0</v>
      </c>
      <c r="P104" t="n">
        <v>0</v>
      </c>
      <c r="Q104" t="n">
        <v>0</v>
      </c>
      <c r="R104" s="2" t="inlineStr"/>
    </row>
    <row r="105" ht="15" customHeight="1">
      <c r="A105" t="inlineStr">
        <is>
          <t>A 37334-2019</t>
        </is>
      </c>
      <c r="B105" s="1" t="n">
        <v>43678</v>
      </c>
      <c r="C105" s="1" t="n">
        <v>45711</v>
      </c>
      <c r="D105" t="inlineStr">
        <is>
          <t>NORRBOTTENS LÄN</t>
        </is>
      </c>
      <c r="E105" t="inlineStr">
        <is>
          <t>PAJALA</t>
        </is>
      </c>
      <c r="G105" t="n">
        <v>2</v>
      </c>
      <c r="H105" t="n">
        <v>0</v>
      </c>
      <c r="I105" t="n">
        <v>0</v>
      </c>
      <c r="J105" t="n">
        <v>0</v>
      </c>
      <c r="K105" t="n">
        <v>0</v>
      </c>
      <c r="L105" t="n">
        <v>0</v>
      </c>
      <c r="M105" t="n">
        <v>0</v>
      </c>
      <c r="N105" t="n">
        <v>0</v>
      </c>
      <c r="O105" t="n">
        <v>0</v>
      </c>
      <c r="P105" t="n">
        <v>0</v>
      </c>
      <c r="Q105" t="n">
        <v>0</v>
      </c>
      <c r="R105" s="2" t="inlineStr"/>
    </row>
    <row r="106" ht="15" customHeight="1">
      <c r="A106" t="inlineStr">
        <is>
          <t>A 38696-2019</t>
        </is>
      </c>
      <c r="B106" s="1" t="n">
        <v>43684</v>
      </c>
      <c r="C106" s="1" t="n">
        <v>45711</v>
      </c>
      <c r="D106" t="inlineStr">
        <is>
          <t>NORRBOTTENS LÄN</t>
        </is>
      </c>
      <c r="E106" t="inlineStr">
        <is>
          <t>PAJALA</t>
        </is>
      </c>
      <c r="G106" t="n">
        <v>14.6</v>
      </c>
      <c r="H106" t="n">
        <v>0</v>
      </c>
      <c r="I106" t="n">
        <v>0</v>
      </c>
      <c r="J106" t="n">
        <v>0</v>
      </c>
      <c r="K106" t="n">
        <v>0</v>
      </c>
      <c r="L106" t="n">
        <v>0</v>
      </c>
      <c r="M106" t="n">
        <v>0</v>
      </c>
      <c r="N106" t="n">
        <v>0</v>
      </c>
      <c r="O106" t="n">
        <v>0</v>
      </c>
      <c r="P106" t="n">
        <v>0</v>
      </c>
      <c r="Q106" t="n">
        <v>0</v>
      </c>
      <c r="R106" s="2" t="inlineStr"/>
    </row>
    <row r="107" ht="15" customHeight="1">
      <c r="A107" t="inlineStr">
        <is>
          <t>A 38692-2019</t>
        </is>
      </c>
      <c r="B107" s="1" t="n">
        <v>43684</v>
      </c>
      <c r="C107" s="1" t="n">
        <v>45711</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39268-2019</t>
        </is>
      </c>
      <c r="B108" s="1" t="n">
        <v>43690</v>
      </c>
      <c r="C108" s="1" t="n">
        <v>45711</v>
      </c>
      <c r="D108" t="inlineStr">
        <is>
          <t>NORRBOTTENS LÄN</t>
        </is>
      </c>
      <c r="E108" t="inlineStr">
        <is>
          <t>PAJALA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39246-2019</t>
        </is>
      </c>
      <c r="B109" s="1" t="n">
        <v>43690</v>
      </c>
      <c r="C109" s="1" t="n">
        <v>45711</v>
      </c>
      <c r="D109" t="inlineStr">
        <is>
          <t>NORRBOTTENS LÄN</t>
        </is>
      </c>
      <c r="E109" t="inlineStr">
        <is>
          <t>PAJALA</t>
        </is>
      </c>
      <c r="F109" t="inlineStr">
        <is>
          <t>Sveaskog</t>
        </is>
      </c>
      <c r="G109" t="n">
        <v>13.2</v>
      </c>
      <c r="H109" t="n">
        <v>0</v>
      </c>
      <c r="I109" t="n">
        <v>0</v>
      </c>
      <c r="J109" t="n">
        <v>0</v>
      </c>
      <c r="K109" t="n">
        <v>0</v>
      </c>
      <c r="L109" t="n">
        <v>0</v>
      </c>
      <c r="M109" t="n">
        <v>0</v>
      </c>
      <c r="N109" t="n">
        <v>0</v>
      </c>
      <c r="O109" t="n">
        <v>0</v>
      </c>
      <c r="P109" t="n">
        <v>0</v>
      </c>
      <c r="Q109" t="n">
        <v>0</v>
      </c>
      <c r="R109" s="2" t="inlineStr"/>
    </row>
    <row r="110" ht="15" customHeight="1">
      <c r="A110" t="inlineStr">
        <is>
          <t>A 39859-2019</t>
        </is>
      </c>
      <c r="B110" s="1" t="n">
        <v>43692</v>
      </c>
      <c r="C110" s="1" t="n">
        <v>45711</v>
      </c>
      <c r="D110" t="inlineStr">
        <is>
          <t>NORRBOTTENS LÄN</t>
        </is>
      </c>
      <c r="E110" t="inlineStr">
        <is>
          <t>PAJALA</t>
        </is>
      </c>
      <c r="F110" t="inlineStr">
        <is>
          <t>Sveaskog</t>
        </is>
      </c>
      <c r="G110" t="n">
        <v>6</v>
      </c>
      <c r="H110" t="n">
        <v>0</v>
      </c>
      <c r="I110" t="n">
        <v>0</v>
      </c>
      <c r="J110" t="n">
        <v>0</v>
      </c>
      <c r="K110" t="n">
        <v>0</v>
      </c>
      <c r="L110" t="n">
        <v>0</v>
      </c>
      <c r="M110" t="n">
        <v>0</v>
      </c>
      <c r="N110" t="n">
        <v>0</v>
      </c>
      <c r="O110" t="n">
        <v>0</v>
      </c>
      <c r="P110" t="n">
        <v>0</v>
      </c>
      <c r="Q110" t="n">
        <v>0</v>
      </c>
      <c r="R110" s="2" t="inlineStr"/>
    </row>
    <row r="111" ht="15" customHeight="1">
      <c r="A111" t="inlineStr">
        <is>
          <t>A 39863-2019</t>
        </is>
      </c>
      <c r="B111" s="1" t="n">
        <v>43692</v>
      </c>
      <c r="C111" s="1" t="n">
        <v>45711</v>
      </c>
      <c r="D111" t="inlineStr">
        <is>
          <t>NORRBOTTENS LÄN</t>
        </is>
      </c>
      <c r="E111" t="inlineStr">
        <is>
          <t>PAJALA</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41315-2019</t>
        </is>
      </c>
      <c r="B112" s="1" t="n">
        <v>43696</v>
      </c>
      <c r="C112" s="1" t="n">
        <v>45711</v>
      </c>
      <c r="D112" t="inlineStr">
        <is>
          <t>NORRBOTTENS LÄN</t>
        </is>
      </c>
      <c r="E112" t="inlineStr">
        <is>
          <t>PAJALA</t>
        </is>
      </c>
      <c r="G112" t="n">
        <v>7</v>
      </c>
      <c r="H112" t="n">
        <v>0</v>
      </c>
      <c r="I112" t="n">
        <v>0</v>
      </c>
      <c r="J112" t="n">
        <v>0</v>
      </c>
      <c r="K112" t="n">
        <v>0</v>
      </c>
      <c r="L112" t="n">
        <v>0</v>
      </c>
      <c r="M112" t="n">
        <v>0</v>
      </c>
      <c r="N112" t="n">
        <v>0</v>
      </c>
      <c r="O112" t="n">
        <v>0</v>
      </c>
      <c r="P112" t="n">
        <v>0</v>
      </c>
      <c r="Q112" t="n">
        <v>0</v>
      </c>
      <c r="R112" s="2" t="inlineStr"/>
    </row>
    <row r="113" ht="15" customHeight="1">
      <c r="A113" t="inlineStr">
        <is>
          <t>A 41424-2019</t>
        </is>
      </c>
      <c r="B113" s="1" t="n">
        <v>43698</v>
      </c>
      <c r="C113" s="1" t="n">
        <v>45711</v>
      </c>
      <c r="D113" t="inlineStr">
        <is>
          <t>NORRBOTTENS LÄN</t>
        </is>
      </c>
      <c r="E113" t="inlineStr">
        <is>
          <t>PAJALA</t>
        </is>
      </c>
      <c r="G113" t="n">
        <v>1.6</v>
      </c>
      <c r="H113" t="n">
        <v>0</v>
      </c>
      <c r="I113" t="n">
        <v>0</v>
      </c>
      <c r="J113" t="n">
        <v>0</v>
      </c>
      <c r="K113" t="n">
        <v>0</v>
      </c>
      <c r="L113" t="n">
        <v>0</v>
      </c>
      <c r="M113" t="n">
        <v>0</v>
      </c>
      <c r="N113" t="n">
        <v>0</v>
      </c>
      <c r="O113" t="n">
        <v>0</v>
      </c>
      <c r="P113" t="n">
        <v>0</v>
      </c>
      <c r="Q113" t="n">
        <v>0</v>
      </c>
      <c r="R113" s="2" t="inlineStr"/>
    </row>
    <row r="114" ht="15" customHeight="1">
      <c r="A114" t="inlineStr">
        <is>
          <t>A 41426-2019</t>
        </is>
      </c>
      <c r="B114" s="1" t="n">
        <v>43698</v>
      </c>
      <c r="C114" s="1" t="n">
        <v>45711</v>
      </c>
      <c r="D114" t="inlineStr">
        <is>
          <t>NORRBOTTENS LÄN</t>
        </is>
      </c>
      <c r="E114" t="inlineStr">
        <is>
          <t>PAJALA</t>
        </is>
      </c>
      <c r="G114" t="n">
        <v>1.8</v>
      </c>
      <c r="H114" t="n">
        <v>0</v>
      </c>
      <c r="I114" t="n">
        <v>0</v>
      </c>
      <c r="J114" t="n">
        <v>0</v>
      </c>
      <c r="K114" t="n">
        <v>0</v>
      </c>
      <c r="L114" t="n">
        <v>0</v>
      </c>
      <c r="M114" t="n">
        <v>0</v>
      </c>
      <c r="N114" t="n">
        <v>0</v>
      </c>
      <c r="O114" t="n">
        <v>0</v>
      </c>
      <c r="P114" t="n">
        <v>0</v>
      </c>
      <c r="Q114" t="n">
        <v>0</v>
      </c>
      <c r="R114" s="2" t="inlineStr"/>
    </row>
    <row r="115" ht="15" customHeight="1">
      <c r="A115" t="inlineStr">
        <is>
          <t>A 41427-2019</t>
        </is>
      </c>
      <c r="B115" s="1" t="n">
        <v>43698</v>
      </c>
      <c r="C115" s="1" t="n">
        <v>45711</v>
      </c>
      <c r="D115" t="inlineStr">
        <is>
          <t>NORRBOTTENS LÄN</t>
        </is>
      </c>
      <c r="E115" t="inlineStr">
        <is>
          <t>PAJALA</t>
        </is>
      </c>
      <c r="G115" t="n">
        <v>5.8</v>
      </c>
      <c r="H115" t="n">
        <v>0</v>
      </c>
      <c r="I115" t="n">
        <v>0</v>
      </c>
      <c r="J115" t="n">
        <v>0</v>
      </c>
      <c r="K115" t="n">
        <v>0</v>
      </c>
      <c r="L115" t="n">
        <v>0</v>
      </c>
      <c r="M115" t="n">
        <v>0</v>
      </c>
      <c r="N115" t="n">
        <v>0</v>
      </c>
      <c r="O115" t="n">
        <v>0</v>
      </c>
      <c r="P115" t="n">
        <v>0</v>
      </c>
      <c r="Q115" t="n">
        <v>0</v>
      </c>
      <c r="R115" s="2" t="inlineStr"/>
    </row>
    <row r="116" ht="15" customHeight="1">
      <c r="A116" t="inlineStr">
        <is>
          <t>A 42199-2019</t>
        </is>
      </c>
      <c r="B116" s="1" t="n">
        <v>43698</v>
      </c>
      <c r="C116" s="1" t="n">
        <v>45711</v>
      </c>
      <c r="D116" t="inlineStr">
        <is>
          <t>NORRBOTTENS LÄN</t>
        </is>
      </c>
      <c r="E116" t="inlineStr">
        <is>
          <t>PAJALA</t>
        </is>
      </c>
      <c r="G116" t="n">
        <v>2.1</v>
      </c>
      <c r="H116" t="n">
        <v>0</v>
      </c>
      <c r="I116" t="n">
        <v>0</v>
      </c>
      <c r="J116" t="n">
        <v>0</v>
      </c>
      <c r="K116" t="n">
        <v>0</v>
      </c>
      <c r="L116" t="n">
        <v>0</v>
      </c>
      <c r="M116" t="n">
        <v>0</v>
      </c>
      <c r="N116" t="n">
        <v>0</v>
      </c>
      <c r="O116" t="n">
        <v>0</v>
      </c>
      <c r="P116" t="n">
        <v>0</v>
      </c>
      <c r="Q116" t="n">
        <v>0</v>
      </c>
      <c r="R116" s="2" t="inlineStr"/>
    </row>
    <row r="117" ht="15" customHeight="1">
      <c r="A117" t="inlineStr">
        <is>
          <t>A 41791-2019</t>
        </is>
      </c>
      <c r="B117" s="1" t="n">
        <v>43699</v>
      </c>
      <c r="C117" s="1" t="n">
        <v>45711</v>
      </c>
      <c r="D117" t="inlineStr">
        <is>
          <t>NORRBOTTENS LÄN</t>
        </is>
      </c>
      <c r="E117" t="inlineStr">
        <is>
          <t>PAJALA</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41795-2019</t>
        </is>
      </c>
      <c r="B118" s="1" t="n">
        <v>43699</v>
      </c>
      <c r="C118" s="1" t="n">
        <v>45711</v>
      </c>
      <c r="D118" t="inlineStr">
        <is>
          <t>NORRBOTTENS LÄN</t>
        </is>
      </c>
      <c r="E118" t="inlineStr">
        <is>
          <t>PAJALA</t>
        </is>
      </c>
      <c r="F118" t="inlineStr">
        <is>
          <t>SCA</t>
        </is>
      </c>
      <c r="G118" t="n">
        <v>25.4</v>
      </c>
      <c r="H118" t="n">
        <v>0</v>
      </c>
      <c r="I118" t="n">
        <v>0</v>
      </c>
      <c r="J118" t="n">
        <v>0</v>
      </c>
      <c r="K118" t="n">
        <v>0</v>
      </c>
      <c r="L118" t="n">
        <v>0</v>
      </c>
      <c r="M118" t="n">
        <v>0</v>
      </c>
      <c r="N118" t="n">
        <v>0</v>
      </c>
      <c r="O118" t="n">
        <v>0</v>
      </c>
      <c r="P118" t="n">
        <v>0</v>
      </c>
      <c r="Q118" t="n">
        <v>0</v>
      </c>
      <c r="R118" s="2" t="inlineStr"/>
    </row>
    <row r="119" ht="15" customHeight="1">
      <c r="A119" t="inlineStr">
        <is>
          <t>A 41794-2019</t>
        </is>
      </c>
      <c r="B119" s="1" t="n">
        <v>43699</v>
      </c>
      <c r="C119" s="1" t="n">
        <v>45711</v>
      </c>
      <c r="D119" t="inlineStr">
        <is>
          <t>NORRBOTTENS LÄN</t>
        </is>
      </c>
      <c r="E119" t="inlineStr">
        <is>
          <t>PAJALA</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41792-2019</t>
        </is>
      </c>
      <c r="B120" s="1" t="n">
        <v>43699</v>
      </c>
      <c r="C120" s="1" t="n">
        <v>45711</v>
      </c>
      <c r="D120" t="inlineStr">
        <is>
          <t>NORRBOTTENS LÄN</t>
        </is>
      </c>
      <c r="E120" t="inlineStr">
        <is>
          <t>PAJALA</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42538-2019</t>
        </is>
      </c>
      <c r="B121" s="1" t="n">
        <v>43699</v>
      </c>
      <c r="C121" s="1" t="n">
        <v>45711</v>
      </c>
      <c r="D121" t="inlineStr">
        <is>
          <t>NORRBOTTENS LÄN</t>
        </is>
      </c>
      <c r="E121" t="inlineStr">
        <is>
          <t>PAJALA</t>
        </is>
      </c>
      <c r="G121" t="n">
        <v>37.9</v>
      </c>
      <c r="H121" t="n">
        <v>0</v>
      </c>
      <c r="I121" t="n">
        <v>0</v>
      </c>
      <c r="J121" t="n">
        <v>0</v>
      </c>
      <c r="K121" t="n">
        <v>0</v>
      </c>
      <c r="L121" t="n">
        <v>0</v>
      </c>
      <c r="M121" t="n">
        <v>0</v>
      </c>
      <c r="N121" t="n">
        <v>0</v>
      </c>
      <c r="O121" t="n">
        <v>0</v>
      </c>
      <c r="P121" t="n">
        <v>0</v>
      </c>
      <c r="Q121" t="n">
        <v>0</v>
      </c>
      <c r="R121" s="2" t="inlineStr"/>
    </row>
    <row r="122" ht="15" customHeight="1">
      <c r="A122" t="inlineStr">
        <is>
          <t>A 41793-2019</t>
        </is>
      </c>
      <c r="B122" s="1" t="n">
        <v>43699</v>
      </c>
      <c r="C122" s="1" t="n">
        <v>45711</v>
      </c>
      <c r="D122" t="inlineStr">
        <is>
          <t>NORRBOTTENS LÄN</t>
        </is>
      </c>
      <c r="E122" t="inlineStr">
        <is>
          <t>PAJALA</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45058-2019</t>
        </is>
      </c>
      <c r="B123" s="1" t="n">
        <v>43707</v>
      </c>
      <c r="C123" s="1" t="n">
        <v>45711</v>
      </c>
      <c r="D123" t="inlineStr">
        <is>
          <t>NORRBOTTENS LÄN</t>
        </is>
      </c>
      <c r="E123" t="inlineStr">
        <is>
          <t>PAJALA</t>
        </is>
      </c>
      <c r="G123" t="n">
        <v>10.4</v>
      </c>
      <c r="H123" t="n">
        <v>0</v>
      </c>
      <c r="I123" t="n">
        <v>0</v>
      </c>
      <c r="J123" t="n">
        <v>0</v>
      </c>
      <c r="K123" t="n">
        <v>0</v>
      </c>
      <c r="L123" t="n">
        <v>0</v>
      </c>
      <c r="M123" t="n">
        <v>0</v>
      </c>
      <c r="N123" t="n">
        <v>0</v>
      </c>
      <c r="O123" t="n">
        <v>0</v>
      </c>
      <c r="P123" t="n">
        <v>0</v>
      </c>
      <c r="Q123" t="n">
        <v>0</v>
      </c>
      <c r="R123" s="2" t="inlineStr"/>
    </row>
    <row r="124" ht="15" customHeight="1">
      <c r="A124" t="inlineStr">
        <is>
          <t>A 44802-2019</t>
        </is>
      </c>
      <c r="B124" s="1" t="n">
        <v>43707</v>
      </c>
      <c r="C124" s="1" t="n">
        <v>45711</v>
      </c>
      <c r="D124" t="inlineStr">
        <is>
          <t>NORRBOTTENS LÄN</t>
        </is>
      </c>
      <c r="E124" t="inlineStr">
        <is>
          <t>PAJALA</t>
        </is>
      </c>
      <c r="G124" t="n">
        <v>54</v>
      </c>
      <c r="H124" t="n">
        <v>0</v>
      </c>
      <c r="I124" t="n">
        <v>0</v>
      </c>
      <c r="J124" t="n">
        <v>0</v>
      </c>
      <c r="K124" t="n">
        <v>0</v>
      </c>
      <c r="L124" t="n">
        <v>0</v>
      </c>
      <c r="M124" t="n">
        <v>0</v>
      </c>
      <c r="N124" t="n">
        <v>0</v>
      </c>
      <c r="O124" t="n">
        <v>0</v>
      </c>
      <c r="P124" t="n">
        <v>0</v>
      </c>
      <c r="Q124" t="n">
        <v>0</v>
      </c>
      <c r="R124" s="2" t="inlineStr"/>
    </row>
    <row r="125" ht="15" customHeight="1">
      <c r="A125" t="inlineStr">
        <is>
          <t>A 44186-2019</t>
        </is>
      </c>
      <c r="B125" s="1" t="n">
        <v>43710</v>
      </c>
      <c r="C125" s="1" t="n">
        <v>45711</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44195-2019</t>
        </is>
      </c>
      <c r="B126" s="1" t="n">
        <v>43710</v>
      </c>
      <c r="C126" s="1" t="n">
        <v>45711</v>
      </c>
      <c r="D126" t="inlineStr">
        <is>
          <t>NORRBOTTENS LÄN</t>
        </is>
      </c>
      <c r="E126" t="inlineStr">
        <is>
          <t>PAJALA</t>
        </is>
      </c>
      <c r="F126" t="inlineStr">
        <is>
          <t>Sveaskog</t>
        </is>
      </c>
      <c r="G126" t="n">
        <v>28.9</v>
      </c>
      <c r="H126" t="n">
        <v>0</v>
      </c>
      <c r="I126" t="n">
        <v>0</v>
      </c>
      <c r="J126" t="n">
        <v>0</v>
      </c>
      <c r="K126" t="n">
        <v>0</v>
      </c>
      <c r="L126" t="n">
        <v>0</v>
      </c>
      <c r="M126" t="n">
        <v>0</v>
      </c>
      <c r="N126" t="n">
        <v>0</v>
      </c>
      <c r="O126" t="n">
        <v>0</v>
      </c>
      <c r="P126" t="n">
        <v>0</v>
      </c>
      <c r="Q126" t="n">
        <v>0</v>
      </c>
      <c r="R126" s="2" t="inlineStr"/>
    </row>
    <row r="127" ht="15" customHeight="1">
      <c r="A127" t="inlineStr">
        <is>
          <t>A 44483-2019</t>
        </is>
      </c>
      <c r="B127" s="1" t="n">
        <v>43711</v>
      </c>
      <c r="C127" s="1" t="n">
        <v>45711</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45857-2019</t>
        </is>
      </c>
      <c r="B128" s="1" t="n">
        <v>43712</v>
      </c>
      <c r="C128" s="1" t="n">
        <v>45711</v>
      </c>
      <c r="D128" t="inlineStr">
        <is>
          <t>NORRBOTTENS LÄN</t>
        </is>
      </c>
      <c r="E128" t="inlineStr">
        <is>
          <t>PAJALA</t>
        </is>
      </c>
      <c r="G128" t="n">
        <v>14.5</v>
      </c>
      <c r="H128" t="n">
        <v>0</v>
      </c>
      <c r="I128" t="n">
        <v>0</v>
      </c>
      <c r="J128" t="n">
        <v>0</v>
      </c>
      <c r="K128" t="n">
        <v>0</v>
      </c>
      <c r="L128" t="n">
        <v>0</v>
      </c>
      <c r="M128" t="n">
        <v>0</v>
      </c>
      <c r="N128" t="n">
        <v>0</v>
      </c>
      <c r="O128" t="n">
        <v>0</v>
      </c>
      <c r="P128" t="n">
        <v>0</v>
      </c>
      <c r="Q128" t="n">
        <v>0</v>
      </c>
      <c r="R128" s="2" t="inlineStr"/>
    </row>
    <row r="129" ht="15" customHeight="1">
      <c r="A129" t="inlineStr">
        <is>
          <t>A 45630-2019</t>
        </is>
      </c>
      <c r="B129" s="1" t="n">
        <v>43717</v>
      </c>
      <c r="C129" s="1" t="n">
        <v>45711</v>
      </c>
      <c r="D129" t="inlineStr">
        <is>
          <t>NORRBOTTENS LÄN</t>
        </is>
      </c>
      <c r="E129" t="inlineStr">
        <is>
          <t>PAJALA</t>
        </is>
      </c>
      <c r="G129" t="n">
        <v>64</v>
      </c>
      <c r="H129" t="n">
        <v>0</v>
      </c>
      <c r="I129" t="n">
        <v>0</v>
      </c>
      <c r="J129" t="n">
        <v>0</v>
      </c>
      <c r="K129" t="n">
        <v>0</v>
      </c>
      <c r="L129" t="n">
        <v>0</v>
      </c>
      <c r="M129" t="n">
        <v>0</v>
      </c>
      <c r="N129" t="n">
        <v>0</v>
      </c>
      <c r="O129" t="n">
        <v>0</v>
      </c>
      <c r="P129" t="n">
        <v>0</v>
      </c>
      <c r="Q129" t="n">
        <v>0</v>
      </c>
      <c r="R129" s="2" t="inlineStr"/>
    </row>
    <row r="130" ht="15" customHeight="1">
      <c r="A130" t="inlineStr">
        <is>
          <t>A 47912-2019</t>
        </is>
      </c>
      <c r="B130" s="1" t="n">
        <v>43725</v>
      </c>
      <c r="C130" s="1" t="n">
        <v>45711</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49087-2019</t>
        </is>
      </c>
      <c r="B131" s="1" t="n">
        <v>43727</v>
      </c>
      <c r="C131" s="1" t="n">
        <v>45711</v>
      </c>
      <c r="D131" t="inlineStr">
        <is>
          <t>NORRBOTTENS LÄN</t>
        </is>
      </c>
      <c r="E131" t="inlineStr">
        <is>
          <t>PAJALA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50082-2019</t>
        </is>
      </c>
      <c r="B132" s="1" t="n">
        <v>43734</v>
      </c>
      <c r="C132" s="1" t="n">
        <v>45711</v>
      </c>
      <c r="D132" t="inlineStr">
        <is>
          <t>NORRBOTTENS LÄN</t>
        </is>
      </c>
      <c r="E132" t="inlineStr">
        <is>
          <t>PAJALA</t>
        </is>
      </c>
      <c r="G132" t="n">
        <v>2.7</v>
      </c>
      <c r="H132" t="n">
        <v>0</v>
      </c>
      <c r="I132" t="n">
        <v>0</v>
      </c>
      <c r="J132" t="n">
        <v>0</v>
      </c>
      <c r="K132" t="n">
        <v>0</v>
      </c>
      <c r="L132" t="n">
        <v>0</v>
      </c>
      <c r="M132" t="n">
        <v>0</v>
      </c>
      <c r="N132" t="n">
        <v>0</v>
      </c>
      <c r="O132" t="n">
        <v>0</v>
      </c>
      <c r="P132" t="n">
        <v>0</v>
      </c>
      <c r="Q132" t="n">
        <v>0</v>
      </c>
      <c r="R132" s="2" t="inlineStr"/>
    </row>
    <row r="133" ht="15" customHeight="1">
      <c r="A133" t="inlineStr">
        <is>
          <t>A 51232-2019</t>
        </is>
      </c>
      <c r="B133" s="1" t="n">
        <v>43739</v>
      </c>
      <c r="C133" s="1" t="n">
        <v>45711</v>
      </c>
      <c r="D133" t="inlineStr">
        <is>
          <t>NORRBOTTENS LÄN</t>
        </is>
      </c>
      <c r="E133" t="inlineStr">
        <is>
          <t>PAJALA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53708-2019</t>
        </is>
      </c>
      <c r="B134" s="1" t="n">
        <v>43749</v>
      </c>
      <c r="C134" s="1" t="n">
        <v>45711</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53827-2019</t>
        </is>
      </c>
      <c r="B135" s="1" t="n">
        <v>43752</v>
      </c>
      <c r="C135" s="1" t="n">
        <v>45711</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53835-2019</t>
        </is>
      </c>
      <c r="B136" s="1" t="n">
        <v>43752</v>
      </c>
      <c r="C136" s="1" t="n">
        <v>45711</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53834-2019</t>
        </is>
      </c>
      <c r="B137" s="1" t="n">
        <v>43752</v>
      </c>
      <c r="C137" s="1" t="n">
        <v>45711</v>
      </c>
      <c r="D137" t="inlineStr">
        <is>
          <t>NORRBOTTENS LÄN</t>
        </is>
      </c>
      <c r="E137" t="inlineStr">
        <is>
          <t>PAJALA</t>
        </is>
      </c>
      <c r="G137" t="n">
        <v>3.4</v>
      </c>
      <c r="H137" t="n">
        <v>0</v>
      </c>
      <c r="I137" t="n">
        <v>0</v>
      </c>
      <c r="J137" t="n">
        <v>0</v>
      </c>
      <c r="K137" t="n">
        <v>0</v>
      </c>
      <c r="L137" t="n">
        <v>0</v>
      </c>
      <c r="M137" t="n">
        <v>0</v>
      </c>
      <c r="N137" t="n">
        <v>0</v>
      </c>
      <c r="O137" t="n">
        <v>0</v>
      </c>
      <c r="P137" t="n">
        <v>0</v>
      </c>
      <c r="Q137" t="n">
        <v>0</v>
      </c>
      <c r="R137" s="2" t="inlineStr"/>
    </row>
    <row r="138" ht="15" customHeight="1">
      <c r="A138" t="inlineStr">
        <is>
          <t>A 53825-2019</t>
        </is>
      </c>
      <c r="B138" s="1" t="n">
        <v>43752</v>
      </c>
      <c r="C138" s="1" t="n">
        <v>45711</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53831-2019</t>
        </is>
      </c>
      <c r="B139" s="1" t="n">
        <v>43752</v>
      </c>
      <c r="C139" s="1" t="n">
        <v>45711</v>
      </c>
      <c r="D139" t="inlineStr">
        <is>
          <t>NORRBOTTENS LÄN</t>
        </is>
      </c>
      <c r="E139" t="inlineStr">
        <is>
          <t>PAJALA</t>
        </is>
      </c>
      <c r="G139" t="n">
        <v>1.7</v>
      </c>
      <c r="H139" t="n">
        <v>0</v>
      </c>
      <c r="I139" t="n">
        <v>0</v>
      </c>
      <c r="J139" t="n">
        <v>0</v>
      </c>
      <c r="K139" t="n">
        <v>0</v>
      </c>
      <c r="L139" t="n">
        <v>0</v>
      </c>
      <c r="M139" t="n">
        <v>0</v>
      </c>
      <c r="N139" t="n">
        <v>0</v>
      </c>
      <c r="O139" t="n">
        <v>0</v>
      </c>
      <c r="P139" t="n">
        <v>0</v>
      </c>
      <c r="Q139" t="n">
        <v>0</v>
      </c>
      <c r="R139" s="2" t="inlineStr"/>
    </row>
    <row r="140" ht="15" customHeight="1">
      <c r="A140" t="inlineStr">
        <is>
          <t>A 53950-2019</t>
        </is>
      </c>
      <c r="B140" s="1" t="n">
        <v>43752</v>
      </c>
      <c r="C140" s="1" t="n">
        <v>45711</v>
      </c>
      <c r="D140" t="inlineStr">
        <is>
          <t>NORRBOTTENS LÄN</t>
        </is>
      </c>
      <c r="E140" t="inlineStr">
        <is>
          <t>PAJALA</t>
        </is>
      </c>
      <c r="G140" t="n">
        <v>13.3</v>
      </c>
      <c r="H140" t="n">
        <v>0</v>
      </c>
      <c r="I140" t="n">
        <v>0</v>
      </c>
      <c r="J140" t="n">
        <v>0</v>
      </c>
      <c r="K140" t="n">
        <v>0</v>
      </c>
      <c r="L140" t="n">
        <v>0</v>
      </c>
      <c r="M140" t="n">
        <v>0</v>
      </c>
      <c r="N140" t="n">
        <v>0</v>
      </c>
      <c r="O140" t="n">
        <v>0</v>
      </c>
      <c r="P140" t="n">
        <v>0</v>
      </c>
      <c r="Q140" t="n">
        <v>0</v>
      </c>
      <c r="R140" s="2" t="inlineStr"/>
    </row>
    <row r="141" ht="15" customHeight="1">
      <c r="A141" t="inlineStr">
        <is>
          <t>A 53822-2019</t>
        </is>
      </c>
      <c r="B141" s="1" t="n">
        <v>43752</v>
      </c>
      <c r="C141" s="1" t="n">
        <v>45711</v>
      </c>
      <c r="D141" t="inlineStr">
        <is>
          <t>NORRBOTTENS LÄN</t>
        </is>
      </c>
      <c r="E141" t="inlineStr">
        <is>
          <t>PAJALA</t>
        </is>
      </c>
      <c r="G141" t="n">
        <v>4.9</v>
      </c>
      <c r="H141" t="n">
        <v>0</v>
      </c>
      <c r="I141" t="n">
        <v>0</v>
      </c>
      <c r="J141" t="n">
        <v>0</v>
      </c>
      <c r="K141" t="n">
        <v>0</v>
      </c>
      <c r="L141" t="n">
        <v>0</v>
      </c>
      <c r="M141" t="n">
        <v>0</v>
      </c>
      <c r="N141" t="n">
        <v>0</v>
      </c>
      <c r="O141" t="n">
        <v>0</v>
      </c>
      <c r="P141" t="n">
        <v>0</v>
      </c>
      <c r="Q141" t="n">
        <v>0</v>
      </c>
      <c r="R141" s="2" t="inlineStr"/>
    </row>
    <row r="142" ht="15" customHeight="1">
      <c r="A142" t="inlineStr">
        <is>
          <t>A 55321-2019</t>
        </is>
      </c>
      <c r="B142" s="1" t="n">
        <v>43756</v>
      </c>
      <c r="C142" s="1" t="n">
        <v>45711</v>
      </c>
      <c r="D142" t="inlineStr">
        <is>
          <t>NORRBOTTENS LÄN</t>
        </is>
      </c>
      <c r="E142" t="inlineStr">
        <is>
          <t>PAJALA</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56338-2019</t>
        </is>
      </c>
      <c r="B143" s="1" t="n">
        <v>43762</v>
      </c>
      <c r="C143" s="1" t="n">
        <v>45711</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57910-2019</t>
        </is>
      </c>
      <c r="B144" s="1" t="n">
        <v>43762</v>
      </c>
      <c r="C144" s="1" t="n">
        <v>45711</v>
      </c>
      <c r="D144" t="inlineStr">
        <is>
          <t>NORRBOTTENS LÄN</t>
        </is>
      </c>
      <c r="E144" t="inlineStr">
        <is>
          <t>PAJALA</t>
        </is>
      </c>
      <c r="G144" t="n">
        <v>8.4</v>
      </c>
      <c r="H144" t="n">
        <v>0</v>
      </c>
      <c r="I144" t="n">
        <v>0</v>
      </c>
      <c r="J144" t="n">
        <v>0</v>
      </c>
      <c r="K144" t="n">
        <v>0</v>
      </c>
      <c r="L144" t="n">
        <v>0</v>
      </c>
      <c r="M144" t="n">
        <v>0</v>
      </c>
      <c r="N144" t="n">
        <v>0</v>
      </c>
      <c r="O144" t="n">
        <v>0</v>
      </c>
      <c r="P144" t="n">
        <v>0</v>
      </c>
      <c r="Q144" t="n">
        <v>0</v>
      </c>
      <c r="R144" s="2" t="inlineStr"/>
    </row>
    <row r="145" ht="15" customHeight="1">
      <c r="A145" t="inlineStr">
        <is>
          <t>A 56591-2019</t>
        </is>
      </c>
      <c r="B145" s="1" t="n">
        <v>43763</v>
      </c>
      <c r="C145" s="1" t="n">
        <v>45711</v>
      </c>
      <c r="D145" t="inlineStr">
        <is>
          <t>NORRBOTTENS LÄN</t>
        </is>
      </c>
      <c r="E145" t="inlineStr">
        <is>
          <t>PAJALA</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56593-2019</t>
        </is>
      </c>
      <c r="B146" s="1" t="n">
        <v>43763</v>
      </c>
      <c r="C146" s="1" t="n">
        <v>45711</v>
      </c>
      <c r="D146" t="inlineStr">
        <is>
          <t>NORRBOTTENS LÄN</t>
        </is>
      </c>
      <c r="E146" t="inlineStr">
        <is>
          <t>PAJALA</t>
        </is>
      </c>
      <c r="F146" t="inlineStr">
        <is>
          <t>Sveaskog</t>
        </is>
      </c>
      <c r="G146" t="n">
        <v>14.3</v>
      </c>
      <c r="H146" t="n">
        <v>0</v>
      </c>
      <c r="I146" t="n">
        <v>0</v>
      </c>
      <c r="J146" t="n">
        <v>0</v>
      </c>
      <c r="K146" t="n">
        <v>0</v>
      </c>
      <c r="L146" t="n">
        <v>0</v>
      </c>
      <c r="M146" t="n">
        <v>0</v>
      </c>
      <c r="N146" t="n">
        <v>0</v>
      </c>
      <c r="O146" t="n">
        <v>0</v>
      </c>
      <c r="P146" t="n">
        <v>0</v>
      </c>
      <c r="Q146" t="n">
        <v>0</v>
      </c>
      <c r="R146" s="2" t="inlineStr"/>
    </row>
    <row r="147" ht="15" customHeight="1">
      <c r="A147" t="inlineStr">
        <is>
          <t>A 56619-2019</t>
        </is>
      </c>
      <c r="B147" s="1" t="n">
        <v>43763</v>
      </c>
      <c r="C147" s="1" t="n">
        <v>45711</v>
      </c>
      <c r="D147" t="inlineStr">
        <is>
          <t>NORRBOTTENS LÄN</t>
        </is>
      </c>
      <c r="E147" t="inlineStr">
        <is>
          <t>PAJALA</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56615-2019</t>
        </is>
      </c>
      <c r="B148" s="1" t="n">
        <v>43763</v>
      </c>
      <c r="C148" s="1" t="n">
        <v>45711</v>
      </c>
      <c r="D148" t="inlineStr">
        <is>
          <t>NORRBOTTENS LÄN</t>
        </is>
      </c>
      <c r="E148" t="inlineStr">
        <is>
          <t>PAJALA</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57580-2019</t>
        </is>
      </c>
      <c r="B149" s="1" t="n">
        <v>43768</v>
      </c>
      <c r="C149" s="1" t="n">
        <v>45711</v>
      </c>
      <c r="D149" t="inlineStr">
        <is>
          <t>NORRBOTTENS LÄN</t>
        </is>
      </c>
      <c r="E149" t="inlineStr">
        <is>
          <t>PAJALA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57622-2019</t>
        </is>
      </c>
      <c r="B150" s="1" t="n">
        <v>43768</v>
      </c>
      <c r="C150" s="1" t="n">
        <v>45711</v>
      </c>
      <c r="D150" t="inlineStr">
        <is>
          <t>NORRBOTTENS LÄN</t>
        </is>
      </c>
      <c r="E150" t="inlineStr">
        <is>
          <t>PAJALA</t>
        </is>
      </c>
      <c r="F150" t="inlineStr">
        <is>
          <t>Sveaskog</t>
        </is>
      </c>
      <c r="G150" t="n">
        <v>8.9</v>
      </c>
      <c r="H150" t="n">
        <v>0</v>
      </c>
      <c r="I150" t="n">
        <v>0</v>
      </c>
      <c r="J150" t="n">
        <v>0</v>
      </c>
      <c r="K150" t="n">
        <v>0</v>
      </c>
      <c r="L150" t="n">
        <v>0</v>
      </c>
      <c r="M150" t="n">
        <v>0</v>
      </c>
      <c r="N150" t="n">
        <v>0</v>
      </c>
      <c r="O150" t="n">
        <v>0</v>
      </c>
      <c r="P150" t="n">
        <v>0</v>
      </c>
      <c r="Q150" t="n">
        <v>0</v>
      </c>
      <c r="R150" s="2" t="inlineStr"/>
    </row>
    <row r="151" ht="15" customHeight="1">
      <c r="A151" t="inlineStr">
        <is>
          <t>A 57574-2019</t>
        </is>
      </c>
      <c r="B151" s="1" t="n">
        <v>43768</v>
      </c>
      <c r="C151" s="1" t="n">
        <v>45711</v>
      </c>
      <c r="D151" t="inlineStr">
        <is>
          <t>NORRBOTTENS LÄN</t>
        </is>
      </c>
      <c r="E151" t="inlineStr">
        <is>
          <t>PAJALA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58313-2019</t>
        </is>
      </c>
      <c r="B152" s="1" t="n">
        <v>43770</v>
      </c>
      <c r="C152" s="1" t="n">
        <v>45711</v>
      </c>
      <c r="D152" t="inlineStr">
        <is>
          <t>NORRBOTTENS LÄN</t>
        </is>
      </c>
      <c r="E152" t="inlineStr">
        <is>
          <t>PAJALA</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58584-2019</t>
        </is>
      </c>
      <c r="B153" s="1" t="n">
        <v>43773</v>
      </c>
      <c r="C153" s="1" t="n">
        <v>45711</v>
      </c>
      <c r="D153" t="inlineStr">
        <is>
          <t>NORRBOTTENS LÄN</t>
        </is>
      </c>
      <c r="E153" t="inlineStr">
        <is>
          <t>PAJALA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58494-2019</t>
        </is>
      </c>
      <c r="B154" s="1" t="n">
        <v>43773</v>
      </c>
      <c r="C154" s="1" t="n">
        <v>45711</v>
      </c>
      <c r="D154" t="inlineStr">
        <is>
          <t>NORRBOTTENS LÄN</t>
        </is>
      </c>
      <c r="E154" t="inlineStr">
        <is>
          <t>PAJALA</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59693-2019</t>
        </is>
      </c>
      <c r="B155" s="1" t="n">
        <v>43776</v>
      </c>
      <c r="C155" s="1" t="n">
        <v>45711</v>
      </c>
      <c r="D155" t="inlineStr">
        <is>
          <t>NORRBOTTENS LÄN</t>
        </is>
      </c>
      <c r="E155" t="inlineStr">
        <is>
          <t>PAJALA</t>
        </is>
      </c>
      <c r="F155" t="inlineStr">
        <is>
          <t>Sveaskog</t>
        </is>
      </c>
      <c r="G155" t="n">
        <v>47.2</v>
      </c>
      <c r="H155" t="n">
        <v>0</v>
      </c>
      <c r="I155" t="n">
        <v>0</v>
      </c>
      <c r="J155" t="n">
        <v>0</v>
      </c>
      <c r="K155" t="n">
        <v>0</v>
      </c>
      <c r="L155" t="n">
        <v>0</v>
      </c>
      <c r="M155" t="n">
        <v>0</v>
      </c>
      <c r="N155" t="n">
        <v>0</v>
      </c>
      <c r="O155" t="n">
        <v>0</v>
      </c>
      <c r="P155" t="n">
        <v>0</v>
      </c>
      <c r="Q155" t="n">
        <v>0</v>
      </c>
      <c r="R155" s="2" t="inlineStr"/>
    </row>
    <row r="156" ht="15" customHeight="1">
      <c r="A156" t="inlineStr">
        <is>
          <t>A 60368-2019</t>
        </is>
      </c>
      <c r="B156" s="1" t="n">
        <v>43780</v>
      </c>
      <c r="C156" s="1" t="n">
        <v>45711</v>
      </c>
      <c r="D156" t="inlineStr">
        <is>
          <t>NORRBOTTENS LÄN</t>
        </is>
      </c>
      <c r="E156" t="inlineStr">
        <is>
          <t>PAJALA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62054-2019</t>
        </is>
      </c>
      <c r="B157" s="1" t="n">
        <v>43782</v>
      </c>
      <c r="C157" s="1" t="n">
        <v>45711</v>
      </c>
      <c r="D157" t="inlineStr">
        <is>
          <t>NORRBOTTENS LÄN</t>
        </is>
      </c>
      <c r="E157" t="inlineStr">
        <is>
          <t>PAJALA</t>
        </is>
      </c>
      <c r="G157" t="n">
        <v>12.1</v>
      </c>
      <c r="H157" t="n">
        <v>0</v>
      </c>
      <c r="I157" t="n">
        <v>0</v>
      </c>
      <c r="J157" t="n">
        <v>0</v>
      </c>
      <c r="K157" t="n">
        <v>0</v>
      </c>
      <c r="L157" t="n">
        <v>0</v>
      </c>
      <c r="M157" t="n">
        <v>0</v>
      </c>
      <c r="N157" t="n">
        <v>0</v>
      </c>
      <c r="O157" t="n">
        <v>0</v>
      </c>
      <c r="P157" t="n">
        <v>0</v>
      </c>
      <c r="Q157" t="n">
        <v>0</v>
      </c>
      <c r="R157" s="2" t="inlineStr"/>
    </row>
    <row r="158" ht="15" customHeight="1">
      <c r="A158" t="inlineStr">
        <is>
          <t>A 64018-2019</t>
        </is>
      </c>
      <c r="B158" s="1" t="n">
        <v>43791</v>
      </c>
      <c r="C158" s="1" t="n">
        <v>45711</v>
      </c>
      <c r="D158" t="inlineStr">
        <is>
          <t>NORRBOTTENS LÄN</t>
        </is>
      </c>
      <c r="E158" t="inlineStr">
        <is>
          <t>PAJALA</t>
        </is>
      </c>
      <c r="G158" t="n">
        <v>27.1</v>
      </c>
      <c r="H158" t="n">
        <v>0</v>
      </c>
      <c r="I158" t="n">
        <v>0</v>
      </c>
      <c r="J158" t="n">
        <v>0</v>
      </c>
      <c r="K158" t="n">
        <v>0</v>
      </c>
      <c r="L158" t="n">
        <v>0</v>
      </c>
      <c r="M158" t="n">
        <v>0</v>
      </c>
      <c r="N158" t="n">
        <v>0</v>
      </c>
      <c r="O158" t="n">
        <v>0</v>
      </c>
      <c r="P158" t="n">
        <v>0</v>
      </c>
      <c r="Q158" t="n">
        <v>0</v>
      </c>
      <c r="R158" s="2" t="inlineStr"/>
    </row>
    <row r="159" ht="15" customHeight="1">
      <c r="A159" t="inlineStr">
        <is>
          <t>A 67830-2019</t>
        </is>
      </c>
      <c r="B159" s="1" t="n">
        <v>43815</v>
      </c>
      <c r="C159" s="1" t="n">
        <v>45711</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320-2020</t>
        </is>
      </c>
      <c r="B160" s="1" t="n">
        <v>43816</v>
      </c>
      <c r="C160" s="1" t="n">
        <v>45711</v>
      </c>
      <c r="D160" t="inlineStr">
        <is>
          <t>NORRBOTTENS LÄN</t>
        </is>
      </c>
      <c r="E160" t="inlineStr">
        <is>
          <t>PAJALA</t>
        </is>
      </c>
      <c r="G160" t="n">
        <v>16.8</v>
      </c>
      <c r="H160" t="n">
        <v>0</v>
      </c>
      <c r="I160" t="n">
        <v>0</v>
      </c>
      <c r="J160" t="n">
        <v>0</v>
      </c>
      <c r="K160" t="n">
        <v>0</v>
      </c>
      <c r="L160" t="n">
        <v>0</v>
      </c>
      <c r="M160" t="n">
        <v>0</v>
      </c>
      <c r="N160" t="n">
        <v>0</v>
      </c>
      <c r="O160" t="n">
        <v>0</v>
      </c>
      <c r="P160" t="n">
        <v>0</v>
      </c>
      <c r="Q160" t="n">
        <v>0</v>
      </c>
      <c r="R160" s="2" t="inlineStr"/>
    </row>
    <row r="161" ht="15" customHeight="1">
      <c r="A161" t="inlineStr">
        <is>
          <t>A 413-2020</t>
        </is>
      </c>
      <c r="B161" s="1" t="n">
        <v>43816</v>
      </c>
      <c r="C161" s="1" t="n">
        <v>45711</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2375-2020</t>
        </is>
      </c>
      <c r="B162" s="1" t="n">
        <v>43846</v>
      </c>
      <c r="C162" s="1" t="n">
        <v>45711</v>
      </c>
      <c r="D162" t="inlineStr">
        <is>
          <t>NORRBOTTENS LÄN</t>
        </is>
      </c>
      <c r="E162" t="inlineStr">
        <is>
          <t>PAJALA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2719-2020</t>
        </is>
      </c>
      <c r="B163" s="1" t="n">
        <v>43850</v>
      </c>
      <c r="C163" s="1" t="n">
        <v>45711</v>
      </c>
      <c r="D163" t="inlineStr">
        <is>
          <t>NORRBOTTENS LÄN</t>
        </is>
      </c>
      <c r="E163" t="inlineStr">
        <is>
          <t>PAJALA</t>
        </is>
      </c>
      <c r="G163" t="n">
        <v>7.2</v>
      </c>
      <c r="H163" t="n">
        <v>0</v>
      </c>
      <c r="I163" t="n">
        <v>0</v>
      </c>
      <c r="J163" t="n">
        <v>0</v>
      </c>
      <c r="K163" t="n">
        <v>0</v>
      </c>
      <c r="L163" t="n">
        <v>0</v>
      </c>
      <c r="M163" t="n">
        <v>0</v>
      </c>
      <c r="N163" t="n">
        <v>0</v>
      </c>
      <c r="O163" t="n">
        <v>0</v>
      </c>
      <c r="P163" t="n">
        <v>0</v>
      </c>
      <c r="Q163" t="n">
        <v>0</v>
      </c>
      <c r="R163" s="2" t="inlineStr"/>
    </row>
    <row r="164" ht="15" customHeight="1">
      <c r="A164" t="inlineStr">
        <is>
          <t>A 5010-2020</t>
        </is>
      </c>
      <c r="B164" s="1" t="n">
        <v>43853</v>
      </c>
      <c r="C164" s="1" t="n">
        <v>45711</v>
      </c>
      <c r="D164" t="inlineStr">
        <is>
          <t>NORRBOTTENS LÄN</t>
        </is>
      </c>
      <c r="E164" t="inlineStr">
        <is>
          <t>PAJALA</t>
        </is>
      </c>
      <c r="G164" t="n">
        <v>1.8</v>
      </c>
      <c r="H164" t="n">
        <v>0</v>
      </c>
      <c r="I164" t="n">
        <v>0</v>
      </c>
      <c r="J164" t="n">
        <v>0</v>
      </c>
      <c r="K164" t="n">
        <v>0</v>
      </c>
      <c r="L164" t="n">
        <v>0</v>
      </c>
      <c r="M164" t="n">
        <v>0</v>
      </c>
      <c r="N164" t="n">
        <v>0</v>
      </c>
      <c r="O164" t="n">
        <v>0</v>
      </c>
      <c r="P164" t="n">
        <v>0</v>
      </c>
      <c r="Q164" t="n">
        <v>0</v>
      </c>
      <c r="R164" s="2" t="inlineStr"/>
    </row>
    <row r="165" ht="15" customHeight="1">
      <c r="A165" t="inlineStr">
        <is>
          <t>A 4997-2020</t>
        </is>
      </c>
      <c r="B165" s="1" t="n">
        <v>43853</v>
      </c>
      <c r="C165" s="1" t="n">
        <v>45711</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5853-2020</t>
        </is>
      </c>
      <c r="B166" s="1" t="n">
        <v>43861</v>
      </c>
      <c r="C166" s="1" t="n">
        <v>45711</v>
      </c>
      <c r="D166" t="inlineStr">
        <is>
          <t>NORRBOTTENS LÄN</t>
        </is>
      </c>
      <c r="E166" t="inlineStr">
        <is>
          <t>PAJALA</t>
        </is>
      </c>
      <c r="G166" t="n">
        <v>13.9</v>
      </c>
      <c r="H166" t="n">
        <v>0</v>
      </c>
      <c r="I166" t="n">
        <v>0</v>
      </c>
      <c r="J166" t="n">
        <v>0</v>
      </c>
      <c r="K166" t="n">
        <v>0</v>
      </c>
      <c r="L166" t="n">
        <v>0</v>
      </c>
      <c r="M166" t="n">
        <v>0</v>
      </c>
      <c r="N166" t="n">
        <v>0</v>
      </c>
      <c r="O166" t="n">
        <v>0</v>
      </c>
      <c r="P166" t="n">
        <v>0</v>
      </c>
      <c r="Q166" t="n">
        <v>0</v>
      </c>
      <c r="R166" s="2" t="inlineStr"/>
    </row>
    <row r="167" ht="15" customHeight="1">
      <c r="A167" t="inlineStr">
        <is>
          <t>A 18460-2020</t>
        </is>
      </c>
      <c r="B167" s="1" t="n">
        <v>43861</v>
      </c>
      <c r="C167" s="1" t="n">
        <v>45711</v>
      </c>
      <c r="D167" t="inlineStr">
        <is>
          <t>NORRBOTTENS LÄN</t>
        </is>
      </c>
      <c r="E167" t="inlineStr">
        <is>
          <t>PAJALA</t>
        </is>
      </c>
      <c r="G167" t="n">
        <v>32.9</v>
      </c>
      <c r="H167" t="n">
        <v>0</v>
      </c>
      <c r="I167" t="n">
        <v>0</v>
      </c>
      <c r="J167" t="n">
        <v>0</v>
      </c>
      <c r="K167" t="n">
        <v>0</v>
      </c>
      <c r="L167" t="n">
        <v>0</v>
      </c>
      <c r="M167" t="n">
        <v>0</v>
      </c>
      <c r="N167" t="n">
        <v>0</v>
      </c>
      <c r="O167" t="n">
        <v>0</v>
      </c>
      <c r="P167" t="n">
        <v>0</v>
      </c>
      <c r="Q167" t="n">
        <v>0</v>
      </c>
      <c r="R167" s="2" t="inlineStr"/>
    </row>
    <row r="168" ht="15" customHeight="1">
      <c r="A168" t="inlineStr">
        <is>
          <t>A 7015-2020</t>
        </is>
      </c>
      <c r="B168" s="1" t="n">
        <v>43867</v>
      </c>
      <c r="C168" s="1" t="n">
        <v>45711</v>
      </c>
      <c r="D168" t="inlineStr">
        <is>
          <t>NORRBOTTENS LÄN</t>
        </is>
      </c>
      <c r="E168" t="inlineStr">
        <is>
          <t>PAJALA</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12480-2020</t>
        </is>
      </c>
      <c r="B169" s="1" t="n">
        <v>43892</v>
      </c>
      <c r="C169" s="1" t="n">
        <v>45711</v>
      </c>
      <c r="D169" t="inlineStr">
        <is>
          <t>NORRBOTTENS LÄN</t>
        </is>
      </c>
      <c r="E169" t="inlineStr">
        <is>
          <t>PAJALA</t>
        </is>
      </c>
      <c r="G169" t="n">
        <v>10.1</v>
      </c>
      <c r="H169" t="n">
        <v>0</v>
      </c>
      <c r="I169" t="n">
        <v>0</v>
      </c>
      <c r="J169" t="n">
        <v>0</v>
      </c>
      <c r="K169" t="n">
        <v>0</v>
      </c>
      <c r="L169" t="n">
        <v>0</v>
      </c>
      <c r="M169" t="n">
        <v>0</v>
      </c>
      <c r="N169" t="n">
        <v>0</v>
      </c>
      <c r="O169" t="n">
        <v>0</v>
      </c>
      <c r="P169" t="n">
        <v>0</v>
      </c>
      <c r="Q169" t="n">
        <v>0</v>
      </c>
      <c r="R169" s="2" t="inlineStr"/>
    </row>
    <row r="170" ht="15" customHeight="1">
      <c r="A170" t="inlineStr">
        <is>
          <t>A 12118-2020</t>
        </is>
      </c>
      <c r="B170" s="1" t="n">
        <v>43895</v>
      </c>
      <c r="C170" s="1" t="n">
        <v>45711</v>
      </c>
      <c r="D170" t="inlineStr">
        <is>
          <t>NORRBOTTENS LÄN</t>
        </is>
      </c>
      <c r="E170" t="inlineStr">
        <is>
          <t>PAJALA</t>
        </is>
      </c>
      <c r="G170" t="n">
        <v>1.9</v>
      </c>
      <c r="H170" t="n">
        <v>0</v>
      </c>
      <c r="I170" t="n">
        <v>0</v>
      </c>
      <c r="J170" t="n">
        <v>0</v>
      </c>
      <c r="K170" t="n">
        <v>0</v>
      </c>
      <c r="L170" t="n">
        <v>0</v>
      </c>
      <c r="M170" t="n">
        <v>0</v>
      </c>
      <c r="N170" t="n">
        <v>0</v>
      </c>
      <c r="O170" t="n">
        <v>0</v>
      </c>
      <c r="P170" t="n">
        <v>0</v>
      </c>
      <c r="Q170" t="n">
        <v>0</v>
      </c>
      <c r="R170" s="2" t="inlineStr"/>
    </row>
    <row r="171" ht="15" customHeight="1">
      <c r="A171" t="inlineStr">
        <is>
          <t>A 12111-2020</t>
        </is>
      </c>
      <c r="B171" s="1" t="n">
        <v>43895</v>
      </c>
      <c r="C171" s="1" t="n">
        <v>45711</v>
      </c>
      <c r="D171" t="inlineStr">
        <is>
          <t>NORRBOTTENS LÄN</t>
        </is>
      </c>
      <c r="E171" t="inlineStr">
        <is>
          <t>PAJALA</t>
        </is>
      </c>
      <c r="G171" t="n">
        <v>12.1</v>
      </c>
      <c r="H171" t="n">
        <v>0</v>
      </c>
      <c r="I171" t="n">
        <v>0</v>
      </c>
      <c r="J171" t="n">
        <v>0</v>
      </c>
      <c r="K171" t="n">
        <v>0</v>
      </c>
      <c r="L171" t="n">
        <v>0</v>
      </c>
      <c r="M171" t="n">
        <v>0</v>
      </c>
      <c r="N171" t="n">
        <v>0</v>
      </c>
      <c r="O171" t="n">
        <v>0</v>
      </c>
      <c r="P171" t="n">
        <v>0</v>
      </c>
      <c r="Q171" t="n">
        <v>0</v>
      </c>
      <c r="R171" s="2" t="inlineStr"/>
    </row>
    <row r="172" ht="15" customHeight="1">
      <c r="A172" t="inlineStr">
        <is>
          <t>A 16644-2020</t>
        </is>
      </c>
      <c r="B172" s="1" t="n">
        <v>43910</v>
      </c>
      <c r="C172" s="1" t="n">
        <v>45711</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19298-2020</t>
        </is>
      </c>
      <c r="B173" s="1" t="n">
        <v>43937</v>
      </c>
      <c r="C173" s="1" t="n">
        <v>45711</v>
      </c>
      <c r="D173" t="inlineStr">
        <is>
          <t>NORRBOTTENS LÄN</t>
        </is>
      </c>
      <c r="E173" t="inlineStr">
        <is>
          <t>PAJALA</t>
        </is>
      </c>
      <c r="G173" t="n">
        <v>0.2</v>
      </c>
      <c r="H173" t="n">
        <v>0</v>
      </c>
      <c r="I173" t="n">
        <v>0</v>
      </c>
      <c r="J173" t="n">
        <v>0</v>
      </c>
      <c r="K173" t="n">
        <v>0</v>
      </c>
      <c r="L173" t="n">
        <v>0</v>
      </c>
      <c r="M173" t="n">
        <v>0</v>
      </c>
      <c r="N173" t="n">
        <v>0</v>
      </c>
      <c r="O173" t="n">
        <v>0</v>
      </c>
      <c r="P173" t="n">
        <v>0</v>
      </c>
      <c r="Q173" t="n">
        <v>0</v>
      </c>
      <c r="R173" s="2" t="inlineStr"/>
    </row>
    <row r="174" ht="15" customHeight="1">
      <c r="A174" t="inlineStr">
        <is>
          <t>A 19704-2020</t>
        </is>
      </c>
      <c r="B174" s="1" t="n">
        <v>43937</v>
      </c>
      <c r="C174" s="1" t="n">
        <v>45711</v>
      </c>
      <c r="D174" t="inlineStr">
        <is>
          <t>NORRBOTTENS LÄN</t>
        </is>
      </c>
      <c r="E174" t="inlineStr">
        <is>
          <t>PAJALA</t>
        </is>
      </c>
      <c r="G174" t="n">
        <v>26</v>
      </c>
      <c r="H174" t="n">
        <v>0</v>
      </c>
      <c r="I174" t="n">
        <v>0</v>
      </c>
      <c r="J174" t="n">
        <v>0</v>
      </c>
      <c r="K174" t="n">
        <v>0</v>
      </c>
      <c r="L174" t="n">
        <v>0</v>
      </c>
      <c r="M174" t="n">
        <v>0</v>
      </c>
      <c r="N174" t="n">
        <v>0</v>
      </c>
      <c r="O174" t="n">
        <v>0</v>
      </c>
      <c r="P174" t="n">
        <v>0</v>
      </c>
      <c r="Q174" t="n">
        <v>0</v>
      </c>
      <c r="R174" s="2" t="inlineStr"/>
    </row>
    <row r="175" ht="15" customHeight="1">
      <c r="A175" t="inlineStr">
        <is>
          <t>A 19348-2020</t>
        </is>
      </c>
      <c r="B175" s="1" t="n">
        <v>43938</v>
      </c>
      <c r="C175" s="1" t="n">
        <v>45711</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19853-2020</t>
        </is>
      </c>
      <c r="B176" s="1" t="n">
        <v>43941</v>
      </c>
      <c r="C176" s="1" t="n">
        <v>45711</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19755-2020</t>
        </is>
      </c>
      <c r="B177" s="1" t="n">
        <v>43941</v>
      </c>
      <c r="C177" s="1" t="n">
        <v>45711</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23192-2020</t>
        </is>
      </c>
      <c r="B178" s="1" t="n">
        <v>43966</v>
      </c>
      <c r="C178" s="1" t="n">
        <v>45711</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23399-2020</t>
        </is>
      </c>
      <c r="B179" s="1" t="n">
        <v>43968</v>
      </c>
      <c r="C179" s="1" t="n">
        <v>45711</v>
      </c>
      <c r="D179" t="inlineStr">
        <is>
          <t>NORRBOTTENS LÄN</t>
        </is>
      </c>
      <c r="E179" t="inlineStr">
        <is>
          <t>PAJALA</t>
        </is>
      </c>
      <c r="G179" t="n">
        <v>0.5</v>
      </c>
      <c r="H179" t="n">
        <v>0</v>
      </c>
      <c r="I179" t="n">
        <v>0</v>
      </c>
      <c r="J179" t="n">
        <v>0</v>
      </c>
      <c r="K179" t="n">
        <v>0</v>
      </c>
      <c r="L179" t="n">
        <v>0</v>
      </c>
      <c r="M179" t="n">
        <v>0</v>
      </c>
      <c r="N179" t="n">
        <v>0</v>
      </c>
      <c r="O179" t="n">
        <v>0</v>
      </c>
      <c r="P179" t="n">
        <v>0</v>
      </c>
      <c r="Q179" t="n">
        <v>0</v>
      </c>
      <c r="R179" s="2" t="inlineStr"/>
    </row>
    <row r="180" ht="15" customHeight="1">
      <c r="A180" t="inlineStr">
        <is>
          <t>A 23602-2020</t>
        </is>
      </c>
      <c r="B180" s="1" t="n">
        <v>43969</v>
      </c>
      <c r="C180" s="1" t="n">
        <v>45711</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23630-2020</t>
        </is>
      </c>
      <c r="B181" s="1" t="n">
        <v>43969</v>
      </c>
      <c r="C181" s="1" t="n">
        <v>45711</v>
      </c>
      <c r="D181" t="inlineStr">
        <is>
          <t>NORRBOTTENS LÄN</t>
        </is>
      </c>
      <c r="E181" t="inlineStr">
        <is>
          <t>PAJALA</t>
        </is>
      </c>
      <c r="G181" t="n">
        <v>1</v>
      </c>
      <c r="H181" t="n">
        <v>0</v>
      </c>
      <c r="I181" t="n">
        <v>0</v>
      </c>
      <c r="J181" t="n">
        <v>0</v>
      </c>
      <c r="K181" t="n">
        <v>0</v>
      </c>
      <c r="L181" t="n">
        <v>0</v>
      </c>
      <c r="M181" t="n">
        <v>0</v>
      </c>
      <c r="N181" t="n">
        <v>0</v>
      </c>
      <c r="O181" t="n">
        <v>0</v>
      </c>
      <c r="P181" t="n">
        <v>0</v>
      </c>
      <c r="Q181" t="n">
        <v>0</v>
      </c>
      <c r="R181" s="2" t="inlineStr"/>
    </row>
    <row r="182" ht="15" customHeight="1">
      <c r="A182" t="inlineStr">
        <is>
          <t>A 24368-2020</t>
        </is>
      </c>
      <c r="B182" s="1" t="n">
        <v>43976</v>
      </c>
      <c r="C182" s="1" t="n">
        <v>45711</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24358-2020</t>
        </is>
      </c>
      <c r="B183" s="1" t="n">
        <v>43976</v>
      </c>
      <c r="C183" s="1" t="n">
        <v>45711</v>
      </c>
      <c r="D183" t="inlineStr">
        <is>
          <t>NORRBOTTENS LÄN</t>
        </is>
      </c>
      <c r="E183" t="inlineStr">
        <is>
          <t>PAJALA</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24790-2020</t>
        </is>
      </c>
      <c r="B184" s="1" t="n">
        <v>43978</v>
      </c>
      <c r="C184" s="1" t="n">
        <v>45711</v>
      </c>
      <c r="D184" t="inlineStr">
        <is>
          <t>NORRBOTTENS LÄN</t>
        </is>
      </c>
      <c r="E184" t="inlineStr">
        <is>
          <t>PAJALA</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25277-2020</t>
        </is>
      </c>
      <c r="B185" s="1" t="n">
        <v>43979</v>
      </c>
      <c r="C185" s="1" t="n">
        <v>45711</v>
      </c>
      <c r="D185" t="inlineStr">
        <is>
          <t>NORRBOTTENS LÄN</t>
        </is>
      </c>
      <c r="E185" t="inlineStr">
        <is>
          <t>PAJALA</t>
        </is>
      </c>
      <c r="F185" t="inlineStr">
        <is>
          <t>Allmännings- och besparingsskogar</t>
        </is>
      </c>
      <c r="G185" t="n">
        <v>17.1</v>
      </c>
      <c r="H185" t="n">
        <v>0</v>
      </c>
      <c r="I185" t="n">
        <v>0</v>
      </c>
      <c r="J185" t="n">
        <v>0</v>
      </c>
      <c r="K185" t="n">
        <v>0</v>
      </c>
      <c r="L185" t="n">
        <v>0</v>
      </c>
      <c r="M185" t="n">
        <v>0</v>
      </c>
      <c r="N185" t="n">
        <v>0</v>
      </c>
      <c r="O185" t="n">
        <v>0</v>
      </c>
      <c r="P185" t="n">
        <v>0</v>
      </c>
      <c r="Q185" t="n">
        <v>0</v>
      </c>
      <c r="R185" s="2" t="inlineStr"/>
    </row>
    <row r="186" ht="15" customHeight="1">
      <c r="A186" t="inlineStr">
        <is>
          <t>A 25319-2020</t>
        </is>
      </c>
      <c r="B186" s="1" t="n">
        <v>43980</v>
      </c>
      <c r="C186" s="1" t="n">
        <v>45711</v>
      </c>
      <c r="D186" t="inlineStr">
        <is>
          <t>NORRBOTTENS LÄN</t>
        </is>
      </c>
      <c r="E186" t="inlineStr">
        <is>
          <t>PAJALA</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25323-2020</t>
        </is>
      </c>
      <c r="B187" s="1" t="n">
        <v>43980</v>
      </c>
      <c r="C187" s="1" t="n">
        <v>45711</v>
      </c>
      <c r="D187" t="inlineStr">
        <is>
          <t>NORRBOTTENS LÄN</t>
        </is>
      </c>
      <c r="E187" t="inlineStr">
        <is>
          <t>PAJALA</t>
        </is>
      </c>
      <c r="F187" t="inlineStr">
        <is>
          <t>Sveaskog</t>
        </is>
      </c>
      <c r="G187" t="n">
        <v>16.7</v>
      </c>
      <c r="H187" t="n">
        <v>0</v>
      </c>
      <c r="I187" t="n">
        <v>0</v>
      </c>
      <c r="J187" t="n">
        <v>0</v>
      </c>
      <c r="K187" t="n">
        <v>0</v>
      </c>
      <c r="L187" t="n">
        <v>0</v>
      </c>
      <c r="M187" t="n">
        <v>0</v>
      </c>
      <c r="N187" t="n">
        <v>0</v>
      </c>
      <c r="O187" t="n">
        <v>0</v>
      </c>
      <c r="P187" t="n">
        <v>0</v>
      </c>
      <c r="Q187" t="n">
        <v>0</v>
      </c>
      <c r="R187" s="2" t="inlineStr"/>
    </row>
    <row r="188" ht="15" customHeight="1">
      <c r="A188" t="inlineStr">
        <is>
          <t>A 25346-2020</t>
        </is>
      </c>
      <c r="B188" s="1" t="n">
        <v>43980</v>
      </c>
      <c r="C188" s="1" t="n">
        <v>45711</v>
      </c>
      <c r="D188" t="inlineStr">
        <is>
          <t>NORRBOTTENS LÄN</t>
        </is>
      </c>
      <c r="E188" t="inlineStr">
        <is>
          <t>PAJALA</t>
        </is>
      </c>
      <c r="F188" t="inlineStr">
        <is>
          <t>Allmännings- och besparingsskogar</t>
        </is>
      </c>
      <c r="G188" t="n">
        <v>3.2</v>
      </c>
      <c r="H188" t="n">
        <v>0</v>
      </c>
      <c r="I188" t="n">
        <v>0</v>
      </c>
      <c r="J188" t="n">
        <v>0</v>
      </c>
      <c r="K188" t="n">
        <v>0</v>
      </c>
      <c r="L188" t="n">
        <v>0</v>
      </c>
      <c r="M188" t="n">
        <v>0</v>
      </c>
      <c r="N188" t="n">
        <v>0</v>
      </c>
      <c r="O188" t="n">
        <v>0</v>
      </c>
      <c r="P188" t="n">
        <v>0</v>
      </c>
      <c r="Q188" t="n">
        <v>0</v>
      </c>
      <c r="R188" s="2" t="inlineStr"/>
    </row>
    <row r="189" ht="15" customHeight="1">
      <c r="A189" t="inlineStr">
        <is>
          <t>A 26846-2020</t>
        </is>
      </c>
      <c r="B189" s="1" t="n">
        <v>43987</v>
      </c>
      <c r="C189" s="1" t="n">
        <v>45711</v>
      </c>
      <c r="D189" t="inlineStr">
        <is>
          <t>NORRBOTTENS LÄN</t>
        </is>
      </c>
      <c r="E189" t="inlineStr">
        <is>
          <t>PAJALA</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27137-2020</t>
        </is>
      </c>
      <c r="B190" s="1" t="n">
        <v>43991</v>
      </c>
      <c r="C190" s="1" t="n">
        <v>45711</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27148-2020</t>
        </is>
      </c>
      <c r="B191" s="1" t="n">
        <v>43991</v>
      </c>
      <c r="C191" s="1" t="n">
        <v>45711</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27143-2020</t>
        </is>
      </c>
      <c r="B192" s="1" t="n">
        <v>43991</v>
      </c>
      <c r="C192" s="1" t="n">
        <v>45711</v>
      </c>
      <c r="D192" t="inlineStr">
        <is>
          <t>NORRBOTTENS LÄN</t>
        </is>
      </c>
      <c r="E192" t="inlineStr">
        <is>
          <t>PAJALA</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27153-2020</t>
        </is>
      </c>
      <c r="B193" s="1" t="n">
        <v>43991</v>
      </c>
      <c r="C193" s="1" t="n">
        <v>45711</v>
      </c>
      <c r="D193" t="inlineStr">
        <is>
          <t>NORRBOTTENS LÄN</t>
        </is>
      </c>
      <c r="E193" t="inlineStr">
        <is>
          <t>PAJALA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27135-2020</t>
        </is>
      </c>
      <c r="B194" s="1" t="n">
        <v>43991</v>
      </c>
      <c r="C194" s="1" t="n">
        <v>45711</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27913-2020</t>
        </is>
      </c>
      <c r="B195" s="1" t="n">
        <v>43997</v>
      </c>
      <c r="C195" s="1" t="n">
        <v>45711</v>
      </c>
      <c r="D195" t="inlineStr">
        <is>
          <t>NORRBOTTENS LÄN</t>
        </is>
      </c>
      <c r="E195" t="inlineStr">
        <is>
          <t>PAJALA</t>
        </is>
      </c>
      <c r="G195" t="n">
        <v>17.6</v>
      </c>
      <c r="H195" t="n">
        <v>0</v>
      </c>
      <c r="I195" t="n">
        <v>0</v>
      </c>
      <c r="J195" t="n">
        <v>0</v>
      </c>
      <c r="K195" t="n">
        <v>0</v>
      </c>
      <c r="L195" t="n">
        <v>0</v>
      </c>
      <c r="M195" t="n">
        <v>0</v>
      </c>
      <c r="N195" t="n">
        <v>0</v>
      </c>
      <c r="O195" t="n">
        <v>0</v>
      </c>
      <c r="P195" t="n">
        <v>0</v>
      </c>
      <c r="Q195" t="n">
        <v>0</v>
      </c>
      <c r="R195" s="2" t="inlineStr"/>
    </row>
    <row r="196" ht="15" customHeight="1">
      <c r="A196" t="inlineStr">
        <is>
          <t>A 27914-2020</t>
        </is>
      </c>
      <c r="B196" s="1" t="n">
        <v>43997</v>
      </c>
      <c r="C196" s="1" t="n">
        <v>45711</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31218-2020</t>
        </is>
      </c>
      <c r="B197" s="1" t="n">
        <v>44012</v>
      </c>
      <c r="C197" s="1" t="n">
        <v>45711</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31178-2020</t>
        </is>
      </c>
      <c r="B198" s="1" t="n">
        <v>44012</v>
      </c>
      <c r="C198" s="1" t="n">
        <v>45711</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31177-2020</t>
        </is>
      </c>
      <c r="B199" s="1" t="n">
        <v>44012</v>
      </c>
      <c r="C199" s="1" t="n">
        <v>45711</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32141-2020</t>
        </is>
      </c>
      <c r="B200" s="1" t="n">
        <v>44015</v>
      </c>
      <c r="C200" s="1" t="n">
        <v>45711</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32700-2020</t>
        </is>
      </c>
      <c r="B201" s="1" t="n">
        <v>44018</v>
      </c>
      <c r="C201" s="1" t="n">
        <v>45711</v>
      </c>
      <c r="D201" t="inlineStr">
        <is>
          <t>NORRBOTTENS LÄN</t>
        </is>
      </c>
      <c r="E201" t="inlineStr">
        <is>
          <t>PAJALA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32777-2020</t>
        </is>
      </c>
      <c r="B202" s="1" t="n">
        <v>44020</v>
      </c>
      <c r="C202" s="1" t="n">
        <v>45711</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33130-2020</t>
        </is>
      </c>
      <c r="B203" s="1" t="n">
        <v>44021</v>
      </c>
      <c r="C203" s="1" t="n">
        <v>45711</v>
      </c>
      <c r="D203" t="inlineStr">
        <is>
          <t>NORRBOTTENS LÄN</t>
        </is>
      </c>
      <c r="E203" t="inlineStr">
        <is>
          <t>PAJALA</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33605-2020</t>
        </is>
      </c>
      <c r="B204" s="1" t="n">
        <v>44025</v>
      </c>
      <c r="C204" s="1" t="n">
        <v>45711</v>
      </c>
      <c r="D204" t="inlineStr">
        <is>
          <t>NORRBOTTENS LÄN</t>
        </is>
      </c>
      <c r="E204" t="inlineStr">
        <is>
          <t>PAJALA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33601-2020</t>
        </is>
      </c>
      <c r="B205" s="1" t="n">
        <v>44025</v>
      </c>
      <c r="C205" s="1" t="n">
        <v>45711</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33603-2020</t>
        </is>
      </c>
      <c r="B206" s="1" t="n">
        <v>44025</v>
      </c>
      <c r="C206" s="1" t="n">
        <v>45711</v>
      </c>
      <c r="D206" t="inlineStr">
        <is>
          <t>NORRBOTTENS LÄN</t>
        </is>
      </c>
      <c r="E206" t="inlineStr">
        <is>
          <t>PAJALA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33604-2020</t>
        </is>
      </c>
      <c r="B207" s="1" t="n">
        <v>44025</v>
      </c>
      <c r="C207" s="1" t="n">
        <v>45711</v>
      </c>
      <c r="D207" t="inlineStr">
        <is>
          <t>NORRBOTTENS LÄN</t>
        </is>
      </c>
      <c r="E207" t="inlineStr">
        <is>
          <t>PAJALA</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33813-2020</t>
        </is>
      </c>
      <c r="B208" s="1" t="n">
        <v>44025</v>
      </c>
      <c r="C208" s="1" t="n">
        <v>45711</v>
      </c>
      <c r="D208" t="inlineStr">
        <is>
          <t>NORRBOTTENS LÄN</t>
        </is>
      </c>
      <c r="E208" t="inlineStr">
        <is>
          <t>PAJALA</t>
        </is>
      </c>
      <c r="G208" t="n">
        <v>11.8</v>
      </c>
      <c r="H208" t="n">
        <v>0</v>
      </c>
      <c r="I208" t="n">
        <v>0</v>
      </c>
      <c r="J208" t="n">
        <v>0</v>
      </c>
      <c r="K208" t="n">
        <v>0</v>
      </c>
      <c r="L208" t="n">
        <v>0</v>
      </c>
      <c r="M208" t="n">
        <v>0</v>
      </c>
      <c r="N208" t="n">
        <v>0</v>
      </c>
      <c r="O208" t="n">
        <v>0</v>
      </c>
      <c r="P208" t="n">
        <v>0</v>
      </c>
      <c r="Q208" t="n">
        <v>0</v>
      </c>
      <c r="R208" s="2" t="inlineStr"/>
    </row>
    <row r="209" ht="15" customHeight="1">
      <c r="A209" t="inlineStr">
        <is>
          <t>A 34348-2020</t>
        </is>
      </c>
      <c r="B209" s="1" t="n">
        <v>44028</v>
      </c>
      <c r="C209" s="1" t="n">
        <v>45711</v>
      </c>
      <c r="D209" t="inlineStr">
        <is>
          <t>NORRBOTTENS LÄN</t>
        </is>
      </c>
      <c r="E209" t="inlineStr">
        <is>
          <t>PAJALA</t>
        </is>
      </c>
      <c r="F209" t="inlineStr">
        <is>
          <t>Allmännings- och besparingsskogar</t>
        </is>
      </c>
      <c r="G209" t="n">
        <v>38.1</v>
      </c>
      <c r="H209" t="n">
        <v>0</v>
      </c>
      <c r="I209" t="n">
        <v>0</v>
      </c>
      <c r="J209" t="n">
        <v>0</v>
      </c>
      <c r="K209" t="n">
        <v>0</v>
      </c>
      <c r="L209" t="n">
        <v>0</v>
      </c>
      <c r="M209" t="n">
        <v>0</v>
      </c>
      <c r="N209" t="n">
        <v>0</v>
      </c>
      <c r="O209" t="n">
        <v>0</v>
      </c>
      <c r="P209" t="n">
        <v>0</v>
      </c>
      <c r="Q209" t="n">
        <v>0</v>
      </c>
      <c r="R209" s="2" t="inlineStr"/>
    </row>
    <row r="210" ht="15" customHeight="1">
      <c r="A210" t="inlineStr">
        <is>
          <t>A 34645-2020</t>
        </is>
      </c>
      <c r="B210" s="1" t="n">
        <v>44034</v>
      </c>
      <c r="C210" s="1" t="n">
        <v>45711</v>
      </c>
      <c r="D210" t="inlineStr">
        <is>
          <t>NORRBOTTENS LÄN</t>
        </is>
      </c>
      <c r="E210" t="inlineStr">
        <is>
          <t>PAJALA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34649-2020</t>
        </is>
      </c>
      <c r="B211" s="1" t="n">
        <v>44034</v>
      </c>
      <c r="C211" s="1" t="n">
        <v>45711</v>
      </c>
      <c r="D211" t="inlineStr">
        <is>
          <t>NORRBOTTENS LÄN</t>
        </is>
      </c>
      <c r="E211" t="inlineStr">
        <is>
          <t>PAJALA</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34643-2020</t>
        </is>
      </c>
      <c r="B212" s="1" t="n">
        <v>44034</v>
      </c>
      <c r="C212" s="1" t="n">
        <v>45711</v>
      </c>
      <c r="D212" t="inlineStr">
        <is>
          <t>NORRBOTTENS LÄN</t>
        </is>
      </c>
      <c r="E212" t="inlineStr">
        <is>
          <t>PAJALA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34647-2020</t>
        </is>
      </c>
      <c r="B213" s="1" t="n">
        <v>44034</v>
      </c>
      <c r="C213" s="1" t="n">
        <v>45711</v>
      </c>
      <c r="D213" t="inlineStr">
        <is>
          <t>NORRBOTTENS LÄN</t>
        </is>
      </c>
      <c r="E213" t="inlineStr">
        <is>
          <t>PAJALA</t>
        </is>
      </c>
      <c r="F213" t="inlineStr">
        <is>
          <t>Allmännings- och besparingsskogar</t>
        </is>
      </c>
      <c r="G213" t="n">
        <v>30</v>
      </c>
      <c r="H213" t="n">
        <v>0</v>
      </c>
      <c r="I213" t="n">
        <v>0</v>
      </c>
      <c r="J213" t="n">
        <v>0</v>
      </c>
      <c r="K213" t="n">
        <v>0</v>
      </c>
      <c r="L213" t="n">
        <v>0</v>
      </c>
      <c r="M213" t="n">
        <v>0</v>
      </c>
      <c r="N213" t="n">
        <v>0</v>
      </c>
      <c r="O213" t="n">
        <v>0</v>
      </c>
      <c r="P213" t="n">
        <v>0</v>
      </c>
      <c r="Q213" t="n">
        <v>0</v>
      </c>
      <c r="R213" s="2" t="inlineStr"/>
    </row>
    <row r="214" ht="15" customHeight="1">
      <c r="A214" t="inlineStr">
        <is>
          <t>A 35013-2020</t>
        </is>
      </c>
      <c r="B214" s="1" t="n">
        <v>44039</v>
      </c>
      <c r="C214" s="1" t="n">
        <v>45711</v>
      </c>
      <c r="D214" t="inlineStr">
        <is>
          <t>NORRBOTTENS LÄN</t>
        </is>
      </c>
      <c r="E214" t="inlineStr">
        <is>
          <t>PAJALA</t>
        </is>
      </c>
      <c r="F214" t="inlineStr">
        <is>
          <t>Allmännings- och besparingsskogar</t>
        </is>
      </c>
      <c r="G214" t="n">
        <v>23.3</v>
      </c>
      <c r="H214" t="n">
        <v>0</v>
      </c>
      <c r="I214" t="n">
        <v>0</v>
      </c>
      <c r="J214" t="n">
        <v>0</v>
      </c>
      <c r="K214" t="n">
        <v>0</v>
      </c>
      <c r="L214" t="n">
        <v>0</v>
      </c>
      <c r="M214" t="n">
        <v>0</v>
      </c>
      <c r="N214" t="n">
        <v>0</v>
      </c>
      <c r="O214" t="n">
        <v>0</v>
      </c>
      <c r="P214" t="n">
        <v>0</v>
      </c>
      <c r="Q214" t="n">
        <v>0</v>
      </c>
      <c r="R214" s="2" t="inlineStr"/>
    </row>
    <row r="215" ht="15" customHeight="1">
      <c r="A215" t="inlineStr">
        <is>
          <t>A 36084-2020</t>
        </is>
      </c>
      <c r="B215" s="1" t="n">
        <v>44048</v>
      </c>
      <c r="C215" s="1" t="n">
        <v>45711</v>
      </c>
      <c r="D215" t="inlineStr">
        <is>
          <t>NORRBOTTENS LÄN</t>
        </is>
      </c>
      <c r="E215" t="inlineStr">
        <is>
          <t>PAJALA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36211-2020</t>
        </is>
      </c>
      <c r="B216" s="1" t="n">
        <v>44048</v>
      </c>
      <c r="C216" s="1" t="n">
        <v>45711</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38337-2020</t>
        </is>
      </c>
      <c r="B217" s="1" t="n">
        <v>44060</v>
      </c>
      <c r="C217" s="1" t="n">
        <v>45711</v>
      </c>
      <c r="D217" t="inlineStr">
        <is>
          <t>NORRBOTTENS LÄN</t>
        </is>
      </c>
      <c r="E217" t="inlineStr">
        <is>
          <t>PAJALA</t>
        </is>
      </c>
      <c r="G217" t="n">
        <v>9.1</v>
      </c>
      <c r="H217" t="n">
        <v>0</v>
      </c>
      <c r="I217" t="n">
        <v>0</v>
      </c>
      <c r="J217" t="n">
        <v>0</v>
      </c>
      <c r="K217" t="n">
        <v>0</v>
      </c>
      <c r="L217" t="n">
        <v>0</v>
      </c>
      <c r="M217" t="n">
        <v>0</v>
      </c>
      <c r="N217" t="n">
        <v>0</v>
      </c>
      <c r="O217" t="n">
        <v>0</v>
      </c>
      <c r="P217" t="n">
        <v>0</v>
      </c>
      <c r="Q217" t="n">
        <v>0</v>
      </c>
      <c r="R217" s="2" t="inlineStr"/>
    </row>
    <row r="218" ht="15" customHeight="1">
      <c r="A218" t="inlineStr">
        <is>
          <t>A 39020-2020</t>
        </is>
      </c>
      <c r="B218" s="1" t="n">
        <v>44062</v>
      </c>
      <c r="C218" s="1" t="n">
        <v>45711</v>
      </c>
      <c r="D218" t="inlineStr">
        <is>
          <t>NORRBOTTENS LÄN</t>
        </is>
      </c>
      <c r="E218" t="inlineStr">
        <is>
          <t>PAJALA</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38878-2020</t>
        </is>
      </c>
      <c r="B219" s="1" t="n">
        <v>44062</v>
      </c>
      <c r="C219" s="1" t="n">
        <v>45711</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39099-2020</t>
        </is>
      </c>
      <c r="B220" s="1" t="n">
        <v>44063</v>
      </c>
      <c r="C220" s="1" t="n">
        <v>45711</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41796-2020</t>
        </is>
      </c>
      <c r="B221" s="1" t="n">
        <v>44071</v>
      </c>
      <c r="C221" s="1" t="n">
        <v>45711</v>
      </c>
      <c r="D221" t="inlineStr">
        <is>
          <t>NORRBOTTENS LÄN</t>
        </is>
      </c>
      <c r="E221" t="inlineStr">
        <is>
          <t>PAJALA</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41787-2020</t>
        </is>
      </c>
      <c r="B222" s="1" t="n">
        <v>44074</v>
      </c>
      <c r="C222" s="1" t="n">
        <v>45711</v>
      </c>
      <c r="D222" t="inlineStr">
        <is>
          <t>NORRBOTTENS LÄN</t>
        </is>
      </c>
      <c r="E222" t="inlineStr">
        <is>
          <t>PAJALA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43121-2020</t>
        </is>
      </c>
      <c r="B223" s="1" t="n">
        <v>44079</v>
      </c>
      <c r="C223" s="1" t="n">
        <v>45711</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43125-2020</t>
        </is>
      </c>
      <c r="B224" s="1" t="n">
        <v>44079</v>
      </c>
      <c r="C224" s="1" t="n">
        <v>45711</v>
      </c>
      <c r="D224" t="inlineStr">
        <is>
          <t>NORRBOTTENS LÄN</t>
        </is>
      </c>
      <c r="E224" t="inlineStr">
        <is>
          <t>PAJALA</t>
        </is>
      </c>
      <c r="G224" t="n">
        <v>7.5</v>
      </c>
      <c r="H224" t="n">
        <v>0</v>
      </c>
      <c r="I224" t="n">
        <v>0</v>
      </c>
      <c r="J224" t="n">
        <v>0</v>
      </c>
      <c r="K224" t="n">
        <v>0</v>
      </c>
      <c r="L224" t="n">
        <v>0</v>
      </c>
      <c r="M224" t="n">
        <v>0</v>
      </c>
      <c r="N224" t="n">
        <v>0</v>
      </c>
      <c r="O224" t="n">
        <v>0</v>
      </c>
      <c r="P224" t="n">
        <v>0</v>
      </c>
      <c r="Q224" t="n">
        <v>0</v>
      </c>
      <c r="R224" s="2" t="inlineStr"/>
    </row>
    <row r="225" ht="15" customHeight="1">
      <c r="A225" t="inlineStr">
        <is>
          <t>A 43123-2020</t>
        </is>
      </c>
      <c r="B225" s="1" t="n">
        <v>44079</v>
      </c>
      <c r="C225" s="1" t="n">
        <v>45711</v>
      </c>
      <c r="D225" t="inlineStr">
        <is>
          <t>NORRBOTTENS LÄN</t>
        </is>
      </c>
      <c r="E225" t="inlineStr">
        <is>
          <t>PAJALA</t>
        </is>
      </c>
      <c r="G225" t="n">
        <v>14.3</v>
      </c>
      <c r="H225" t="n">
        <v>0</v>
      </c>
      <c r="I225" t="n">
        <v>0</v>
      </c>
      <c r="J225" t="n">
        <v>0</v>
      </c>
      <c r="K225" t="n">
        <v>0</v>
      </c>
      <c r="L225" t="n">
        <v>0</v>
      </c>
      <c r="M225" t="n">
        <v>0</v>
      </c>
      <c r="N225" t="n">
        <v>0</v>
      </c>
      <c r="O225" t="n">
        <v>0</v>
      </c>
      <c r="P225" t="n">
        <v>0</v>
      </c>
      <c r="Q225" t="n">
        <v>0</v>
      </c>
      <c r="R225" s="2" t="inlineStr"/>
    </row>
    <row r="226" ht="15" customHeight="1">
      <c r="A226" t="inlineStr">
        <is>
          <t>A 43120-2020</t>
        </is>
      </c>
      <c r="B226" s="1" t="n">
        <v>44079</v>
      </c>
      <c r="C226" s="1" t="n">
        <v>45711</v>
      </c>
      <c r="D226" t="inlineStr">
        <is>
          <t>NORRBOTTENS LÄN</t>
        </is>
      </c>
      <c r="E226" t="inlineStr">
        <is>
          <t>PAJALA</t>
        </is>
      </c>
      <c r="G226" t="n">
        <v>14.5</v>
      </c>
      <c r="H226" t="n">
        <v>0</v>
      </c>
      <c r="I226" t="n">
        <v>0</v>
      </c>
      <c r="J226" t="n">
        <v>0</v>
      </c>
      <c r="K226" t="n">
        <v>0</v>
      </c>
      <c r="L226" t="n">
        <v>0</v>
      </c>
      <c r="M226" t="n">
        <v>0</v>
      </c>
      <c r="N226" t="n">
        <v>0</v>
      </c>
      <c r="O226" t="n">
        <v>0</v>
      </c>
      <c r="P226" t="n">
        <v>0</v>
      </c>
      <c r="Q226" t="n">
        <v>0</v>
      </c>
      <c r="R226" s="2" t="inlineStr"/>
    </row>
    <row r="227" ht="15" customHeight="1">
      <c r="A227" t="inlineStr">
        <is>
          <t>A 43124-2020</t>
        </is>
      </c>
      <c r="B227" s="1" t="n">
        <v>44079</v>
      </c>
      <c r="C227" s="1" t="n">
        <v>45711</v>
      </c>
      <c r="D227" t="inlineStr">
        <is>
          <t>NORRBOTTENS LÄN</t>
        </is>
      </c>
      <c r="E227" t="inlineStr">
        <is>
          <t>PAJALA</t>
        </is>
      </c>
      <c r="G227" t="n">
        <v>9.5</v>
      </c>
      <c r="H227" t="n">
        <v>0</v>
      </c>
      <c r="I227" t="n">
        <v>0</v>
      </c>
      <c r="J227" t="n">
        <v>0</v>
      </c>
      <c r="K227" t="n">
        <v>0</v>
      </c>
      <c r="L227" t="n">
        <v>0</v>
      </c>
      <c r="M227" t="n">
        <v>0</v>
      </c>
      <c r="N227" t="n">
        <v>0</v>
      </c>
      <c r="O227" t="n">
        <v>0</v>
      </c>
      <c r="P227" t="n">
        <v>0</v>
      </c>
      <c r="Q227" t="n">
        <v>0</v>
      </c>
      <c r="R227" s="2" t="inlineStr"/>
    </row>
    <row r="228" ht="15" customHeight="1">
      <c r="A228" t="inlineStr">
        <is>
          <t>A 43122-2020</t>
        </is>
      </c>
      <c r="B228" s="1" t="n">
        <v>44079</v>
      </c>
      <c r="C228" s="1" t="n">
        <v>45711</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43437-2020</t>
        </is>
      </c>
      <c r="B229" s="1" t="n">
        <v>44081</v>
      </c>
      <c r="C229" s="1" t="n">
        <v>45711</v>
      </c>
      <c r="D229" t="inlineStr">
        <is>
          <t>NORRBOTTENS LÄN</t>
        </is>
      </c>
      <c r="E229" t="inlineStr">
        <is>
          <t>PAJALA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43771-2020</t>
        </is>
      </c>
      <c r="B230" s="1" t="n">
        <v>44082</v>
      </c>
      <c r="C230" s="1" t="n">
        <v>45711</v>
      </c>
      <c r="D230" t="inlineStr">
        <is>
          <t>NORRBOTTENS LÄN</t>
        </is>
      </c>
      <c r="E230" t="inlineStr">
        <is>
          <t>PAJALA</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45002-2020</t>
        </is>
      </c>
      <c r="B231" s="1" t="n">
        <v>44083</v>
      </c>
      <c r="C231" s="1" t="n">
        <v>45711</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44942-2020</t>
        </is>
      </c>
      <c r="B232" s="1" t="n">
        <v>44088</v>
      </c>
      <c r="C232" s="1" t="n">
        <v>45711</v>
      </c>
      <c r="D232" t="inlineStr">
        <is>
          <t>NORRBOTTENS LÄN</t>
        </is>
      </c>
      <c r="E232" t="inlineStr">
        <is>
          <t>PAJALA</t>
        </is>
      </c>
      <c r="G232" t="n">
        <v>21.5</v>
      </c>
      <c r="H232" t="n">
        <v>0</v>
      </c>
      <c r="I232" t="n">
        <v>0</v>
      </c>
      <c r="J232" t="n">
        <v>0</v>
      </c>
      <c r="K232" t="n">
        <v>0</v>
      </c>
      <c r="L232" t="n">
        <v>0</v>
      </c>
      <c r="M232" t="n">
        <v>0</v>
      </c>
      <c r="N232" t="n">
        <v>0</v>
      </c>
      <c r="O232" t="n">
        <v>0</v>
      </c>
      <c r="P232" t="n">
        <v>0</v>
      </c>
      <c r="Q232" t="n">
        <v>0</v>
      </c>
      <c r="R232" s="2" t="inlineStr"/>
    </row>
    <row r="233" ht="15" customHeight="1">
      <c r="A233" t="inlineStr">
        <is>
          <t>A 45860-2020</t>
        </is>
      </c>
      <c r="B233" s="1" t="n">
        <v>44091</v>
      </c>
      <c r="C233" s="1" t="n">
        <v>45711</v>
      </c>
      <c r="D233" t="inlineStr">
        <is>
          <t>NORRBOTTENS LÄN</t>
        </is>
      </c>
      <c r="E233" t="inlineStr">
        <is>
          <t>PAJALA</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46781-2020</t>
        </is>
      </c>
      <c r="B234" s="1" t="n">
        <v>44096</v>
      </c>
      <c r="C234" s="1" t="n">
        <v>45711</v>
      </c>
      <c r="D234" t="inlineStr">
        <is>
          <t>NORRBOTTENS LÄN</t>
        </is>
      </c>
      <c r="E234" t="inlineStr">
        <is>
          <t>PAJALA</t>
        </is>
      </c>
      <c r="G234" t="n">
        <v>9</v>
      </c>
      <c r="H234" t="n">
        <v>0</v>
      </c>
      <c r="I234" t="n">
        <v>0</v>
      </c>
      <c r="J234" t="n">
        <v>0</v>
      </c>
      <c r="K234" t="n">
        <v>0</v>
      </c>
      <c r="L234" t="n">
        <v>0</v>
      </c>
      <c r="M234" t="n">
        <v>0</v>
      </c>
      <c r="N234" t="n">
        <v>0</v>
      </c>
      <c r="O234" t="n">
        <v>0</v>
      </c>
      <c r="P234" t="n">
        <v>0</v>
      </c>
      <c r="Q234" t="n">
        <v>0</v>
      </c>
      <c r="R234" s="2" t="inlineStr"/>
    </row>
    <row r="235" ht="15" customHeight="1">
      <c r="A235" t="inlineStr">
        <is>
          <t>A 48215-2020</t>
        </is>
      </c>
      <c r="B235" s="1" t="n">
        <v>44097</v>
      </c>
      <c r="C235" s="1" t="n">
        <v>45711</v>
      </c>
      <c r="D235" t="inlineStr">
        <is>
          <t>NORRBOTTENS LÄN</t>
        </is>
      </c>
      <c r="E235" t="inlineStr">
        <is>
          <t>PAJALA</t>
        </is>
      </c>
      <c r="G235" t="n">
        <v>2.5</v>
      </c>
      <c r="H235" t="n">
        <v>0</v>
      </c>
      <c r="I235" t="n">
        <v>0</v>
      </c>
      <c r="J235" t="n">
        <v>0</v>
      </c>
      <c r="K235" t="n">
        <v>0</v>
      </c>
      <c r="L235" t="n">
        <v>0</v>
      </c>
      <c r="M235" t="n">
        <v>0</v>
      </c>
      <c r="N235" t="n">
        <v>0</v>
      </c>
      <c r="O235" t="n">
        <v>0</v>
      </c>
      <c r="P235" t="n">
        <v>0</v>
      </c>
      <c r="Q235" t="n">
        <v>0</v>
      </c>
      <c r="R235" s="2" t="inlineStr"/>
    </row>
    <row r="236" ht="15" customHeight="1">
      <c r="A236" t="inlineStr">
        <is>
          <t>A 50678-2020</t>
        </is>
      </c>
      <c r="B236" s="1" t="n">
        <v>44111</v>
      </c>
      <c r="C236" s="1" t="n">
        <v>45711</v>
      </c>
      <c r="D236" t="inlineStr">
        <is>
          <t>NORRBOTTENS LÄN</t>
        </is>
      </c>
      <c r="E236" t="inlineStr">
        <is>
          <t>PAJALA</t>
        </is>
      </c>
      <c r="G236" t="n">
        <v>6.2</v>
      </c>
      <c r="H236" t="n">
        <v>0</v>
      </c>
      <c r="I236" t="n">
        <v>0</v>
      </c>
      <c r="J236" t="n">
        <v>0</v>
      </c>
      <c r="K236" t="n">
        <v>0</v>
      </c>
      <c r="L236" t="n">
        <v>0</v>
      </c>
      <c r="M236" t="n">
        <v>0</v>
      </c>
      <c r="N236" t="n">
        <v>0</v>
      </c>
      <c r="O236" t="n">
        <v>0</v>
      </c>
      <c r="P236" t="n">
        <v>0</v>
      </c>
      <c r="Q236" t="n">
        <v>0</v>
      </c>
      <c r="R236" s="2" t="inlineStr"/>
    </row>
    <row r="237" ht="15" customHeight="1">
      <c r="A237" t="inlineStr">
        <is>
          <t>A 52728-2020</t>
        </is>
      </c>
      <c r="B237" s="1" t="n">
        <v>44117</v>
      </c>
      <c r="C237" s="1" t="n">
        <v>45711</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53699-2020</t>
        </is>
      </c>
      <c r="B238" s="1" t="n">
        <v>44123</v>
      </c>
      <c r="C238" s="1" t="n">
        <v>45711</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54177-2020</t>
        </is>
      </c>
      <c r="B239" s="1" t="n">
        <v>44125</v>
      </c>
      <c r="C239" s="1" t="n">
        <v>45711</v>
      </c>
      <c r="D239" t="inlineStr">
        <is>
          <t>NORRBOTTENS LÄN</t>
        </is>
      </c>
      <c r="E239" t="inlineStr">
        <is>
          <t>PAJALA</t>
        </is>
      </c>
      <c r="G239" t="n">
        <v>5.9</v>
      </c>
      <c r="H239" t="n">
        <v>0</v>
      </c>
      <c r="I239" t="n">
        <v>0</v>
      </c>
      <c r="J239" t="n">
        <v>0</v>
      </c>
      <c r="K239" t="n">
        <v>0</v>
      </c>
      <c r="L239" t="n">
        <v>0</v>
      </c>
      <c r="M239" t="n">
        <v>0</v>
      </c>
      <c r="N239" t="n">
        <v>0</v>
      </c>
      <c r="O239" t="n">
        <v>0</v>
      </c>
      <c r="P239" t="n">
        <v>0</v>
      </c>
      <c r="Q239" t="n">
        <v>0</v>
      </c>
      <c r="R239" s="2" t="inlineStr"/>
    </row>
    <row r="240" ht="15" customHeight="1">
      <c r="A240" t="inlineStr">
        <is>
          <t>A 54172-2020</t>
        </is>
      </c>
      <c r="B240" s="1" t="n">
        <v>44125</v>
      </c>
      <c r="C240" s="1" t="n">
        <v>45711</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54173-2020</t>
        </is>
      </c>
      <c r="B241" s="1" t="n">
        <v>44125</v>
      </c>
      <c r="C241" s="1" t="n">
        <v>45711</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54175-2020</t>
        </is>
      </c>
      <c r="B242" s="1" t="n">
        <v>44125</v>
      </c>
      <c r="C242" s="1" t="n">
        <v>45711</v>
      </c>
      <c r="D242" t="inlineStr">
        <is>
          <t>NORRBOTTENS LÄN</t>
        </is>
      </c>
      <c r="E242" t="inlineStr">
        <is>
          <t>PAJALA</t>
        </is>
      </c>
      <c r="G242" t="n">
        <v>1.3</v>
      </c>
      <c r="H242" t="n">
        <v>0</v>
      </c>
      <c r="I242" t="n">
        <v>0</v>
      </c>
      <c r="J242" t="n">
        <v>0</v>
      </c>
      <c r="K242" t="n">
        <v>0</v>
      </c>
      <c r="L242" t="n">
        <v>0</v>
      </c>
      <c r="M242" t="n">
        <v>0</v>
      </c>
      <c r="N242" t="n">
        <v>0</v>
      </c>
      <c r="O242" t="n">
        <v>0</v>
      </c>
      <c r="P242" t="n">
        <v>0</v>
      </c>
      <c r="Q242" t="n">
        <v>0</v>
      </c>
      <c r="R242" s="2" t="inlineStr"/>
    </row>
    <row r="243" ht="15" customHeight="1">
      <c r="A243" t="inlineStr">
        <is>
          <t>A 54303-2020</t>
        </is>
      </c>
      <c r="B243" s="1" t="n">
        <v>44126</v>
      </c>
      <c r="C243" s="1" t="n">
        <v>45711</v>
      </c>
      <c r="D243" t="inlineStr">
        <is>
          <t>NORRBOTTENS LÄN</t>
        </is>
      </c>
      <c r="E243" t="inlineStr">
        <is>
          <t>PAJALA</t>
        </is>
      </c>
      <c r="G243" t="n">
        <v>26.2</v>
      </c>
      <c r="H243" t="n">
        <v>0</v>
      </c>
      <c r="I243" t="n">
        <v>0</v>
      </c>
      <c r="J243" t="n">
        <v>0</v>
      </c>
      <c r="K243" t="n">
        <v>0</v>
      </c>
      <c r="L243" t="n">
        <v>0</v>
      </c>
      <c r="M243" t="n">
        <v>0</v>
      </c>
      <c r="N243" t="n">
        <v>0</v>
      </c>
      <c r="O243" t="n">
        <v>0</v>
      </c>
      <c r="P243" t="n">
        <v>0</v>
      </c>
      <c r="Q243" t="n">
        <v>0</v>
      </c>
      <c r="R243" s="2" t="inlineStr"/>
    </row>
    <row r="244" ht="15" customHeight="1">
      <c r="A244" t="inlineStr">
        <is>
          <t>A 55545-2020</t>
        </is>
      </c>
      <c r="B244" s="1" t="n">
        <v>44131</v>
      </c>
      <c r="C244" s="1" t="n">
        <v>45711</v>
      </c>
      <c r="D244" t="inlineStr">
        <is>
          <t>NORRBOTTENS LÄN</t>
        </is>
      </c>
      <c r="E244" t="inlineStr">
        <is>
          <t>PAJALA</t>
        </is>
      </c>
      <c r="G244" t="n">
        <v>12.4</v>
      </c>
      <c r="H244" t="n">
        <v>0</v>
      </c>
      <c r="I244" t="n">
        <v>0</v>
      </c>
      <c r="J244" t="n">
        <v>0</v>
      </c>
      <c r="K244" t="n">
        <v>0</v>
      </c>
      <c r="L244" t="n">
        <v>0</v>
      </c>
      <c r="M244" t="n">
        <v>0</v>
      </c>
      <c r="N244" t="n">
        <v>0</v>
      </c>
      <c r="O244" t="n">
        <v>0</v>
      </c>
      <c r="P244" t="n">
        <v>0</v>
      </c>
      <c r="Q244" t="n">
        <v>0</v>
      </c>
      <c r="R244" s="2" t="inlineStr"/>
    </row>
    <row r="245" ht="15" customHeight="1">
      <c r="A245" t="inlineStr">
        <is>
          <t>A 55785-2020</t>
        </is>
      </c>
      <c r="B245" s="1" t="n">
        <v>44131</v>
      </c>
      <c r="C245" s="1" t="n">
        <v>45711</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3735-2021</t>
        </is>
      </c>
      <c r="B246" s="1" t="n">
        <v>44132</v>
      </c>
      <c r="C246" s="1" t="n">
        <v>45711</v>
      </c>
      <c r="D246" t="inlineStr">
        <is>
          <t>NORRBOTTENS LÄN</t>
        </is>
      </c>
      <c r="E246" t="inlineStr">
        <is>
          <t>PAJALA</t>
        </is>
      </c>
      <c r="G246" t="n">
        <v>1.4</v>
      </c>
      <c r="H246" t="n">
        <v>0</v>
      </c>
      <c r="I246" t="n">
        <v>0</v>
      </c>
      <c r="J246" t="n">
        <v>0</v>
      </c>
      <c r="K246" t="n">
        <v>0</v>
      </c>
      <c r="L246" t="n">
        <v>0</v>
      </c>
      <c r="M246" t="n">
        <v>0</v>
      </c>
      <c r="N246" t="n">
        <v>0</v>
      </c>
      <c r="O246" t="n">
        <v>0</v>
      </c>
      <c r="P246" t="n">
        <v>0</v>
      </c>
      <c r="Q246" t="n">
        <v>0</v>
      </c>
      <c r="R246" s="2" t="inlineStr"/>
    </row>
    <row r="247" ht="15" customHeight="1">
      <c r="A247" t="inlineStr">
        <is>
          <t>A 59122-2020</t>
        </is>
      </c>
      <c r="B247" s="1" t="n">
        <v>44147</v>
      </c>
      <c r="C247" s="1" t="n">
        <v>45711</v>
      </c>
      <c r="D247" t="inlineStr">
        <is>
          <t>NORRBOTTENS LÄN</t>
        </is>
      </c>
      <c r="E247" t="inlineStr">
        <is>
          <t>PAJALA</t>
        </is>
      </c>
      <c r="G247" t="n">
        <v>1.2</v>
      </c>
      <c r="H247" t="n">
        <v>0</v>
      </c>
      <c r="I247" t="n">
        <v>0</v>
      </c>
      <c r="J247" t="n">
        <v>0</v>
      </c>
      <c r="K247" t="n">
        <v>0</v>
      </c>
      <c r="L247" t="n">
        <v>0</v>
      </c>
      <c r="M247" t="n">
        <v>0</v>
      </c>
      <c r="N247" t="n">
        <v>0</v>
      </c>
      <c r="O247" t="n">
        <v>0</v>
      </c>
      <c r="P247" t="n">
        <v>0</v>
      </c>
      <c r="Q247" t="n">
        <v>0</v>
      </c>
      <c r="R247" s="2" t="inlineStr"/>
    </row>
    <row r="248" ht="15" customHeight="1">
      <c r="A248" t="inlineStr">
        <is>
          <t>A 59128-2020</t>
        </is>
      </c>
      <c r="B248" s="1" t="n">
        <v>44147</v>
      </c>
      <c r="C248" s="1" t="n">
        <v>45711</v>
      </c>
      <c r="D248" t="inlineStr">
        <is>
          <t>NORRBOTTENS LÄN</t>
        </is>
      </c>
      <c r="E248" t="inlineStr">
        <is>
          <t>PAJALA</t>
        </is>
      </c>
      <c r="G248" t="n">
        <v>8.4</v>
      </c>
      <c r="H248" t="n">
        <v>0</v>
      </c>
      <c r="I248" t="n">
        <v>0</v>
      </c>
      <c r="J248" t="n">
        <v>0</v>
      </c>
      <c r="K248" t="n">
        <v>0</v>
      </c>
      <c r="L248" t="n">
        <v>0</v>
      </c>
      <c r="M248" t="n">
        <v>0</v>
      </c>
      <c r="N248" t="n">
        <v>0</v>
      </c>
      <c r="O248" t="n">
        <v>0</v>
      </c>
      <c r="P248" t="n">
        <v>0</v>
      </c>
      <c r="Q248" t="n">
        <v>0</v>
      </c>
      <c r="R248" s="2" t="inlineStr"/>
    </row>
    <row r="249" ht="15" customHeight="1">
      <c r="A249" t="inlineStr">
        <is>
          <t>A 59126-2020</t>
        </is>
      </c>
      <c r="B249" s="1" t="n">
        <v>44147</v>
      </c>
      <c r="C249" s="1" t="n">
        <v>45711</v>
      </c>
      <c r="D249" t="inlineStr">
        <is>
          <t>NORRBOTTENS LÄN</t>
        </is>
      </c>
      <c r="E249" t="inlineStr">
        <is>
          <t>PAJALA</t>
        </is>
      </c>
      <c r="G249" t="n">
        <v>5.7</v>
      </c>
      <c r="H249" t="n">
        <v>0</v>
      </c>
      <c r="I249" t="n">
        <v>0</v>
      </c>
      <c r="J249" t="n">
        <v>0</v>
      </c>
      <c r="K249" t="n">
        <v>0</v>
      </c>
      <c r="L249" t="n">
        <v>0</v>
      </c>
      <c r="M249" t="n">
        <v>0</v>
      </c>
      <c r="N249" t="n">
        <v>0</v>
      </c>
      <c r="O249" t="n">
        <v>0</v>
      </c>
      <c r="P249" t="n">
        <v>0</v>
      </c>
      <c r="Q249" t="n">
        <v>0</v>
      </c>
      <c r="R249" s="2" t="inlineStr"/>
    </row>
    <row r="250" ht="15" customHeight="1">
      <c r="A250" t="inlineStr">
        <is>
          <t>A 59282-2020</t>
        </is>
      </c>
      <c r="B250" s="1" t="n">
        <v>44147</v>
      </c>
      <c r="C250" s="1" t="n">
        <v>45711</v>
      </c>
      <c r="D250" t="inlineStr">
        <is>
          <t>NORRBOTTENS LÄN</t>
        </is>
      </c>
      <c r="E250" t="inlineStr">
        <is>
          <t>PAJALA</t>
        </is>
      </c>
      <c r="G250" t="n">
        <v>19.1</v>
      </c>
      <c r="H250" t="n">
        <v>0</v>
      </c>
      <c r="I250" t="n">
        <v>0</v>
      </c>
      <c r="J250" t="n">
        <v>0</v>
      </c>
      <c r="K250" t="n">
        <v>0</v>
      </c>
      <c r="L250" t="n">
        <v>0</v>
      </c>
      <c r="M250" t="n">
        <v>0</v>
      </c>
      <c r="N250" t="n">
        <v>0</v>
      </c>
      <c r="O250" t="n">
        <v>0</v>
      </c>
      <c r="P250" t="n">
        <v>0</v>
      </c>
      <c r="Q250" t="n">
        <v>0</v>
      </c>
      <c r="R250" s="2" t="inlineStr"/>
    </row>
    <row r="251" ht="15" customHeight="1">
      <c r="A251" t="inlineStr">
        <is>
          <t>A 60121-2020</t>
        </is>
      </c>
      <c r="B251" s="1" t="n">
        <v>44151</v>
      </c>
      <c r="C251" s="1" t="n">
        <v>45711</v>
      </c>
      <c r="D251" t="inlineStr">
        <is>
          <t>NORRBOTTENS LÄN</t>
        </is>
      </c>
      <c r="E251" t="inlineStr">
        <is>
          <t>PAJALA</t>
        </is>
      </c>
      <c r="G251" t="n">
        <v>5.5</v>
      </c>
      <c r="H251" t="n">
        <v>0</v>
      </c>
      <c r="I251" t="n">
        <v>0</v>
      </c>
      <c r="J251" t="n">
        <v>0</v>
      </c>
      <c r="K251" t="n">
        <v>0</v>
      </c>
      <c r="L251" t="n">
        <v>0</v>
      </c>
      <c r="M251" t="n">
        <v>0</v>
      </c>
      <c r="N251" t="n">
        <v>0</v>
      </c>
      <c r="O251" t="n">
        <v>0</v>
      </c>
      <c r="P251" t="n">
        <v>0</v>
      </c>
      <c r="Q251" t="n">
        <v>0</v>
      </c>
      <c r="R251" s="2" t="inlineStr"/>
    </row>
    <row r="252" ht="15" customHeight="1">
      <c r="A252" t="inlineStr">
        <is>
          <t>A 60106-2020</t>
        </is>
      </c>
      <c r="B252" s="1" t="n">
        <v>44151</v>
      </c>
      <c r="C252" s="1" t="n">
        <v>45711</v>
      </c>
      <c r="D252" t="inlineStr">
        <is>
          <t>NORRBOTTENS LÄN</t>
        </is>
      </c>
      <c r="E252" t="inlineStr">
        <is>
          <t>PAJALA</t>
        </is>
      </c>
      <c r="G252" t="n">
        <v>3</v>
      </c>
      <c r="H252" t="n">
        <v>0</v>
      </c>
      <c r="I252" t="n">
        <v>0</v>
      </c>
      <c r="J252" t="n">
        <v>0</v>
      </c>
      <c r="K252" t="n">
        <v>0</v>
      </c>
      <c r="L252" t="n">
        <v>0</v>
      </c>
      <c r="M252" t="n">
        <v>0</v>
      </c>
      <c r="N252" t="n">
        <v>0</v>
      </c>
      <c r="O252" t="n">
        <v>0</v>
      </c>
      <c r="P252" t="n">
        <v>0</v>
      </c>
      <c r="Q252" t="n">
        <v>0</v>
      </c>
      <c r="R252" s="2" t="inlineStr"/>
    </row>
    <row r="253" ht="15" customHeight="1">
      <c r="A253" t="inlineStr">
        <is>
          <t>A 60115-2020</t>
        </is>
      </c>
      <c r="B253" s="1" t="n">
        <v>44151</v>
      </c>
      <c r="C253" s="1" t="n">
        <v>45711</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61895-2020</t>
        </is>
      </c>
      <c r="B254" s="1" t="n">
        <v>44155</v>
      </c>
      <c r="C254" s="1" t="n">
        <v>45711</v>
      </c>
      <c r="D254" t="inlineStr">
        <is>
          <t>NORRBOTTENS LÄN</t>
        </is>
      </c>
      <c r="E254" t="inlineStr">
        <is>
          <t>PAJALA</t>
        </is>
      </c>
      <c r="G254" t="n">
        <v>20.1</v>
      </c>
      <c r="H254" t="n">
        <v>0</v>
      </c>
      <c r="I254" t="n">
        <v>0</v>
      </c>
      <c r="J254" t="n">
        <v>0</v>
      </c>
      <c r="K254" t="n">
        <v>0</v>
      </c>
      <c r="L254" t="n">
        <v>0</v>
      </c>
      <c r="M254" t="n">
        <v>0</v>
      </c>
      <c r="N254" t="n">
        <v>0</v>
      </c>
      <c r="O254" t="n">
        <v>0</v>
      </c>
      <c r="P254" t="n">
        <v>0</v>
      </c>
      <c r="Q254" t="n">
        <v>0</v>
      </c>
      <c r="R254" s="2" t="inlineStr"/>
    </row>
    <row r="255" ht="15" customHeight="1">
      <c r="A255" t="inlineStr">
        <is>
          <t>A 61831-2020</t>
        </is>
      </c>
      <c r="B255" s="1" t="n">
        <v>44158</v>
      </c>
      <c r="C255" s="1" t="n">
        <v>45711</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64639-2020</t>
        </is>
      </c>
      <c r="B256" s="1" t="n">
        <v>44169</v>
      </c>
      <c r="C256" s="1" t="n">
        <v>45711</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65543-2020</t>
        </is>
      </c>
      <c r="B257" s="1" t="n">
        <v>44172</v>
      </c>
      <c r="C257" s="1" t="n">
        <v>45711</v>
      </c>
      <c r="D257" t="inlineStr">
        <is>
          <t>NORRBOTTENS LÄN</t>
        </is>
      </c>
      <c r="E257" t="inlineStr">
        <is>
          <t>PAJALA</t>
        </is>
      </c>
      <c r="G257" t="n">
        <v>5.1</v>
      </c>
      <c r="H257" t="n">
        <v>0</v>
      </c>
      <c r="I257" t="n">
        <v>0</v>
      </c>
      <c r="J257" t="n">
        <v>0</v>
      </c>
      <c r="K257" t="n">
        <v>0</v>
      </c>
      <c r="L257" t="n">
        <v>0</v>
      </c>
      <c r="M257" t="n">
        <v>0</v>
      </c>
      <c r="N257" t="n">
        <v>0</v>
      </c>
      <c r="O257" t="n">
        <v>0</v>
      </c>
      <c r="P257" t="n">
        <v>0</v>
      </c>
      <c r="Q257" t="n">
        <v>0</v>
      </c>
      <c r="R257" s="2" t="inlineStr"/>
    </row>
    <row r="258" ht="15" customHeight="1">
      <c r="A258" t="inlineStr">
        <is>
          <t>A 65636-2020</t>
        </is>
      </c>
      <c r="B258" s="1" t="n">
        <v>44173</v>
      </c>
      <c r="C258" s="1" t="n">
        <v>45711</v>
      </c>
      <c r="D258" t="inlineStr">
        <is>
          <t>NORRBOTTENS LÄN</t>
        </is>
      </c>
      <c r="E258" t="inlineStr">
        <is>
          <t>PAJALA</t>
        </is>
      </c>
      <c r="G258" t="n">
        <v>12.3</v>
      </c>
      <c r="H258" t="n">
        <v>0</v>
      </c>
      <c r="I258" t="n">
        <v>0</v>
      </c>
      <c r="J258" t="n">
        <v>0</v>
      </c>
      <c r="K258" t="n">
        <v>0</v>
      </c>
      <c r="L258" t="n">
        <v>0</v>
      </c>
      <c r="M258" t="n">
        <v>0</v>
      </c>
      <c r="N258" t="n">
        <v>0</v>
      </c>
      <c r="O258" t="n">
        <v>0</v>
      </c>
      <c r="P258" t="n">
        <v>0</v>
      </c>
      <c r="Q258" t="n">
        <v>0</v>
      </c>
      <c r="R258" s="2" t="inlineStr"/>
    </row>
    <row r="259" ht="15" customHeight="1">
      <c r="A259" t="inlineStr">
        <is>
          <t>A 65756-2020</t>
        </is>
      </c>
      <c r="B259" s="1" t="n">
        <v>44174</v>
      </c>
      <c r="C259" s="1" t="n">
        <v>45711</v>
      </c>
      <c r="D259" t="inlineStr">
        <is>
          <t>NORRBOTTENS LÄN</t>
        </is>
      </c>
      <c r="E259" t="inlineStr">
        <is>
          <t>PAJALA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67524-2020</t>
        </is>
      </c>
      <c r="B260" s="1" t="n">
        <v>44180</v>
      </c>
      <c r="C260" s="1" t="n">
        <v>45711</v>
      </c>
      <c r="D260" t="inlineStr">
        <is>
          <t>NORRBOTTENS LÄN</t>
        </is>
      </c>
      <c r="E260" t="inlineStr">
        <is>
          <t>PAJALA</t>
        </is>
      </c>
      <c r="G260" t="n">
        <v>13.7</v>
      </c>
      <c r="H260" t="n">
        <v>0</v>
      </c>
      <c r="I260" t="n">
        <v>0</v>
      </c>
      <c r="J260" t="n">
        <v>0</v>
      </c>
      <c r="K260" t="n">
        <v>0</v>
      </c>
      <c r="L260" t="n">
        <v>0</v>
      </c>
      <c r="M260" t="n">
        <v>0</v>
      </c>
      <c r="N260" t="n">
        <v>0</v>
      </c>
      <c r="O260" t="n">
        <v>0</v>
      </c>
      <c r="P260" t="n">
        <v>0</v>
      </c>
      <c r="Q260" t="n">
        <v>0</v>
      </c>
      <c r="R260" s="2" t="inlineStr"/>
    </row>
    <row r="261" ht="15" customHeight="1">
      <c r="A261" t="inlineStr">
        <is>
          <t>A 1925-2021</t>
        </is>
      </c>
      <c r="B261" s="1" t="n">
        <v>44210</v>
      </c>
      <c r="C261" s="1" t="n">
        <v>45711</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3584-2021</t>
        </is>
      </c>
      <c r="B262" s="1" t="n">
        <v>44218</v>
      </c>
      <c r="C262" s="1" t="n">
        <v>45711</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4856-2021</t>
        </is>
      </c>
      <c r="B263" s="1" t="n">
        <v>44223</v>
      </c>
      <c r="C263" s="1" t="n">
        <v>45711</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4822-2021</t>
        </is>
      </c>
      <c r="B264" s="1" t="n">
        <v>44223</v>
      </c>
      <c r="C264" s="1" t="n">
        <v>45711</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5938-2021</t>
        </is>
      </c>
      <c r="B265" s="1" t="n">
        <v>44231</v>
      </c>
      <c r="C265" s="1" t="n">
        <v>45711</v>
      </c>
      <c r="D265" t="inlineStr">
        <is>
          <t>NORRBOTTENS LÄN</t>
        </is>
      </c>
      <c r="E265" t="inlineStr">
        <is>
          <t>PAJALA</t>
        </is>
      </c>
      <c r="G265" t="n">
        <v>24.5</v>
      </c>
      <c r="H265" t="n">
        <v>0</v>
      </c>
      <c r="I265" t="n">
        <v>0</v>
      </c>
      <c r="J265" t="n">
        <v>0</v>
      </c>
      <c r="K265" t="n">
        <v>0</v>
      </c>
      <c r="L265" t="n">
        <v>0</v>
      </c>
      <c r="M265" t="n">
        <v>0</v>
      </c>
      <c r="N265" t="n">
        <v>0</v>
      </c>
      <c r="O265" t="n">
        <v>0</v>
      </c>
      <c r="P265" t="n">
        <v>0</v>
      </c>
      <c r="Q265" t="n">
        <v>0</v>
      </c>
      <c r="R265" s="2" t="inlineStr"/>
    </row>
    <row r="266" ht="15" customHeight="1">
      <c r="A266" t="inlineStr">
        <is>
          <t>A 6657-2021</t>
        </is>
      </c>
      <c r="B266" s="1" t="n">
        <v>44236</v>
      </c>
      <c r="C266" s="1" t="n">
        <v>45711</v>
      </c>
      <c r="D266" t="inlineStr">
        <is>
          <t>NORRBOTTENS LÄN</t>
        </is>
      </c>
      <c r="E266" t="inlineStr">
        <is>
          <t>PAJALA</t>
        </is>
      </c>
      <c r="F266" t="inlineStr">
        <is>
          <t>Allmännings- och besparingsskogar</t>
        </is>
      </c>
      <c r="G266" t="n">
        <v>70.59999999999999</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45711</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45711</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45711</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45711</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45711</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45711</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45711</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45711</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45711</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45711</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45711</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45711</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45711</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45711</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45711</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45711</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45711</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45711</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45711</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45711</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45711</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45711</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45711</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45711</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45711</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45711</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45711</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45711</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45711</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45711</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45711</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45711</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45711</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45711</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45711</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45711</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45711</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45711</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45711</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45711</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45711</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45711</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45711</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45711</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45711</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45711</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45711</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45711</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45711</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45711</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45711</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45711</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45711</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45711</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45711</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45711</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45711</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45711</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45711</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45711</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45711</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45711</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45711</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45711</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45711</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45711</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45711</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45711</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45711</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45711</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45711</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45711</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45711</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45711</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45711</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45711</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45711</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45711</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45711</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45711</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45711</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45711</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45711</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45711</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45711</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45711</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45711</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45711</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45711</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45711</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45711</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45711</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45711</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45711</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45711</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45711</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45711</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45711</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45711</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45711</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45711</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45711</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45711</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45711</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45711</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45711</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45711</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45711</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45711</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45711</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45711</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45711</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45711</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45711</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45711</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45711</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45711</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45711</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45711</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45711</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45711</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45711</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45711</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45711</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45711</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45711</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45711</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45711</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45711</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45711</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45711</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45711</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45711</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45711</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45711</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45711</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45711</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45711</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45711</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45711</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45711</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45711</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45711</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45711</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45711</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45711</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45711</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45711</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45711</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45711</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45711</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45711</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45711</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45711</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45711</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45711</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45711</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45711</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45711</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45711</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45711</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45711</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45711</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45711</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45711</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45711</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45711</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45711</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45711</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45711</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45711</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45711</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45711</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45711</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45711</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45711</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45711</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45711</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45711</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45711</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45711</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45711</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45711</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45711</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45711</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45711</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45711</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45711</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45711</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45711</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45711</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45711</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45711</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45711</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45711</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45711</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45711</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45711</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45711</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45711</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45711</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45711</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45711</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45711</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45711</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45711</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45711</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45711</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45711</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45711</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45711</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45711</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45711</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45711</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45711</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45711</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45711</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45711</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45711</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45711</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45711</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45711</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45711</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45711</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45711</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45711</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45711</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45711</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45711</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45711</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45711</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45711</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45711</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45711</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45711</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45711</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45711</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45711</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45711</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45711</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45711</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45711</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45711</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45711</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45711</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45711</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45711</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45711</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45711</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45711</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45711</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45711</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45711</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45711</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45711</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45711</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45711</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45711</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45711</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45711</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45711</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45711</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45711</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45711</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45711</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45711</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45711</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45711</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45711</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45711</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45711</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45711</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45711</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45711</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45711</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45711</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45711</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45711</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45711</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45711</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45711</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45711</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45711</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45711</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45711</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45711</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45711</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45711</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45711</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45711</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45711</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45711</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45711</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45711</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45711</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45711</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45711</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45711</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45711</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45711</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45711</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45711</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45711</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45711</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45711</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45711</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45711</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45711</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45711</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45711</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45711</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45711</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45711</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45711</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45711</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45711</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45711</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45711</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45711</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45711</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45711</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45711</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45711</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45711</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45711</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45711</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45711</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45711</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45711</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45711</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45711</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45711</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45711</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45711</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45711</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45711</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45711</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45711</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45711</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45711</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45711</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45711</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45711</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45711</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45711</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45711</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45711</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45711</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45711</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45711</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45711</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45711</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45711</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45711</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45711</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45711</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45711</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45711</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45711</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45711</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45711</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45711</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45711</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45711</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45711</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45711</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45711</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45711</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45711</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45711</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45711</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45711</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45711</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45711</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45711</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45711</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45711</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45711</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45711</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45711</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45711</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45711</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45711</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45711</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45711</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45711</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45711</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45711</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45711</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45711</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45711</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45711</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45711</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45711</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45711</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45711</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45711</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45711</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45711</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45711</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45711</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45711</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45711</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45711</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45711</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45711</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45711</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45711</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45711</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45711</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45711</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45711</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45711</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45711</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45711</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45711</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45711</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45711</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45711</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45711</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45711</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45711</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45711</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45711</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45711</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45711</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45711</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45711</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45711</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45711</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45711</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45711</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45711</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45711</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45711</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45711</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45711</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45711</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45711</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45711</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45711</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45711</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45711</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45711</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45711</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45711</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45711</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45711</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45711</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45711</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45711</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45711</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45711</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45711</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45711</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45711</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45711</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45711</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45711</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45711</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45711</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45711</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45711</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45711</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45711</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45711</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45711</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45711</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45711</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45711</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45711</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45711</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45711</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45711</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45711</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45711</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45711</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45711</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45711</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45711</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45711</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45711</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45711</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45711</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45711</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45711</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45711</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45711</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45711</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45711</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45711</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45711</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45711</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45711</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45711</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45711</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45711</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45711</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45711</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45711</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45711</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45711</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45711</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45711</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45711</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45711</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45711</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45711</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45711</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45711</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45711</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45711</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45711</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45711</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45711</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45711</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45711</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45711</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45711</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45711</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45711</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45711</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45711</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45711</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45711</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45711</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45711</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45711</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45711</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45711</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45711</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45711</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45711</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45711</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45711</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45711</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45711</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45711</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45711</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45711</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45711</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45711</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45711</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45711</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45711</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45711</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45711</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45711</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45711</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45711</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45711</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45711</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45711</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45711</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45711</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45711</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45711</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45711</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45711</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45711</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45711</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45711</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45711</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45711</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45711</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45711</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45711</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45711</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45711</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45711</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45711</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45711</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45711</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45711</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45711</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45711</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45711</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45711</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45711</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45711</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45711</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45711</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45711</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45711</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45711</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45711</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45711</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45711</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45711</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45711</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45711</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45711</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45711</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45711</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45711</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45711</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45711</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45711</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45711</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45711</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45711</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45711</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45711</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45711</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45711</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45711</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45711</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45711</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45711</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45711</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45711</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45711</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45711</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45711</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45711</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45711</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45711</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45711</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45711</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45711</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45711</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45711</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45711</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45711</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45711</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45711</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45711</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45711</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45711</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45711</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45711</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45711</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45711</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45711</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45711</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45711</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45711</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45711</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45711</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45711</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45711</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45711</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45711</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45711</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45711</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45711</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45711</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45711</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45711</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45711</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45711</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45711</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45711</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45711</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45711</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45711</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45711</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45711</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45711</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45711</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45711</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45711</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45711</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45711</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45711</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45711</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45711</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45711</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45711</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45711</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45711</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45711</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45711</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45711</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45711</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45711</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45711</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45711</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45711</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45711</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45711</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45711</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45711</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45711</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45711</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45711</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45711</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45711</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45711</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45711</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45711</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45711</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45711</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45711</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45711</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45711</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45711</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45711</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45711</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45711</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45711</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45711</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45711</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45711</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45711</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45711</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45711</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45711</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45711</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45711</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45711</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45711</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45711</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45711</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45711</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45711</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45711</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45711</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45711</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45711</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45711</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45711</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45711</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45711</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45711</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45711</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45711</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45711</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45711</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45711</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45711</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45711</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45711</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45711</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45711</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45711</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45711</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45711</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45711</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45711</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45711</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45711</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45711</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45711</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45711</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45711</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45711</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45711</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45711</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45711</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45711</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45711</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45711</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45711</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45711</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45711</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45711</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45711</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45711</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45711</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45711</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45711</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45711</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45711</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45711</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45711</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45711</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45711</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45711</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45711</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45711</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45711</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45711</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45711</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45711</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45711</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45711</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45711</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45711</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45711</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45711</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45711</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45711</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45711</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45711</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45711</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45711</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45711</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45711</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45711</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45711</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45711</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45711</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45711</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45711</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45711</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45711</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45711</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45711</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45711</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45711</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45711</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45711</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45711</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45711</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45711</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45711</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45711</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45711</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45711</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45711</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45711</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45711</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45711</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45711</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45711</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45711</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45711</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45711</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6328-2025</t>
        </is>
      </c>
      <c r="B1086" s="1" t="n">
        <v>45698</v>
      </c>
      <c r="C1086" s="1" t="n">
        <v>45711</v>
      </c>
      <c r="D1086" t="inlineStr">
        <is>
          <t>NORRBOTTENS LÄN</t>
        </is>
      </c>
      <c r="E1086" t="inlineStr">
        <is>
          <t>PAJALA</t>
        </is>
      </c>
      <c r="G1086" t="n">
        <v>13.5</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45711</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45711</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45711</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45711</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c r="A1091" t="inlineStr">
        <is>
          <t>A 7929-2025</t>
        </is>
      </c>
      <c r="B1091" s="1" t="n">
        <v>45707</v>
      </c>
      <c r="C1091" s="1" t="n">
        <v>45711</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2025-02-23T16:31:40Z</dcterms:created>
  <dcterms:modified xmlns:dcterms="http://purl.org/dc/terms/" xmlns:xsi="http://www.w3.org/2001/XMLSchema-instance" xsi:type="dcterms:W3CDTF">2025-02-23T16:31:41Z</dcterms:modified>
</cp:coreProperties>
</file>