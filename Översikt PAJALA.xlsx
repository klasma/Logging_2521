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45513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45513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45513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45513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45513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7961-2022</t>
        </is>
      </c>
      <c r="B7" s="1" t="n">
        <v>44608</v>
      </c>
      <c r="C7" s="1" t="n">
        <v>45513</v>
      </c>
      <c r="D7" t="inlineStr">
        <is>
          <t>NORRBOTTENS LÄN</t>
        </is>
      </c>
      <c r="E7" t="inlineStr">
        <is>
          <t>PAJALA</t>
        </is>
      </c>
      <c r="F7" t="inlineStr">
        <is>
          <t>SCA</t>
        </is>
      </c>
      <c r="G7" t="n">
        <v>5</v>
      </c>
      <c r="H7" t="n">
        <v>1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Rynkskinn
Garnlav
Granticka
Tretåig hackspett
Ullticka
Vedskivlav
Vitgrynig nållav
Dropptaggsvamp
Skarp dropptaggsvamp
Skinnlav</t>
        </is>
      </c>
      <c r="S7">
        <f>HYPERLINK("https://klasma.github.io/Logging_2521/artfynd/A 7961-2022 artfynd.xlsx", "A 7961-2022")</f>
        <v/>
      </c>
      <c r="T7">
        <f>HYPERLINK("https://klasma.github.io/Logging_2521/kartor/A 7961-2022 karta.png", "A 7961-2022")</f>
        <v/>
      </c>
      <c r="V7">
        <f>HYPERLINK("https://klasma.github.io/Logging_2521/klagomål/A 7961-2022 FSC-klagomål.docx", "A 7961-2022")</f>
        <v/>
      </c>
      <c r="W7">
        <f>HYPERLINK("https://klasma.github.io/Logging_2521/klagomålsmail/A 7961-2022 FSC-klagomål mail.docx", "A 7961-2022")</f>
        <v/>
      </c>
      <c r="X7">
        <f>HYPERLINK("https://klasma.github.io/Logging_2521/tillsyn/A 7961-2022 tillsynsbegäran.docx", "A 7961-2022")</f>
        <v/>
      </c>
      <c r="Y7">
        <f>HYPERLINK("https://klasma.github.io/Logging_2521/tillsynsmail/A 7961-2022 tillsynsbegäran mail.docx", "A 7961-2022")</f>
        <v/>
      </c>
      <c r="Z7">
        <f>HYPERLINK("https://klasma.github.io/Logging_2521/fåglar/A 7961-2022 prioriterade fågelarter.docx", "A 7961-2022")</f>
        <v/>
      </c>
    </row>
    <row r="8" ht="15" customHeight="1">
      <c r="A8" t="inlineStr">
        <is>
          <t>A 34648-2020</t>
        </is>
      </c>
      <c r="B8" s="1" t="n">
        <v>44034</v>
      </c>
      <c r="C8" s="1" t="n">
        <v>45513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49.3</v>
      </c>
      <c r="H8" t="n">
        <v>0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Blågrå svartspik
Gammelgransskål
Garnlav
Granticka
Vitplätt
Bårdlav
Luddlav
Skinnlav
Stuplav</t>
        </is>
      </c>
      <c r="S8">
        <f>HYPERLINK("https://klasma.github.io/Logging_2521/artfynd/A 34648-2020 artfynd.xlsx", "A 34648-2020")</f>
        <v/>
      </c>
      <c r="T8">
        <f>HYPERLINK("https://klasma.github.io/Logging_2521/kartor/A 34648-2020 karta.png", "A 34648-2020")</f>
        <v/>
      </c>
      <c r="V8">
        <f>HYPERLINK("https://klasma.github.io/Logging_2521/klagomål/A 34648-2020 FSC-klagomål.docx", "A 34648-2020")</f>
        <v/>
      </c>
      <c r="W8">
        <f>HYPERLINK("https://klasma.github.io/Logging_2521/klagomålsmail/A 34648-2020 FSC-klagomål mail.docx", "A 34648-2020")</f>
        <v/>
      </c>
      <c r="X8">
        <f>HYPERLINK("https://klasma.github.io/Logging_2521/tillsyn/A 34648-2020 tillsynsbegäran.docx", "A 34648-2020")</f>
        <v/>
      </c>
      <c r="Y8">
        <f>HYPERLINK("https://klasma.github.io/Logging_2521/tillsynsmail/A 34648-2020 tillsynsbegäran mail.docx", "A 34648-2020")</f>
        <v/>
      </c>
    </row>
    <row r="9" ht="15" customHeight="1">
      <c r="A9" t="inlineStr">
        <is>
          <t>A 58129-2021</t>
        </is>
      </c>
      <c r="B9" s="1" t="n">
        <v>44487</v>
      </c>
      <c r="C9" s="1" t="n">
        <v>45513</v>
      </c>
      <c r="D9" t="inlineStr">
        <is>
          <t>NORRBOTTENS LÄN</t>
        </is>
      </c>
      <c r="E9" t="inlineStr">
        <is>
          <t>PAJALA</t>
        </is>
      </c>
      <c r="F9" t="inlineStr">
        <is>
          <t>Sveaskog</t>
        </is>
      </c>
      <c r="G9" t="n">
        <v>9.800000000000001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Gräddporing
Blågrå svartspik
Mörk kolflarnlav
Vedflamlav
Vedskivlav
Vitgrynig nållav
Vitplätt
Bårdlav
Luddlav</t>
        </is>
      </c>
      <c r="S9">
        <f>HYPERLINK("https://klasma.github.io/Logging_2521/artfynd/A 58129-2021 artfynd.xlsx", "A 58129-2021")</f>
        <v/>
      </c>
      <c r="T9">
        <f>HYPERLINK("https://klasma.github.io/Logging_2521/kartor/A 58129-2021 karta.png", "A 58129-2021")</f>
        <v/>
      </c>
      <c r="V9">
        <f>HYPERLINK("https://klasma.github.io/Logging_2521/klagomål/A 58129-2021 FSC-klagomål.docx", "A 58129-2021")</f>
        <v/>
      </c>
      <c r="W9">
        <f>HYPERLINK("https://klasma.github.io/Logging_2521/klagomålsmail/A 58129-2021 FSC-klagomål mail.docx", "A 58129-2021")</f>
        <v/>
      </c>
      <c r="X9">
        <f>HYPERLINK("https://klasma.github.io/Logging_2521/tillsyn/A 58129-2021 tillsynsbegäran.docx", "A 58129-2021")</f>
        <v/>
      </c>
      <c r="Y9">
        <f>HYPERLINK("https://klasma.github.io/Logging_2521/tillsynsmail/A 58129-2021 tillsynsbegäran mail.docx", "A 58129-2021")</f>
        <v/>
      </c>
    </row>
    <row r="10" ht="15" customHeight="1">
      <c r="A10" t="inlineStr">
        <is>
          <t>A 53440-2022</t>
        </is>
      </c>
      <c r="B10" s="1" t="n">
        <v>44874</v>
      </c>
      <c r="C10" s="1" t="n">
        <v>45513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7.2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Brunpudrad nållav
Gammelgransskål
Vitgrynig nållav
Skör kvastmossa
Vedticka
Tjäder
Revlummer</t>
        </is>
      </c>
      <c r="S10">
        <f>HYPERLINK("https://klasma.github.io/Logging_2521/artfynd/A 53440-2022 artfynd.xlsx", "A 53440-2022")</f>
        <v/>
      </c>
      <c r="T10">
        <f>HYPERLINK("https://klasma.github.io/Logging_2521/kartor/A 53440-2022 karta.png", "A 53440-2022")</f>
        <v/>
      </c>
      <c r="V10">
        <f>HYPERLINK("https://klasma.github.io/Logging_2521/klagomål/A 53440-2022 FSC-klagomål.docx", "A 53440-2022")</f>
        <v/>
      </c>
      <c r="W10">
        <f>HYPERLINK("https://klasma.github.io/Logging_2521/klagomålsmail/A 53440-2022 FSC-klagomål mail.docx", "A 53440-2022")</f>
        <v/>
      </c>
      <c r="X10">
        <f>HYPERLINK("https://klasma.github.io/Logging_2521/tillsyn/A 53440-2022 tillsynsbegäran.docx", "A 53440-2022")</f>
        <v/>
      </c>
      <c r="Y10">
        <f>HYPERLINK("https://klasma.github.io/Logging_2521/tillsynsmail/A 53440-2022 tillsynsbegäran mail.docx", "A 53440-2022")</f>
        <v/>
      </c>
      <c r="Z10">
        <f>HYPERLINK("https://klasma.github.io/Logging_2521/fåglar/A 53440-2022 prioriterade fågelarter.docx", "A 53440-2022")</f>
        <v/>
      </c>
    </row>
    <row r="11" ht="15" customHeight="1">
      <c r="A11" t="inlineStr">
        <is>
          <t>A 7958-2022</t>
        </is>
      </c>
      <c r="B11" s="1" t="n">
        <v>44608</v>
      </c>
      <c r="C11" s="1" t="n">
        <v>45513</v>
      </c>
      <c r="D11" t="inlineStr">
        <is>
          <t>NORRBOTTENS LÄN</t>
        </is>
      </c>
      <c r="E11" t="inlineStr">
        <is>
          <t>PAJALA</t>
        </is>
      </c>
      <c r="F11" t="inlineStr">
        <is>
          <t>SCA</t>
        </is>
      </c>
      <c r="G11" t="n">
        <v>30.7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Granticka
Rosenticka
Ullticka
Plattlummer
Trådticka</t>
        </is>
      </c>
      <c r="S11">
        <f>HYPERLINK("https://klasma.github.io/Logging_2521/artfynd/A 7958-2022 artfynd.xlsx", "A 7958-2022")</f>
        <v/>
      </c>
      <c r="T11">
        <f>HYPERLINK("https://klasma.github.io/Logging_2521/kartor/A 7958-2022 karta.png", "A 7958-2022")</f>
        <v/>
      </c>
      <c r="V11">
        <f>HYPERLINK("https://klasma.github.io/Logging_2521/klagomål/A 7958-2022 FSC-klagomål.docx", "A 7958-2022")</f>
        <v/>
      </c>
      <c r="W11">
        <f>HYPERLINK("https://klasma.github.io/Logging_2521/klagomålsmail/A 7958-2022 FSC-klagomål mail.docx", "A 7958-2022")</f>
        <v/>
      </c>
      <c r="X11">
        <f>HYPERLINK("https://klasma.github.io/Logging_2521/tillsyn/A 7958-2022 tillsynsbegäran.docx", "A 7958-2022")</f>
        <v/>
      </c>
      <c r="Y11">
        <f>HYPERLINK("https://klasma.github.io/Logging_2521/tillsynsmail/A 7958-2022 tillsynsbegäran mail.docx", "A 7958-2022")</f>
        <v/>
      </c>
    </row>
    <row r="12" ht="15" customHeight="1">
      <c r="A12" t="inlineStr">
        <is>
          <t>A 29873-2022</t>
        </is>
      </c>
      <c r="B12" s="1" t="n">
        <v>44755</v>
      </c>
      <c r="C12" s="1" t="n">
        <v>45513</v>
      </c>
      <c r="D12" t="inlineStr">
        <is>
          <t>NORRBOTTENS LÄN</t>
        </is>
      </c>
      <c r="E12" t="inlineStr">
        <is>
          <t>PAJALA</t>
        </is>
      </c>
      <c r="G12" t="n">
        <v>3.6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Rosenticka
Röd trolldruva
Ullticka
Fläcknycklar</t>
        </is>
      </c>
      <c r="S12">
        <f>HYPERLINK("https://klasma.github.io/Logging_2521/artfynd/A 29873-2022 artfynd.xlsx", "A 29873-2022")</f>
        <v/>
      </c>
      <c r="T12">
        <f>HYPERLINK("https://klasma.github.io/Logging_2521/kartor/A 29873-2022 karta.png", "A 29873-2022")</f>
        <v/>
      </c>
      <c r="V12">
        <f>HYPERLINK("https://klasma.github.io/Logging_2521/klagomål/A 29873-2022 FSC-klagomål.docx", "A 29873-2022")</f>
        <v/>
      </c>
      <c r="W12">
        <f>HYPERLINK("https://klasma.github.io/Logging_2521/klagomålsmail/A 29873-2022 FSC-klagomål mail.docx", "A 29873-2022")</f>
        <v/>
      </c>
      <c r="X12">
        <f>HYPERLINK("https://klasma.github.io/Logging_2521/tillsyn/A 29873-2022 tillsynsbegäran.docx", "A 29873-2022")</f>
        <v/>
      </c>
      <c r="Y12">
        <f>HYPERLINK("https://klasma.github.io/Logging_2521/tillsynsmail/A 29873-2022 tillsynsbegäran mail.docx", "A 29873-2022")</f>
        <v/>
      </c>
    </row>
    <row r="13" ht="15" customHeight="1">
      <c r="A13" t="inlineStr">
        <is>
          <t>A 58034-2022</t>
        </is>
      </c>
      <c r="B13" s="1" t="n">
        <v>44893</v>
      </c>
      <c r="C13" s="1" t="n">
        <v>45513</v>
      </c>
      <c r="D13" t="inlineStr">
        <is>
          <t>NORRBOTTENS LÄN</t>
        </is>
      </c>
      <c r="E13" t="inlineStr">
        <is>
          <t>PAJALA</t>
        </is>
      </c>
      <c r="G13" t="n">
        <v>9.6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Blanksvart spiklav
Gammelgransskål
Granticka
Vitgrynig nållav
Skör kvastmossa</t>
        </is>
      </c>
      <c r="S13">
        <f>HYPERLINK("https://klasma.github.io/Logging_2521/artfynd/A 58034-2022 artfynd.xlsx", "A 58034-2022")</f>
        <v/>
      </c>
      <c r="T13">
        <f>HYPERLINK("https://klasma.github.io/Logging_2521/kartor/A 58034-2022 karta.png", "A 58034-2022")</f>
        <v/>
      </c>
      <c r="V13">
        <f>HYPERLINK("https://klasma.github.io/Logging_2521/klagomål/A 58034-2022 FSC-klagomål.docx", "A 58034-2022")</f>
        <v/>
      </c>
      <c r="W13">
        <f>HYPERLINK("https://klasma.github.io/Logging_2521/klagomålsmail/A 58034-2022 FSC-klagomål mail.docx", "A 58034-2022")</f>
        <v/>
      </c>
      <c r="X13">
        <f>HYPERLINK("https://klasma.github.io/Logging_2521/tillsyn/A 58034-2022 tillsynsbegäran.docx", "A 58034-2022")</f>
        <v/>
      </c>
      <c r="Y13">
        <f>HYPERLINK("https://klasma.github.io/Logging_2521/tillsynsmail/A 58034-2022 tillsynsbegäran mail.docx", "A 58034-2022")</f>
        <v/>
      </c>
    </row>
    <row r="14" ht="15" customHeight="1">
      <c r="A14" t="inlineStr">
        <is>
          <t>A 16030-2023</t>
        </is>
      </c>
      <c r="B14" s="1" t="n">
        <v>45021</v>
      </c>
      <c r="C14" s="1" t="n">
        <v>45513</v>
      </c>
      <c r="D14" t="inlineStr">
        <is>
          <t>NORRBOTTENS LÄN</t>
        </is>
      </c>
      <c r="E14" t="inlineStr">
        <is>
          <t>PAJALA</t>
        </is>
      </c>
      <c r="F14" t="inlineStr">
        <is>
          <t>Allmännings- och besparingsskogar</t>
        </is>
      </c>
      <c r="G14" t="n">
        <v>24.3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Fläckporing
Blanksvart spiklav
Fjällvråk
Garnlav
Tretåig hackspett</t>
        </is>
      </c>
      <c r="S14">
        <f>HYPERLINK("https://klasma.github.io/Logging_2521/artfynd/A 16030-2023 artfynd.xlsx", "A 16030-2023")</f>
        <v/>
      </c>
      <c r="T14">
        <f>HYPERLINK("https://klasma.github.io/Logging_2521/kartor/A 16030-2023 karta.png", "A 16030-2023")</f>
        <v/>
      </c>
      <c r="V14">
        <f>HYPERLINK("https://klasma.github.io/Logging_2521/klagomål/A 16030-2023 FSC-klagomål.docx", "A 16030-2023")</f>
        <v/>
      </c>
      <c r="W14">
        <f>HYPERLINK("https://klasma.github.io/Logging_2521/klagomålsmail/A 16030-2023 FSC-klagomål mail.docx", "A 16030-2023")</f>
        <v/>
      </c>
      <c r="X14">
        <f>HYPERLINK("https://klasma.github.io/Logging_2521/tillsyn/A 16030-2023 tillsynsbegäran.docx", "A 16030-2023")</f>
        <v/>
      </c>
      <c r="Y14">
        <f>HYPERLINK("https://klasma.github.io/Logging_2521/tillsynsmail/A 16030-2023 tillsynsbegäran mail.docx", "A 16030-2023")</f>
        <v/>
      </c>
      <c r="Z14">
        <f>HYPERLINK("https://klasma.github.io/Logging_2521/fåglar/A 16030-2023 prioriterade fågelarter.docx", "A 16030-2023")</f>
        <v/>
      </c>
    </row>
    <row r="15" ht="15" customHeight="1">
      <c r="A15" t="inlineStr">
        <is>
          <t>A 7955-2022</t>
        </is>
      </c>
      <c r="B15" s="1" t="n">
        <v>44608</v>
      </c>
      <c r="C15" s="1" t="n">
        <v>45513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4.8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Granticka
Rosenticka
Ullticka</t>
        </is>
      </c>
      <c r="S15">
        <f>HYPERLINK("https://klasma.github.io/Logging_2521/artfynd/A 7955-2022 artfynd.xlsx", "A 7955-2022")</f>
        <v/>
      </c>
      <c r="T15">
        <f>HYPERLINK("https://klasma.github.io/Logging_2521/kartor/A 7955-2022 karta.png", "A 7955-2022")</f>
        <v/>
      </c>
      <c r="V15">
        <f>HYPERLINK("https://klasma.github.io/Logging_2521/klagomål/A 7955-2022 FSC-klagomål.docx", "A 7955-2022")</f>
        <v/>
      </c>
      <c r="W15">
        <f>HYPERLINK("https://klasma.github.io/Logging_2521/klagomålsmail/A 7955-2022 FSC-klagomål mail.docx", "A 7955-2022")</f>
        <v/>
      </c>
      <c r="X15">
        <f>HYPERLINK("https://klasma.github.io/Logging_2521/tillsyn/A 7955-2022 tillsynsbegäran.docx", "A 7955-2022")</f>
        <v/>
      </c>
      <c r="Y15">
        <f>HYPERLINK("https://klasma.github.io/Logging_2521/tillsynsmail/A 7955-2022 tillsynsbegäran mail.docx", "A 7955-2022")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45513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45513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45513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45513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45513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45513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45513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45513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45513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45513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45513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45513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45513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45513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45513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45513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45513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45513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45513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45513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45513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45513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45513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45513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45513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45513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45513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45513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45513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45513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45513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45513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45513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45513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45513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45513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45513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45513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45513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45513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45513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45513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45513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45513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45513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45513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45513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45513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45513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45513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45513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45513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45513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45513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45513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45513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45513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45513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45513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45513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45513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45513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45513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45513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45513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45513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45513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45513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45513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45513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45513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45513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45513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45513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45513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45513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45513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45513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45513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45513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45513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45513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45513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45513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45513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45513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45513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45513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45513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45513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45513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45513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45513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45513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45513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45513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45513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45513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45513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45513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45513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45513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45513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45513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45513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45513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45513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45513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45513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45513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45513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45513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45513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45513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45513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45513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45513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45513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45513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45513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45513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45513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45513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45513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45513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45513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45513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45513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45513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45513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45513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45513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45513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45513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45513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45513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45513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45513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45513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45513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45513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45513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45513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45513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45513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45513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45513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45513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45513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45513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45513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45513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45513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45513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45513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45513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45513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45513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45513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45513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45513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45513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45513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45513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45513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45513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45513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45513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45513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45513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45513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45513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45513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45513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45513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45513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45513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45513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45513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45513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45513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45513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45513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45513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45513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45513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45513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45513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45513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45513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45513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45513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45513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45513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45513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45513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45513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45513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45513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45513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45513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45513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45513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45513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45513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45513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45513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45513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45513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45513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45513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45513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45513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45513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45513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45513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45513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45513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45513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45513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45513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45513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45513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45513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45513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45513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45513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45513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45513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45513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45513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45513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45513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45513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45513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45513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45513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45513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45513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45513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45513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45513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45513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45513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45513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45513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45513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45513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45513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45513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45513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45513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45513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45513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45513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45513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45513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45513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45513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45513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45513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45513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45513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45513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45513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45513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45513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45513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45513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45513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45513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45513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45513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45513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45513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45513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45513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45513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45513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45513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45513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45513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45513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45513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45513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45513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45513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45513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45513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45513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45513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45513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45513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45513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45513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45513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45513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45513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45513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45513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45513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45513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45513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45513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45513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45513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45513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45513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45513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45513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45513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45513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45513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45513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45513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45513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45513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45513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45513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45513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45513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45513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45513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45513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45513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45513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45513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45513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45513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45513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45513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45513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45513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45513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45513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45513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45513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45513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45513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45513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45513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45513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45513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45513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45513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45513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45513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45513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45513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45513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45513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45513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45513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45513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45513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45513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45513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45513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45513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45513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45513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45513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45513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45513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45513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45513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45513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45513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45513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45513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45513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45513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45513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45513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45513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45513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45513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45513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45513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45513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45513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45513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45513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45513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45513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45513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45513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45513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45513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45513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45513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45513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45513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45513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45513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45513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45513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45513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45513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45513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45513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45513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45513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45513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45513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45513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45513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45513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45513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45513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45513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45513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45513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45513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45513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45513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45513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45513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45513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45513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45513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45513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45513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45513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45513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45513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45513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45513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45513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45513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45513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45513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45513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45513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45513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45513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45513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45513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45513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45513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45513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45513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45513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45513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45513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45513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45513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45513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45513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45513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45513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45513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45513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45513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45513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45513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45513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45513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45513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45513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45513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45513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45513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45513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45513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45513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45513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45513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45513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45513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45513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45513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45513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45513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45513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45513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45513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45513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45513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45513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45513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45513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45513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45513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45513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45513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45513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45513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45513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45513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45513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45513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45513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45513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45513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45513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45513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45513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45513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45513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45513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45513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45513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45513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45513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45513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45513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45513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45513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45513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45513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45513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45513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45513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45513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45513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45513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45513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45513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45513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45513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45513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45513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45513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45513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45513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45513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45513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45513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45513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45513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45513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45513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45513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45513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45513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45513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45513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45513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45513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45513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45513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45513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45513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45513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45513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45513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45513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45513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45513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45513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45513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45513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45513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45513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45513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45513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45513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45513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45513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45513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45513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45513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45513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45513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45513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45513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45513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45513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45513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45513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45513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45513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45513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45513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45513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45513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45513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45513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45513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45513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45513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45513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45513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45513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45513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45513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45513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45513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45513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45513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45513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45513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45513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45513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45513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45513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45513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45513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45513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45513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45513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45513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45513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45513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45513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45513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45513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45513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45513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45513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45513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45513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45513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45513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45513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45513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45513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45513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45513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45513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45513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45513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45513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45513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45513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45513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45513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45513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45513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45513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45513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45513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45513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45513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45513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45513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45513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45513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45513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45513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45513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45513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45513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45513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45513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45513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45513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45513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45513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45513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45513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45513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45513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45513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45513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45513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45513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45513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45513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45513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45513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45513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45513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45513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45513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45513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45513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45513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45513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45513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45513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45513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45513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45513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45513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45513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45513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45513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45513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45513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45513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45513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45513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45513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45513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45513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45513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45513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45513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45513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45513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45513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45513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45513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45513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45513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45513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45513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45513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45513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45513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45513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45513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45513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45513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45513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45513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45513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45513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45513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45513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45513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45513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45513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45513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45513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45513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45513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45513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45513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45513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45513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45513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45513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45513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45513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45513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45513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45513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45513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45513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45513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45513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45513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45513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45513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45513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45513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45513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45513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45513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45513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45513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45513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45513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45513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45513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45513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45513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45513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45513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45513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45513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45513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45513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45513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45513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45513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45513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45513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45513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45513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45513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45513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45513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45513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45513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45513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45513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45513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45513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45513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45513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45513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45513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45513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45513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45513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45513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45513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45513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45513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45513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45513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45513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45513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45513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45513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45513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45513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45513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45513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45513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45513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45513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45513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45513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45513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45513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45513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45513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45513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45513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45513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45513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45513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45513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45513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45513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45513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45513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45513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45513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45513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45513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45513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45513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45513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45513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45513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45513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45513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45513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45513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45513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45513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45513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45513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45513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45513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45513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45513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45513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45513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45513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45513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45513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45513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45513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45513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45513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45513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45513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45513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45513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45513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45513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45513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45513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45513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45513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45513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45513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45513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45513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45513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45513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45513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45513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45513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45513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45513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45513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45513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45513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45513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29542-2024</t>
        </is>
      </c>
      <c r="B883" s="1" t="n">
        <v>45484</v>
      </c>
      <c r="C883" s="1" t="n">
        <v>45513</v>
      </c>
      <c r="D883" t="inlineStr">
        <is>
          <t>NORRBOTTENS LÄN</t>
        </is>
      </c>
      <c r="E883" t="inlineStr">
        <is>
          <t>PAJALA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29604-2024</t>
        </is>
      </c>
      <c r="B884" s="1" t="n">
        <v>45484</v>
      </c>
      <c r="C884" s="1" t="n">
        <v>45513</v>
      </c>
      <c r="D884" t="inlineStr">
        <is>
          <t>NORRBOTTENS LÄN</t>
        </is>
      </c>
      <c r="E884" t="inlineStr">
        <is>
          <t>PAJALA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29551-2024</t>
        </is>
      </c>
      <c r="B885" s="1" t="n">
        <v>45484</v>
      </c>
      <c r="C885" s="1" t="n">
        <v>45513</v>
      </c>
      <c r="D885" t="inlineStr">
        <is>
          <t>NORRBOTTENS LÄN</t>
        </is>
      </c>
      <c r="E885" t="inlineStr">
        <is>
          <t>PAJALA</t>
        </is>
      </c>
      <c r="F885" t="inlineStr">
        <is>
          <t>Sveaskog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29814-2024</t>
        </is>
      </c>
      <c r="B886" s="1" t="n">
        <v>45485</v>
      </c>
      <c r="C886" s="1" t="n">
        <v>45513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29805-2024</t>
        </is>
      </c>
      <c r="B887" s="1" t="n">
        <v>45485</v>
      </c>
      <c r="C887" s="1" t="n">
        <v>45513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14.8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29809-2024</t>
        </is>
      </c>
      <c r="B888" s="1" t="n">
        <v>45485</v>
      </c>
      <c r="C888" s="1" t="n">
        <v>45513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29817-2024</t>
        </is>
      </c>
      <c r="B889" s="1" t="n">
        <v>45485</v>
      </c>
      <c r="C889" s="1" t="n">
        <v>45513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25.7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29804-2024</t>
        </is>
      </c>
      <c r="B890" s="1" t="n">
        <v>45485</v>
      </c>
      <c r="C890" s="1" t="n">
        <v>45513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45513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29992-2024</t>
        </is>
      </c>
      <c r="B892" s="1" t="n">
        <v>45488</v>
      </c>
      <c r="C892" s="1" t="n">
        <v>45513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29924-2024</t>
        </is>
      </c>
      <c r="B893" s="1" t="n">
        <v>45488</v>
      </c>
      <c r="C893" s="1" t="n">
        <v>45513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45513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45513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45513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45513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45513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45513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45513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45513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45513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2024-08-09T10:45:52Z</dcterms:created>
  <dcterms:modified xmlns:dcterms="http://purl.org/dc/terms/" xmlns:xsi="http://www.w3.org/2001/XMLSchema-instance" xsi:type="dcterms:W3CDTF">2024-08-09T10:45:53Z</dcterms:modified>
</cp:coreProperties>
</file>