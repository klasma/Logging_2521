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45783</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45783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45783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9402-2025</t>
        </is>
      </c>
      <c r="B5" s="1" t="n">
        <v>45715</v>
      </c>
      <c r="C5" s="1" t="n">
        <v>45783</v>
      </c>
      <c r="D5" t="inlineStr">
        <is>
          <t>NORRBOTTENS LÄN</t>
        </is>
      </c>
      <c r="E5" t="inlineStr">
        <is>
          <t>PAJALA</t>
        </is>
      </c>
      <c r="G5" t="n">
        <v>22.7</v>
      </c>
      <c r="H5" t="n">
        <v>4</v>
      </c>
      <c r="I5" t="n">
        <v>4</v>
      </c>
      <c r="J5" t="n">
        <v>9</v>
      </c>
      <c r="K5" t="n">
        <v>2</v>
      </c>
      <c r="L5" t="n">
        <v>0</v>
      </c>
      <c r="M5" t="n">
        <v>0</v>
      </c>
      <c r="N5" t="n">
        <v>0</v>
      </c>
      <c r="O5" t="n">
        <v>11</v>
      </c>
      <c r="P5" t="n">
        <v>2</v>
      </c>
      <c r="Q5" t="n">
        <v>15</v>
      </c>
      <c r="R5" s="2" t="inlineStr">
        <is>
          <t>Doftticka
Knärot
Gammelgransskål
Garnlav
Granticka
Harticka
Järpe
Skrovellav
Talltita
Ullticka
Vedskivlav
Bårdlav
Dvärgtufs
Luddlav
Skinnlav</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16006-2025</t>
        </is>
      </c>
      <c r="B6" s="1" t="n">
        <v>45749</v>
      </c>
      <c r="C6" s="1" t="n">
        <v>45783</v>
      </c>
      <c r="D6" t="inlineStr">
        <is>
          <t>NORRBOTTENS LÄN</t>
        </is>
      </c>
      <c r="E6" t="inlineStr">
        <is>
          <t>PAJALA</t>
        </is>
      </c>
      <c r="G6" t="n">
        <v>24.2</v>
      </c>
      <c r="H6" t="n">
        <v>4</v>
      </c>
      <c r="I6" t="n">
        <v>4</v>
      </c>
      <c r="J6" t="n">
        <v>9</v>
      </c>
      <c r="K6" t="n">
        <v>2</v>
      </c>
      <c r="L6" t="n">
        <v>0</v>
      </c>
      <c r="M6" t="n">
        <v>0</v>
      </c>
      <c r="N6" t="n">
        <v>0</v>
      </c>
      <c r="O6" t="n">
        <v>11</v>
      </c>
      <c r="P6" t="n">
        <v>2</v>
      </c>
      <c r="Q6" t="n">
        <v>15</v>
      </c>
      <c r="R6" s="2" t="inlineStr">
        <is>
          <t>Doftticka
Knärot
Gammelgransskål
Garnlav
Granticka
Harticka
Järpe
Skrovellav
Talltita
Ullticka
Vedskivlav
Bårdlav
Dvärgtufs
Luddlav
Skinnlav</t>
        </is>
      </c>
      <c r="S6">
        <f>HYPERLINK("https://klasma.github.io/Logging_252521/artfynd/A 16006-2025 artfynd.xlsx", "A 16006-2025")</f>
        <v/>
      </c>
      <c r="T6">
        <f>HYPERLINK("https://klasma.github.io/Logging_252521/kartor/A 16006-2025 karta.png", "A 16006-2025")</f>
        <v/>
      </c>
      <c r="U6">
        <f>HYPERLINK("https://klasma.github.io/Logging_252521/knärot/A 16006-2025 karta knärot.png", "A 16006-2025")</f>
        <v/>
      </c>
      <c r="V6">
        <f>HYPERLINK("https://klasma.github.io/Logging_252521/klagomål/A 16006-2025 FSC-klagomål.docx", "A 16006-2025")</f>
        <v/>
      </c>
      <c r="W6">
        <f>HYPERLINK("https://klasma.github.io/Logging_252521/klagomålsmail/A 16006-2025 FSC-klagomål mail.docx", "A 16006-2025")</f>
        <v/>
      </c>
      <c r="X6">
        <f>HYPERLINK("https://klasma.github.io/Logging_252521/tillsyn/A 16006-2025 tillsynsbegäran.docx", "A 16006-2025")</f>
        <v/>
      </c>
      <c r="Y6">
        <f>HYPERLINK("https://klasma.github.io/Logging_252521/tillsynsmail/A 16006-2025 tillsynsbegäran mail.docx", "A 16006-2025")</f>
        <v/>
      </c>
      <c r="Z6">
        <f>HYPERLINK("https://klasma.github.io/Logging_252521/fåglar/A 16006-2025 prioriterade fågelarter.docx", "A 16006-2025")</f>
        <v/>
      </c>
    </row>
    <row r="7" ht="15" customHeight="1">
      <c r="A7" t="inlineStr">
        <is>
          <t>A 62607-2021</t>
        </is>
      </c>
      <c r="B7" s="1" t="n">
        <v>44503</v>
      </c>
      <c r="C7" s="1" t="n">
        <v>45783</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45783</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45783</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45783</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45783</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45783</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45783</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45783</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45783</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45783</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45783</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45783</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45783</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45783</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45783</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45783</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45783</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45783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45783</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45783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45783</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45783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45783</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45783</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45783</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45783</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45783</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45783</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45783</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45783</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45783</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45783</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45783</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45783</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45783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45783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45783</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45783</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45783</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45783</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45783</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45783</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45783</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45783</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45783</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45783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45783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45783</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45783</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45783</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45783</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45783</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45783</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45783</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45783</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45783</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45783</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45783</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45783</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45783</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45783</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45783</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45783</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45783</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45783</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45783</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45783</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45783</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45783</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45783</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45783</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45783</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45783</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45783</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45783</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45783</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45783</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45783</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45783</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45783</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45783</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45783</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45783</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45783</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45783</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45783</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45783</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45783</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45783</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45783</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45783</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45783</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45783</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45783</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45783</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45783</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45783</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45783</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45783</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45783</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45783</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45783</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45783</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45783</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45783</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45783</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45783</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45783</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45783</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45783</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45783</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45783</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45783</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45783</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45783</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45783</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45783</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45783</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45783</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45783</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45783</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45783</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45783</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45783</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45783</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45783</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45783</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45783</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45783</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45783</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45783</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45783</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45783</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45783</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45783</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45783</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45783</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45783</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45783</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45783</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45783</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45783</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45783</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45783</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45783</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45783</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45783</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45783</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45783</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45783</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45783</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45783</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45783</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45783</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45783</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45783</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45783</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45783</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45783</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45783</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45783</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45783</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45783</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45783</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45783</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45783</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45783</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45783</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45783</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45783</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45783</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45783</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45783</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45783</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45783</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45783</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45783</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45783</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45783</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45783</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45783</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45783</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45783</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45783</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45783</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45783</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45783</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45783</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45783</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45783</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45783</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45783</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45783</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45783</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45783</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45783</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45783</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45783</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45783</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45783</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45783</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45783</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45783</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45783</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45783</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45783</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45783</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45783</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45783</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45783</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45783</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45783</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45783</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45783</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45783</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45783</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45783</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45783</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45783</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45783</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45783</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45783</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45783</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45783</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45783</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45783</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45783</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45783</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45783</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45783</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45783</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45783</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45783</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45783</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45783</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45783</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45783</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45783</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45783</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45783</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45783</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45783</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45783</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45783</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45783</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45783</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45783</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45783</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45783</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45783</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45783</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45783</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45783</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45783</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45783</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45783</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45783</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45783</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45783</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45783</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45783</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45783</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45783</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45783</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45783</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45783</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45783</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45783</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45783</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45783</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45783</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45783</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45783</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45783</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45783</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45783</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45783</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45783</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45783</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45783</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45783</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45783</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45783</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45783</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45783</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45783</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45783</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45783</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45783</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45783</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45783</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45783</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45783</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45783</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45783</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45783</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45783</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45783</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45783</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45783</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45783</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45783</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45783</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45783</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45783</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45783</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45783</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45783</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45783</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45783</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45783</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45783</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45783</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45783</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45783</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45783</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45783</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45783</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45783</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45783</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45783</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45783</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45783</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45783</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45783</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45783</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45783</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45783</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45783</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45783</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45783</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45783</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45783</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45783</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45783</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45783</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45783</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45783</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45783</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45783</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45783</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45783</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45783</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45783</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45783</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45783</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45783</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45783</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45783</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45783</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45783</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45783</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45783</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45783</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45783</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45783</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45783</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45783</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45783</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45783</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45783</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45783</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45783</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45783</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45783</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45783</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45783</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45783</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45783</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45783</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45783</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45783</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45783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45783</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45783</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45783</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45783</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45783</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45783</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45783</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45783</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45783</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45783</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45783</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45783</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45783</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45783</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45783</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45783</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45783</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45783</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45783</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45783</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45783</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45783</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45783</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45783</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45783</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45783</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45783</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45783</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45783</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45783</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45783</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45783</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45783</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45783</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45783</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45783</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45783</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45783</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45783</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45783</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45783</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45783</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45783</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45783</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45783</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45783</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45783</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45783</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45783</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45783</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45783</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45783</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45783</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45783</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45783</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45783</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45783</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45783</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45783</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45783</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45783</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45783</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45783</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45783</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45783</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45783</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45783</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45783</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45783</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45783</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45783</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45783</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45783</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45783</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45783</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45783</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45783</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45783</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45783</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45783</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45783</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45783</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45783</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45783</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45783</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45783</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45783</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45783</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45783</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45783</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45783</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45783</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45783</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45783</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45783</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45783</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45783</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45783</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45783</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45783</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45783</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45783</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45783</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45783</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45783</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45783</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45783</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45783</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45783</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45783</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45783</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45783</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45783</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45783</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45783</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45783</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45783</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45783</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45783</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45783</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45783</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45783</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45783</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45783</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45783</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45783</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45783</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45783</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45783</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45783</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45783</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45783</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45783</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45783</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45783</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45783</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45783</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45783</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45783</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45783</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45783</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45783</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45783</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45783</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45783</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45783</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45783</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45783</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45783</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45783</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45783</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45783</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45783</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45783</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45783</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45783</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45783</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45783</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45783</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45783</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45783</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45783</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45783</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45783</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45783</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45783</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45783</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45783</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45783</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45783</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45783</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45783</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45783</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45783</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45783</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45783</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45783</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45783</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45783</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45783</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45783</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45783</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45783</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45783</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45783</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45783</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45783</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45783</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45783</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45783</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45783</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45783</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45783</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45783</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45783</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45783</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45783</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45783</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45783</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45783</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45783</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45783</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45783</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45783</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45783</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45783</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45783</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45783</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45783</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45783</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45783</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45783</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45783</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45783</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45783</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45783</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45783</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45783</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45783</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45783</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45783</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45783</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45783</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45783</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45783</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45783</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45783</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45783</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45783</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45783</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45783</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45783</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45783</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45783</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45783</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45783</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45783</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45783</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45783</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45783</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45783</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45783</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45783</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45783</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45783</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45783</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45783</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45783</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45783</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45783</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45783</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45783</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45783</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45783</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45783</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45783</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45783</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45783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45783</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45783</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45783</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45783</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45783</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45783</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45783</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45783</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45783</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45783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45783</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45783</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45783</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45783</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45783</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45783</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45783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45783</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45783</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45783</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45783</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45783</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45783</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45783</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45783</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45783</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45783</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45783</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45783</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45783</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45783</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45783</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45783</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45783</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45783</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45783</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45783</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45783</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45783</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45783</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45783</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45783</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45783</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45783</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45783</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45783</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45783</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45783</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45783</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45783</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45783</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45783</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45783</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45783</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45783</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45783</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45783</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45783</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45783</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45783</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45783</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45783</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45783</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45783</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45783</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45783</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45783</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45783</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45783</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45783</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45783</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45783</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45783</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45783</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45783</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45783</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45783</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45783</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45783</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45783</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45783</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45783</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45783</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45783</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45783</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45783</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45783</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45783</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45783</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45783</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45783</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45783</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45783</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45783</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45783</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45783</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45783</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45783</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45783</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45783</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45783</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45783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45783</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45783</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45783</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45783</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45783</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45783</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45783</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45783</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45783</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45783</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45783</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45783</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45783</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45783</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45783</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45783</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45783</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45783</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45783</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45783</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45783</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45783</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45783</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45783</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45783</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45783</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45783</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45783</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45783</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45783</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45783</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45783</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45783</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45783</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45783</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45783</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45783</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45783</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45783</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45783</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45783</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45783</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45783</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45783</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45783</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45783</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45783</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45783</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45783</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45783</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45783</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45783</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45783</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45783</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45783</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45783</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45783</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45783</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45783</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45783</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45783</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45783</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45783</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45783</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45783</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45783</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45783</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45783</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45783</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45783</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45783</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45783</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45783</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45783</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45783</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45783</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45783</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45783</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45783</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45783</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45783</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45783</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45783</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45783</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45783</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45783</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45783</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45783</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45783</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45783</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45783</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45783</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45783</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45783</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45783</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45783</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45783</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45783</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45783</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45783</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45783</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45783</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45783</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45783</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45783</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45783</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45783</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45783</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45783</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45783</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45783</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45783</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45783</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45783</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45783</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45783</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45783</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45783</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45783</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45783</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45783</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45783</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45783</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45783</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45783</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45783</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45783</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45783</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45783</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45783</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45783</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45783</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45783</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45783</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45783</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45783</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45783</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45783</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45783</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45783</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45783</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45783</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45783</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45783</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45783</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45783</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45783</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45783</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45783</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45783</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45783</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45783</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45783</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45783</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45783</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45783</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45783</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45783</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45783</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45783</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45783</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45783</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45783</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45783</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45783</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45783</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45783</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45783</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45783</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45783</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45783</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45783</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45783</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45783</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45783</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45783</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45783</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45783</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45783</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45783</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45783</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45783</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45783</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45783</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45783</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45783</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45783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45783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45783</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45783</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45783</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45783</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45783</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45783</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45783</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45783</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45783</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45783</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45783</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45783</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45783</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45783</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45783</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45783</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45783</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45783</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45783</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45783</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45783</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45783</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45783</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45783</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45783</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45783</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45783</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45783</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45783</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45783</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45783</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45783</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45783</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45783</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45783</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45783</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45783</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45783</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45783</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45783</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45783</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45783</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45783</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45783</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45783</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45783</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45783</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45783</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45783</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45783</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45783</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45783</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45783</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45783</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45783</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45783</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45783</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45783</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45783</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45783</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45783</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45783</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45783</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45783</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45783</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45783</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45783</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45783</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45783</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45783</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45783</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45783</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45783</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45783</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45783</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45783</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45783</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45783</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45783</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45783</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45783</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45783</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45783</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45783</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45783</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45783</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45783</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45783</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45783</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45783</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45783</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45783</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45783</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45783</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45783</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45783</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45783</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45783</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45783</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45783</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45783</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45783</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45783</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45783</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45783</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45783</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45783</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45783</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45783</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45783</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45783</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45783</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45783</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45783</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45783</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45783</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45783</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45783</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45783</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45783</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45783</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45783</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45783</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45783</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45783</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45783</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45783</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45783</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45783</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45783</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45783</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45783</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45783</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45783</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45783</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45783</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45783</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45783</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45783</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45783</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45783</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45783</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45783</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45783</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45783</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45783</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45783</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45783</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45783</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45783</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45783</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45783</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45783</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45783</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45783</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45783</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45783</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45783</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45783</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45783</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45783</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45783</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45783</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45783</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45783</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45783</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45783</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45783</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45783</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45783</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45783</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45783</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45783</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45783</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45783</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45783</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45783</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45783</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45783</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45783</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45783</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21058-2025</t>
        </is>
      </c>
      <c r="B1109" s="1" t="n">
        <v>45777</v>
      </c>
      <c r="C1109" s="1" t="n">
        <v>45783</v>
      </c>
      <c r="D1109" t="inlineStr">
        <is>
          <t>NORRBOTTENS LÄN</t>
        </is>
      </c>
      <c r="E1109" t="inlineStr">
        <is>
          <t>PAJALA</t>
        </is>
      </c>
      <c r="F1109" t="inlineStr">
        <is>
          <t>Sveaskog</t>
        </is>
      </c>
      <c r="G1109" t="n">
        <v>44.2</v>
      </c>
      <c r="H1109" t="n">
        <v>0</v>
      </c>
      <c r="I1109" t="n">
        <v>0</v>
      </c>
      <c r="J1109" t="n">
        <v>0</v>
      </c>
      <c r="K1109" t="n">
        <v>0</v>
      </c>
      <c r="L1109" t="n">
        <v>0</v>
      </c>
      <c r="M1109" t="n">
        <v>0</v>
      </c>
      <c r="N1109" t="n">
        <v>0</v>
      </c>
      <c r="O1109" t="n">
        <v>0</v>
      </c>
      <c r="P1109" t="n">
        <v>0</v>
      </c>
      <c r="Q1109" t="n">
        <v>0</v>
      </c>
      <c r="R1109" s="2" t="inlineStr"/>
    </row>
    <row r="1110" ht="15" customHeight="1">
      <c r="A1110" t="inlineStr">
        <is>
          <t>A 21101-2025</t>
        </is>
      </c>
      <c r="B1110" s="1" t="n">
        <v>45777</v>
      </c>
      <c r="C1110" s="1" t="n">
        <v>45783</v>
      </c>
      <c r="D1110" t="inlineStr">
        <is>
          <t>NORRBOTTENS LÄN</t>
        </is>
      </c>
      <c r="E1110" t="inlineStr">
        <is>
          <t>PAJALA</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21100-2025</t>
        </is>
      </c>
      <c r="B1111" s="1" t="n">
        <v>45777</v>
      </c>
      <c r="C1111" s="1" t="n">
        <v>45783</v>
      </c>
      <c r="D1111" t="inlineStr">
        <is>
          <t>NORRBOTTENS LÄN</t>
        </is>
      </c>
      <c r="E1111" t="inlineStr">
        <is>
          <t>PAJALA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21103-2025</t>
        </is>
      </c>
      <c r="B1112" s="1" t="n">
        <v>45777</v>
      </c>
      <c r="C1112" s="1" t="n">
        <v>45783</v>
      </c>
      <c r="D1112" t="inlineStr">
        <is>
          <t>NORRBOTTENS LÄN</t>
        </is>
      </c>
      <c r="E1112" t="inlineStr">
        <is>
          <t>PAJALA</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45783</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c r="A1114" t="inlineStr">
        <is>
          <t>A 21380-2025</t>
        </is>
      </c>
      <c r="B1114" s="1" t="n">
        <v>45782</v>
      </c>
      <c r="C1114" s="1" t="n">
        <v>45783</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2025-05-06T17:16:01Z</dcterms:created>
  <dcterms:modified xmlns:dcterms="http://purl.org/dc/terms/" xmlns:xsi="http://www.w3.org/2001/XMLSchema-instance" xsi:type="dcterms:W3CDTF">2025-05-06T17:16:02Z</dcterms:modified>
</cp:coreProperties>
</file>