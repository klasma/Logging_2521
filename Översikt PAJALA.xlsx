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45645</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45645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45645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45645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45645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45645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45645</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45645</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45645</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45645</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45645</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45645</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45645</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45645</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45645</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45645</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45645</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60411-2024</t>
        </is>
      </c>
      <c r="B19" s="1" t="n">
        <v>45643</v>
      </c>
      <c r="C19" s="1" t="n">
        <v>45645</v>
      </c>
      <c r="D19" t="inlineStr">
        <is>
          <t>NORRBOTTENS LÄN</t>
        </is>
      </c>
      <c r="E19" t="inlineStr">
        <is>
          <t>PAJALA</t>
        </is>
      </c>
      <c r="G19" t="n">
        <v>2.5</v>
      </c>
      <c r="H19" t="n">
        <v>0</v>
      </c>
      <c r="I19" t="n">
        <v>0</v>
      </c>
      <c r="J19" t="n">
        <v>5</v>
      </c>
      <c r="K19" t="n">
        <v>0</v>
      </c>
      <c r="L19" t="n">
        <v>0</v>
      </c>
      <c r="M19" t="n">
        <v>0</v>
      </c>
      <c r="N19" t="n">
        <v>0</v>
      </c>
      <c r="O19" t="n">
        <v>5</v>
      </c>
      <c r="P19" t="n">
        <v>0</v>
      </c>
      <c r="Q19" t="n">
        <v>5</v>
      </c>
      <c r="R19" s="2" t="inlineStr">
        <is>
          <t>Gammelgransskål
Garnlav
Granticka
Ullticka
Vitskaftad svartspik</t>
        </is>
      </c>
      <c r="S19">
        <f>HYPERLINK("https://klasma.github.io/Logging_2521/artfynd/A 60411-2024 artfynd.xlsx", "A 60411-2024")</f>
        <v/>
      </c>
      <c r="T19">
        <f>HYPERLINK("https://klasma.github.io/Logging_2521/kartor/A 60411-2024 karta.png", "A 60411-2024")</f>
        <v/>
      </c>
      <c r="V19">
        <f>HYPERLINK("https://klasma.github.io/Logging_2521/klagomål/A 60411-2024 FSC-klagomål.docx", "A 60411-2024")</f>
        <v/>
      </c>
      <c r="W19">
        <f>HYPERLINK("https://klasma.github.io/Logging_2521/klagomålsmail/A 60411-2024 FSC-klagomål mail.docx", "A 60411-2024")</f>
        <v/>
      </c>
      <c r="X19">
        <f>HYPERLINK("https://klasma.github.io/Logging_2521/tillsyn/A 60411-2024 tillsynsbegäran.docx", "A 60411-2024")</f>
        <v/>
      </c>
      <c r="Y19">
        <f>HYPERLINK("https://klasma.github.io/Logging_2521/tillsynsmail/A 60411-2024 tillsynsbegäran mail.docx", "A 60411-2024")</f>
        <v/>
      </c>
    </row>
    <row r="20" ht="15" customHeight="1">
      <c r="A20" t="inlineStr">
        <is>
          <t>A 7955-2022</t>
        </is>
      </c>
      <c r="B20" s="1" t="n">
        <v>44608</v>
      </c>
      <c r="C20" s="1" t="n">
        <v>45645</v>
      </c>
      <c r="D20" t="inlineStr">
        <is>
          <t>NORRBOTTENS LÄN</t>
        </is>
      </c>
      <c r="E20" t="inlineStr">
        <is>
          <t>PAJALA</t>
        </is>
      </c>
      <c r="F20" t="inlineStr">
        <is>
          <t>SCA</t>
        </is>
      </c>
      <c r="G20" t="n">
        <v>4.8</v>
      </c>
      <c r="H20" t="n">
        <v>0</v>
      </c>
      <c r="I20" t="n">
        <v>0</v>
      </c>
      <c r="J20" t="n">
        <v>4</v>
      </c>
      <c r="K20" t="n">
        <v>0</v>
      </c>
      <c r="L20" t="n">
        <v>0</v>
      </c>
      <c r="M20" t="n">
        <v>0</v>
      </c>
      <c r="N20" t="n">
        <v>0</v>
      </c>
      <c r="O20" t="n">
        <v>4</v>
      </c>
      <c r="P20" t="n">
        <v>0</v>
      </c>
      <c r="Q20" t="n">
        <v>4</v>
      </c>
      <c r="R20" s="2" t="inlineStr">
        <is>
          <t>Gammelgransskål
Granticka
Rosenticka
Ullticka</t>
        </is>
      </c>
      <c r="S20">
        <f>HYPERLINK("https://klasma.github.io/Logging_2521/artfynd/A 7955-2022 artfynd.xlsx", "A 7955-2022")</f>
        <v/>
      </c>
      <c r="T20">
        <f>HYPERLINK("https://klasma.github.io/Logging_2521/kartor/A 7955-2022 karta.png", "A 7955-2022")</f>
        <v/>
      </c>
      <c r="V20">
        <f>HYPERLINK("https://klasma.github.io/Logging_2521/klagomål/A 7955-2022 FSC-klagomål.docx", "A 7955-2022")</f>
        <v/>
      </c>
      <c r="W20">
        <f>HYPERLINK("https://klasma.github.io/Logging_2521/klagomålsmail/A 7955-2022 FSC-klagomål mail.docx", "A 7955-2022")</f>
        <v/>
      </c>
      <c r="X20">
        <f>HYPERLINK("https://klasma.github.io/Logging_2521/tillsyn/A 7955-2022 tillsynsbegäran.docx", "A 7955-2022")</f>
        <v/>
      </c>
      <c r="Y20">
        <f>HYPERLINK("https://klasma.github.io/Logging_2521/tillsynsmail/A 7955-2022 tillsynsbegäran mail.docx", "A 7955-2022")</f>
        <v/>
      </c>
    </row>
    <row r="21" ht="15" customHeight="1">
      <c r="A21" t="inlineStr">
        <is>
          <t>A 33313-2020</t>
        </is>
      </c>
      <c r="B21" s="1" t="n">
        <v>44022</v>
      </c>
      <c r="C21" s="1" t="n">
        <v>45645</v>
      </c>
      <c r="D21" t="inlineStr">
        <is>
          <t>NORRBOTTENS LÄN</t>
        </is>
      </c>
      <c r="E21" t="inlineStr">
        <is>
          <t>PAJALA</t>
        </is>
      </c>
      <c r="F21" t="inlineStr">
        <is>
          <t>Sveaskog</t>
        </is>
      </c>
      <c r="G21" t="n">
        <v>7.3</v>
      </c>
      <c r="H21" t="n">
        <v>0</v>
      </c>
      <c r="I21" t="n">
        <v>0</v>
      </c>
      <c r="J21" t="n">
        <v>3</v>
      </c>
      <c r="K21" t="n">
        <v>0</v>
      </c>
      <c r="L21" t="n">
        <v>0</v>
      </c>
      <c r="M21" t="n">
        <v>0</v>
      </c>
      <c r="N21" t="n">
        <v>0</v>
      </c>
      <c r="O21" t="n">
        <v>3</v>
      </c>
      <c r="P21" t="n">
        <v>0</v>
      </c>
      <c r="Q21" t="n">
        <v>3</v>
      </c>
      <c r="R21" s="2" t="inlineStr">
        <is>
          <t>Gammelgransskål
Garnlav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row>
    <row r="22" ht="15" customHeight="1">
      <c r="A22" t="inlineStr">
        <is>
          <t>A 33836-2020</t>
        </is>
      </c>
      <c r="B22" s="1" t="n">
        <v>44022</v>
      </c>
      <c r="C22" s="1" t="n">
        <v>45645</v>
      </c>
      <c r="D22" t="inlineStr">
        <is>
          <t>NORRBOTTENS LÄN</t>
        </is>
      </c>
      <c r="E22" t="inlineStr">
        <is>
          <t>PAJALA</t>
        </is>
      </c>
      <c r="G22" t="n">
        <v>35.7</v>
      </c>
      <c r="H22" t="n">
        <v>1</v>
      </c>
      <c r="I22" t="n">
        <v>0</v>
      </c>
      <c r="J22" t="n">
        <v>3</v>
      </c>
      <c r="K22" t="n">
        <v>0</v>
      </c>
      <c r="L22" t="n">
        <v>0</v>
      </c>
      <c r="M22" t="n">
        <v>0</v>
      </c>
      <c r="N22" t="n">
        <v>0</v>
      </c>
      <c r="O22" t="n">
        <v>3</v>
      </c>
      <c r="P22" t="n">
        <v>0</v>
      </c>
      <c r="Q22" t="n">
        <v>3</v>
      </c>
      <c r="R22" s="2" t="inlineStr">
        <is>
          <t>Knottrig blåslav
Tretåig hackspett
Vitplätt</t>
        </is>
      </c>
      <c r="S22">
        <f>HYPERLINK("https://klasma.github.io/Logging_2521/artfynd/A 33836-2020 artfynd.xlsx", "A 33836-2020")</f>
        <v/>
      </c>
      <c r="T22">
        <f>HYPERLINK("https://klasma.github.io/Logging_2521/kartor/A 33836-2020 karta.png", "A 33836-2020")</f>
        <v/>
      </c>
      <c r="V22">
        <f>HYPERLINK("https://klasma.github.io/Logging_2521/klagomål/A 33836-2020 FSC-klagomål.docx", "A 33836-2020")</f>
        <v/>
      </c>
      <c r="W22">
        <f>HYPERLINK("https://klasma.github.io/Logging_2521/klagomålsmail/A 33836-2020 FSC-klagomål mail.docx", "A 33836-2020")</f>
        <v/>
      </c>
      <c r="X22">
        <f>HYPERLINK("https://klasma.github.io/Logging_2521/tillsyn/A 33836-2020 tillsynsbegäran.docx", "A 33836-2020")</f>
        <v/>
      </c>
      <c r="Y22">
        <f>HYPERLINK("https://klasma.github.io/Logging_2521/tillsynsmail/A 33836-2020 tillsynsbegäran mail.docx", "A 33836-2020")</f>
        <v/>
      </c>
      <c r="Z22">
        <f>HYPERLINK("https://klasma.github.io/Logging_2521/fåglar/A 33836-2020 prioriterade fågelarter.docx", "A 33836-2020")</f>
        <v/>
      </c>
    </row>
    <row r="23" ht="15" customHeight="1">
      <c r="A23" t="inlineStr">
        <is>
          <t>A 62610-2021</t>
        </is>
      </c>
      <c r="B23" s="1" t="n">
        <v>44503</v>
      </c>
      <c r="C23" s="1" t="n">
        <v>45645</v>
      </c>
      <c r="D23" t="inlineStr">
        <is>
          <t>NORRBOTTENS LÄN</t>
        </is>
      </c>
      <c r="E23" t="inlineStr">
        <is>
          <t>PAJALA</t>
        </is>
      </c>
      <c r="F23" t="inlineStr">
        <is>
          <t>Sveaskog</t>
        </is>
      </c>
      <c r="G23" t="n">
        <v>1.6</v>
      </c>
      <c r="H23" t="n">
        <v>2</v>
      </c>
      <c r="I23" t="n">
        <v>1</v>
      </c>
      <c r="J23" t="n">
        <v>2</v>
      </c>
      <c r="K23" t="n">
        <v>0</v>
      </c>
      <c r="L23" t="n">
        <v>0</v>
      </c>
      <c r="M23" t="n">
        <v>0</v>
      </c>
      <c r="N23" t="n">
        <v>0</v>
      </c>
      <c r="O23" t="n">
        <v>2</v>
      </c>
      <c r="P23" t="n">
        <v>0</v>
      </c>
      <c r="Q23" t="n">
        <v>3</v>
      </c>
      <c r="R23" s="2" t="inlineStr">
        <is>
          <t>Kolflarnlav
Spillkråka
Plattlummer</t>
        </is>
      </c>
      <c r="S23">
        <f>HYPERLINK("https://klasma.github.io/Logging_2521/artfynd/A 62610-2021 artfynd.xlsx", "A 62610-2021")</f>
        <v/>
      </c>
      <c r="T23">
        <f>HYPERLINK("https://klasma.github.io/Logging_2521/kartor/A 62610-2021 karta.png", "A 62610-2021")</f>
        <v/>
      </c>
      <c r="V23">
        <f>HYPERLINK("https://klasma.github.io/Logging_2521/klagomål/A 62610-2021 FSC-klagomål.docx", "A 62610-2021")</f>
        <v/>
      </c>
      <c r="W23">
        <f>HYPERLINK("https://klasma.github.io/Logging_2521/klagomålsmail/A 62610-2021 FSC-klagomål mail.docx", "A 62610-2021")</f>
        <v/>
      </c>
      <c r="X23">
        <f>HYPERLINK("https://klasma.github.io/Logging_2521/tillsyn/A 62610-2021 tillsynsbegäran.docx", "A 62610-2021")</f>
        <v/>
      </c>
      <c r="Y23">
        <f>HYPERLINK("https://klasma.github.io/Logging_2521/tillsynsmail/A 62610-2021 tillsynsbegäran mail.docx", "A 62610-2021")</f>
        <v/>
      </c>
      <c r="Z23">
        <f>HYPERLINK("https://klasma.github.io/Logging_2521/fåglar/A 62610-2021 prioriterade fågelarter.docx", "A 62610-2021")</f>
        <v/>
      </c>
    </row>
    <row r="24" ht="15" customHeight="1">
      <c r="A24" t="inlineStr">
        <is>
          <t>A 7959-2022</t>
        </is>
      </c>
      <c r="B24" s="1" t="n">
        <v>44608</v>
      </c>
      <c r="C24" s="1" t="n">
        <v>45645</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30324-2022</t>
        </is>
      </c>
      <c r="B25" s="1" t="n">
        <v>44760</v>
      </c>
      <c r="C25" s="1" t="n">
        <v>45645</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36241-2023</t>
        </is>
      </c>
      <c r="B26" s="1" t="n">
        <v>45150</v>
      </c>
      <c r="C26" s="1" t="n">
        <v>45645</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1571-2024</t>
        </is>
      </c>
      <c r="B27" s="1" t="n">
        <v>45306</v>
      </c>
      <c r="C27" s="1" t="n">
        <v>45645</v>
      </c>
      <c r="D27" t="inlineStr">
        <is>
          <t>NORRBOTTENS LÄN</t>
        </is>
      </c>
      <c r="E27" t="inlineStr">
        <is>
          <t>PAJALA</t>
        </is>
      </c>
      <c r="F27" t="inlineStr">
        <is>
          <t>Allmännings- och besparingsskogar</t>
        </is>
      </c>
      <c r="G27" t="n">
        <v>81.3</v>
      </c>
      <c r="H27" t="n">
        <v>2</v>
      </c>
      <c r="I27" t="n">
        <v>0</v>
      </c>
      <c r="J27" t="n">
        <v>2</v>
      </c>
      <c r="K27" t="n">
        <v>0</v>
      </c>
      <c r="L27" t="n">
        <v>0</v>
      </c>
      <c r="M27" t="n">
        <v>0</v>
      </c>
      <c r="N27" t="n">
        <v>0</v>
      </c>
      <c r="O27" t="n">
        <v>2</v>
      </c>
      <c r="P27" t="n">
        <v>0</v>
      </c>
      <c r="Q27" t="n">
        <v>3</v>
      </c>
      <c r="R27" s="2" t="inlineStr">
        <is>
          <t>Garnlav
Spillkråka
Fläcknycklar</t>
        </is>
      </c>
      <c r="S27">
        <f>HYPERLINK("https://klasma.github.io/Logging_2521/artfynd/A 1571-2024 artfynd.xlsx", "A 1571-2024")</f>
        <v/>
      </c>
      <c r="T27">
        <f>HYPERLINK("https://klasma.github.io/Logging_2521/kartor/A 1571-2024 karta.png", "A 1571-2024")</f>
        <v/>
      </c>
      <c r="V27">
        <f>HYPERLINK("https://klasma.github.io/Logging_2521/klagomål/A 1571-2024 FSC-klagomål.docx", "A 1571-2024")</f>
        <v/>
      </c>
      <c r="W27">
        <f>HYPERLINK("https://klasma.github.io/Logging_2521/klagomålsmail/A 1571-2024 FSC-klagomål mail.docx", "A 1571-2024")</f>
        <v/>
      </c>
      <c r="X27">
        <f>HYPERLINK("https://klasma.github.io/Logging_2521/tillsyn/A 1571-2024 tillsynsbegäran.docx", "A 1571-2024")</f>
        <v/>
      </c>
      <c r="Y27">
        <f>HYPERLINK("https://klasma.github.io/Logging_2521/tillsynsmail/A 1571-2024 tillsynsbegäran mail.docx", "A 1571-2024")</f>
        <v/>
      </c>
      <c r="Z27">
        <f>HYPERLINK("https://klasma.github.io/Logging_2521/fåglar/A 1571-2024 prioriterade fågelarter.docx", "A 1571-2024")</f>
        <v/>
      </c>
    </row>
    <row r="28" ht="15" customHeight="1">
      <c r="A28" t="inlineStr">
        <is>
          <t>A 24913-2019</t>
        </is>
      </c>
      <c r="B28" s="1" t="n">
        <v>43602</v>
      </c>
      <c r="C28" s="1" t="n">
        <v>45645</v>
      </c>
      <c r="D28" t="inlineStr">
        <is>
          <t>NORRBOTTENS LÄN</t>
        </is>
      </c>
      <c r="E28" t="inlineStr">
        <is>
          <t>PAJALA</t>
        </is>
      </c>
      <c r="F28" t="inlineStr">
        <is>
          <t>Sveaskog</t>
        </is>
      </c>
      <c r="G28" t="n">
        <v>1.1</v>
      </c>
      <c r="H28" t="n">
        <v>0</v>
      </c>
      <c r="I28" t="n">
        <v>1</v>
      </c>
      <c r="J28" t="n">
        <v>1</v>
      </c>
      <c r="K28" t="n">
        <v>0</v>
      </c>
      <c r="L28" t="n">
        <v>0</v>
      </c>
      <c r="M28" t="n">
        <v>0</v>
      </c>
      <c r="N28" t="n">
        <v>0</v>
      </c>
      <c r="O28" t="n">
        <v>1</v>
      </c>
      <c r="P28" t="n">
        <v>0</v>
      </c>
      <c r="Q28" t="n">
        <v>2</v>
      </c>
      <c r="R28" s="2" t="inlineStr">
        <is>
          <t>Garnlav
Stuplav</t>
        </is>
      </c>
      <c r="S28">
        <f>HYPERLINK("https://klasma.github.io/Logging_2521/artfynd/A 24913-2019 artfynd.xlsx", "A 24913-2019")</f>
        <v/>
      </c>
      <c r="T28">
        <f>HYPERLINK("https://klasma.github.io/Logging_2521/kartor/A 24913-2019 karta.png", "A 24913-2019")</f>
        <v/>
      </c>
      <c r="V28">
        <f>HYPERLINK("https://klasma.github.io/Logging_2521/klagomål/A 24913-2019 FSC-klagomål.docx", "A 24913-2019")</f>
        <v/>
      </c>
      <c r="W28">
        <f>HYPERLINK("https://klasma.github.io/Logging_2521/klagomålsmail/A 24913-2019 FSC-klagomål mail.docx", "A 24913-2019")</f>
        <v/>
      </c>
      <c r="X28">
        <f>HYPERLINK("https://klasma.github.io/Logging_2521/tillsyn/A 24913-2019 tillsynsbegäran.docx", "A 24913-2019")</f>
        <v/>
      </c>
      <c r="Y28">
        <f>HYPERLINK("https://klasma.github.io/Logging_2521/tillsynsmail/A 24913-2019 tillsynsbegäran mail.docx", "A 24913-2019")</f>
        <v/>
      </c>
    </row>
    <row r="29" ht="15" customHeight="1">
      <c r="A29" t="inlineStr">
        <is>
          <t>A 32337-2019</t>
        </is>
      </c>
      <c r="B29" s="1" t="n">
        <v>43644</v>
      </c>
      <c r="C29" s="1" t="n">
        <v>45645</v>
      </c>
      <c r="D29" t="inlineStr">
        <is>
          <t>NORRBOTTENS LÄN</t>
        </is>
      </c>
      <c r="E29" t="inlineStr">
        <is>
          <t>PAJALA</t>
        </is>
      </c>
      <c r="F29" t="inlineStr">
        <is>
          <t>Sveaskog</t>
        </is>
      </c>
      <c r="G29" t="n">
        <v>5.1</v>
      </c>
      <c r="H29" t="n">
        <v>0</v>
      </c>
      <c r="I29" t="n">
        <v>1</v>
      </c>
      <c r="J29" t="n">
        <v>1</v>
      </c>
      <c r="K29" t="n">
        <v>0</v>
      </c>
      <c r="L29" t="n">
        <v>0</v>
      </c>
      <c r="M29" t="n">
        <v>0</v>
      </c>
      <c r="N29" t="n">
        <v>0</v>
      </c>
      <c r="O29" t="n">
        <v>1</v>
      </c>
      <c r="P29" t="n">
        <v>0</v>
      </c>
      <c r="Q29" t="n">
        <v>2</v>
      </c>
      <c r="R29" s="2" t="inlineStr">
        <is>
          <t>Garnlav
Trådticka</t>
        </is>
      </c>
      <c r="S29">
        <f>HYPERLINK("https://klasma.github.io/Logging_2521/artfynd/A 32337-2019 artfynd.xlsx", "A 32337-2019")</f>
        <v/>
      </c>
      <c r="T29">
        <f>HYPERLINK("https://klasma.github.io/Logging_2521/kartor/A 32337-2019 karta.png", "A 32337-2019")</f>
        <v/>
      </c>
      <c r="V29">
        <f>HYPERLINK("https://klasma.github.io/Logging_2521/klagomål/A 32337-2019 FSC-klagomål.docx", "A 32337-2019")</f>
        <v/>
      </c>
      <c r="W29">
        <f>HYPERLINK("https://klasma.github.io/Logging_2521/klagomålsmail/A 32337-2019 FSC-klagomål mail.docx", "A 32337-2019")</f>
        <v/>
      </c>
      <c r="X29">
        <f>HYPERLINK("https://klasma.github.io/Logging_2521/tillsyn/A 32337-2019 tillsynsbegäran.docx", "A 32337-2019")</f>
        <v/>
      </c>
      <c r="Y29">
        <f>HYPERLINK("https://klasma.github.io/Logging_2521/tillsynsmail/A 32337-2019 tillsynsbegäran mail.docx", "A 32337-2019")</f>
        <v/>
      </c>
    </row>
    <row r="30" ht="15" customHeight="1">
      <c r="A30" t="inlineStr">
        <is>
          <t>A 50195-2019</t>
        </is>
      </c>
      <c r="B30" s="1" t="n">
        <v>43734</v>
      </c>
      <c r="C30" s="1" t="n">
        <v>45645</v>
      </c>
      <c r="D30" t="inlineStr">
        <is>
          <t>NORRBOTTENS LÄN</t>
        </is>
      </c>
      <c r="E30" t="inlineStr">
        <is>
          <t>PAJALA</t>
        </is>
      </c>
      <c r="F30" t="inlineStr">
        <is>
          <t>Sveaskog</t>
        </is>
      </c>
      <c r="G30" t="n">
        <v>12</v>
      </c>
      <c r="H30" t="n">
        <v>0</v>
      </c>
      <c r="I30" t="n">
        <v>0</v>
      </c>
      <c r="J30" t="n">
        <v>1</v>
      </c>
      <c r="K30" t="n">
        <v>1</v>
      </c>
      <c r="L30" t="n">
        <v>0</v>
      </c>
      <c r="M30" t="n">
        <v>0</v>
      </c>
      <c r="N30" t="n">
        <v>0</v>
      </c>
      <c r="O30" t="n">
        <v>2</v>
      </c>
      <c r="P30" t="n">
        <v>1</v>
      </c>
      <c r="Q30" t="n">
        <v>2</v>
      </c>
      <c r="R30" s="2" t="inlineStr">
        <is>
          <t>Gräddporing
Garnlav</t>
        </is>
      </c>
      <c r="S30">
        <f>HYPERLINK("https://klasma.github.io/Logging_2521/artfynd/A 50195-2019 artfynd.xlsx", "A 50195-2019")</f>
        <v/>
      </c>
      <c r="T30">
        <f>HYPERLINK("https://klasma.github.io/Logging_2521/kartor/A 50195-2019 karta.png", "A 50195-2019")</f>
        <v/>
      </c>
      <c r="V30">
        <f>HYPERLINK("https://klasma.github.io/Logging_2521/klagomål/A 50195-2019 FSC-klagomål.docx", "A 50195-2019")</f>
        <v/>
      </c>
      <c r="W30">
        <f>HYPERLINK("https://klasma.github.io/Logging_2521/klagomålsmail/A 50195-2019 FSC-klagomål mail.docx", "A 50195-2019")</f>
        <v/>
      </c>
      <c r="X30">
        <f>HYPERLINK("https://klasma.github.io/Logging_2521/tillsyn/A 50195-2019 tillsynsbegäran.docx", "A 50195-2019")</f>
        <v/>
      </c>
      <c r="Y30">
        <f>HYPERLINK("https://klasma.github.io/Logging_2521/tillsynsmail/A 50195-2019 tillsynsbegäran mail.docx", "A 50195-2019")</f>
        <v/>
      </c>
    </row>
    <row r="31" ht="15" customHeight="1">
      <c r="A31" t="inlineStr">
        <is>
          <t>A 57990-2019</t>
        </is>
      </c>
      <c r="B31" s="1" t="n">
        <v>43769</v>
      </c>
      <c r="C31" s="1" t="n">
        <v>45645</v>
      </c>
      <c r="D31" t="inlineStr">
        <is>
          <t>NORRBOTTENS LÄN</t>
        </is>
      </c>
      <c r="E31" t="inlineStr">
        <is>
          <t>PAJALA</t>
        </is>
      </c>
      <c r="F31" t="inlineStr">
        <is>
          <t>Sveaskog</t>
        </is>
      </c>
      <c r="G31" t="n">
        <v>30.9</v>
      </c>
      <c r="H31" t="n">
        <v>1</v>
      </c>
      <c r="I31" t="n">
        <v>0</v>
      </c>
      <c r="J31" t="n">
        <v>1</v>
      </c>
      <c r="K31" t="n">
        <v>0</v>
      </c>
      <c r="L31" t="n">
        <v>0</v>
      </c>
      <c r="M31" t="n">
        <v>0</v>
      </c>
      <c r="N31" t="n">
        <v>0</v>
      </c>
      <c r="O31" t="n">
        <v>1</v>
      </c>
      <c r="P31" t="n">
        <v>0</v>
      </c>
      <c r="Q31" t="n">
        <v>2</v>
      </c>
      <c r="R31" s="2" t="inlineStr">
        <is>
          <t>Gammelgransskål
Fläcknycklar</t>
        </is>
      </c>
      <c r="S31">
        <f>HYPERLINK("https://klasma.github.io/Logging_2521/artfynd/A 57990-2019 artfynd.xlsx", "A 57990-2019")</f>
        <v/>
      </c>
      <c r="T31">
        <f>HYPERLINK("https://klasma.github.io/Logging_2521/kartor/A 57990-2019 karta.png", "A 57990-2019")</f>
        <v/>
      </c>
      <c r="V31">
        <f>HYPERLINK("https://klasma.github.io/Logging_2521/klagomål/A 57990-2019 FSC-klagomål.docx", "A 57990-2019")</f>
        <v/>
      </c>
      <c r="W31">
        <f>HYPERLINK("https://klasma.github.io/Logging_2521/klagomålsmail/A 57990-2019 FSC-klagomål mail.docx", "A 57990-2019")</f>
        <v/>
      </c>
      <c r="X31">
        <f>HYPERLINK("https://klasma.github.io/Logging_2521/tillsyn/A 57990-2019 tillsynsbegäran.docx", "A 57990-2019")</f>
        <v/>
      </c>
      <c r="Y31">
        <f>HYPERLINK("https://klasma.github.io/Logging_2521/tillsynsmail/A 57990-2019 tillsynsbegäran mail.docx", "A 57990-2019")</f>
        <v/>
      </c>
    </row>
    <row r="32" ht="15" customHeight="1">
      <c r="A32" t="inlineStr">
        <is>
          <t>A 33033-2020</t>
        </is>
      </c>
      <c r="B32" s="1" t="n">
        <v>44021</v>
      </c>
      <c r="C32" s="1" t="n">
        <v>45645</v>
      </c>
      <c r="D32" t="inlineStr">
        <is>
          <t>NORRBOTTENS LÄN</t>
        </is>
      </c>
      <c r="E32" t="inlineStr">
        <is>
          <t>PAJALA</t>
        </is>
      </c>
      <c r="F32" t="inlineStr">
        <is>
          <t>Sveaskog</t>
        </is>
      </c>
      <c r="G32" t="n">
        <v>18</v>
      </c>
      <c r="H32" t="n">
        <v>0</v>
      </c>
      <c r="I32" t="n">
        <v>1</v>
      </c>
      <c r="J32" t="n">
        <v>1</v>
      </c>
      <c r="K32" t="n">
        <v>0</v>
      </c>
      <c r="L32" t="n">
        <v>0</v>
      </c>
      <c r="M32" t="n">
        <v>0</v>
      </c>
      <c r="N32" t="n">
        <v>0</v>
      </c>
      <c r="O32" t="n">
        <v>1</v>
      </c>
      <c r="P32" t="n">
        <v>0</v>
      </c>
      <c r="Q32" t="n">
        <v>2</v>
      </c>
      <c r="R32" s="2" t="inlineStr">
        <is>
          <t>Vitplätt
Vedticka</t>
        </is>
      </c>
      <c r="S32">
        <f>HYPERLINK("https://klasma.github.io/Logging_2521/artfynd/A 33033-2020 artfynd.xlsx", "A 33033-2020")</f>
        <v/>
      </c>
      <c r="T32">
        <f>HYPERLINK("https://klasma.github.io/Logging_2521/kartor/A 33033-2020 karta.png", "A 33033-2020")</f>
        <v/>
      </c>
      <c r="V32">
        <f>HYPERLINK("https://klasma.github.io/Logging_2521/klagomål/A 33033-2020 FSC-klagomål.docx", "A 33033-2020")</f>
        <v/>
      </c>
      <c r="W32">
        <f>HYPERLINK("https://klasma.github.io/Logging_2521/klagomålsmail/A 33033-2020 FSC-klagomål mail.docx", "A 33033-2020")</f>
        <v/>
      </c>
      <c r="X32">
        <f>HYPERLINK("https://klasma.github.io/Logging_2521/tillsyn/A 33033-2020 tillsynsbegäran.docx", "A 33033-2020")</f>
        <v/>
      </c>
      <c r="Y32">
        <f>HYPERLINK("https://klasma.github.io/Logging_2521/tillsynsmail/A 33033-2020 tillsynsbegäran mail.docx", "A 33033-2020")</f>
        <v/>
      </c>
    </row>
    <row r="33" ht="15" customHeight="1">
      <c r="A33" t="inlineStr">
        <is>
          <t>A 42855-2020</t>
        </is>
      </c>
      <c r="B33" s="1" t="n">
        <v>44078</v>
      </c>
      <c r="C33" s="1" t="n">
        <v>45645</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33819-2021</t>
        </is>
      </c>
      <c r="B34" s="1" t="n">
        <v>44378</v>
      </c>
      <c r="C34" s="1" t="n">
        <v>45645</v>
      </c>
      <c r="D34" t="inlineStr">
        <is>
          <t>NORRBOTTENS LÄN</t>
        </is>
      </c>
      <c r="E34" t="inlineStr">
        <is>
          <t>PAJALA</t>
        </is>
      </c>
      <c r="F34" t="inlineStr">
        <is>
          <t>Sveaskog</t>
        </is>
      </c>
      <c r="G34" t="n">
        <v>15.1</v>
      </c>
      <c r="H34" t="n">
        <v>2</v>
      </c>
      <c r="I34" t="n">
        <v>1</v>
      </c>
      <c r="J34" t="n">
        <v>0</v>
      </c>
      <c r="K34" t="n">
        <v>0</v>
      </c>
      <c r="L34" t="n">
        <v>0</v>
      </c>
      <c r="M34" t="n">
        <v>0</v>
      </c>
      <c r="N34" t="n">
        <v>0</v>
      </c>
      <c r="O34" t="n">
        <v>0</v>
      </c>
      <c r="P34" t="n">
        <v>0</v>
      </c>
      <c r="Q34" t="n">
        <v>2</v>
      </c>
      <c r="R34" s="2" t="inlineStr">
        <is>
          <t>Spindelblomster
Fläcknycklar</t>
        </is>
      </c>
      <c r="S34">
        <f>HYPERLINK("https://klasma.github.io/Logging_2521/artfynd/A 33819-2021 artfynd.xlsx", "A 33819-2021")</f>
        <v/>
      </c>
      <c r="T34">
        <f>HYPERLINK("https://klasma.github.io/Logging_2521/kartor/A 33819-2021 karta.png", "A 33819-2021")</f>
        <v/>
      </c>
      <c r="V34">
        <f>HYPERLINK("https://klasma.github.io/Logging_2521/klagomål/A 33819-2021 FSC-klagomål.docx", "A 33819-2021")</f>
        <v/>
      </c>
      <c r="W34">
        <f>HYPERLINK("https://klasma.github.io/Logging_2521/klagomålsmail/A 33819-2021 FSC-klagomål mail.docx", "A 33819-2021")</f>
        <v/>
      </c>
      <c r="X34">
        <f>HYPERLINK("https://klasma.github.io/Logging_2521/tillsyn/A 33819-2021 tillsynsbegäran.docx", "A 33819-2021")</f>
        <v/>
      </c>
      <c r="Y34">
        <f>HYPERLINK("https://klasma.github.io/Logging_2521/tillsynsmail/A 33819-2021 tillsynsbegäran mail.docx", "A 33819-2021")</f>
        <v/>
      </c>
    </row>
    <row r="35" ht="15" customHeight="1">
      <c r="A35" t="inlineStr">
        <is>
          <t>A 73176-2021</t>
        </is>
      </c>
      <c r="B35" s="1" t="n">
        <v>44550</v>
      </c>
      <c r="C35" s="1" t="n">
        <v>45645</v>
      </c>
      <c r="D35" t="inlineStr">
        <is>
          <t>NORRBOTTENS LÄN</t>
        </is>
      </c>
      <c r="E35" t="inlineStr">
        <is>
          <t>PAJALA</t>
        </is>
      </c>
      <c r="F35" t="inlineStr">
        <is>
          <t>Sveaskog</t>
        </is>
      </c>
      <c r="G35" t="n">
        <v>14.6</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73176-2021 artfynd.xlsx", "A 73176-2021")</f>
        <v/>
      </c>
      <c r="T35">
        <f>HYPERLINK("https://klasma.github.io/Logging_2521/kartor/A 73176-2021 karta.png", "A 73176-2021")</f>
        <v/>
      </c>
      <c r="V35">
        <f>HYPERLINK("https://klasma.github.io/Logging_2521/klagomål/A 73176-2021 FSC-klagomål.docx", "A 73176-2021")</f>
        <v/>
      </c>
      <c r="W35">
        <f>HYPERLINK("https://klasma.github.io/Logging_2521/klagomålsmail/A 73176-2021 FSC-klagomål mail.docx", "A 73176-2021")</f>
        <v/>
      </c>
      <c r="X35">
        <f>HYPERLINK("https://klasma.github.io/Logging_2521/tillsyn/A 73176-2021 tillsynsbegäran.docx", "A 73176-2021")</f>
        <v/>
      </c>
      <c r="Y35">
        <f>HYPERLINK("https://klasma.github.io/Logging_2521/tillsynsmail/A 73176-2021 tillsynsbegäran mail.docx", "A 73176-2021")</f>
        <v/>
      </c>
    </row>
    <row r="36" ht="15" customHeight="1">
      <c r="A36" t="inlineStr">
        <is>
          <t>A 7956-2022</t>
        </is>
      </c>
      <c r="B36" s="1" t="n">
        <v>44608</v>
      </c>
      <c r="C36" s="1" t="n">
        <v>45645</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31242-2022</t>
        </is>
      </c>
      <c r="B37" s="1" t="n">
        <v>44771</v>
      </c>
      <c r="C37" s="1" t="n">
        <v>45645</v>
      </c>
      <c r="D37" t="inlineStr">
        <is>
          <t>NORRBOTTENS LÄN</t>
        </is>
      </c>
      <c r="E37" t="inlineStr">
        <is>
          <t>PAJALA</t>
        </is>
      </c>
      <c r="G37" t="n">
        <v>21.9</v>
      </c>
      <c r="H37" t="n">
        <v>0</v>
      </c>
      <c r="I37" t="n">
        <v>0</v>
      </c>
      <c r="J37" t="n">
        <v>1</v>
      </c>
      <c r="K37" t="n">
        <v>1</v>
      </c>
      <c r="L37" t="n">
        <v>0</v>
      </c>
      <c r="M37" t="n">
        <v>0</v>
      </c>
      <c r="N37" t="n">
        <v>0</v>
      </c>
      <c r="O37" t="n">
        <v>2</v>
      </c>
      <c r="P37" t="n">
        <v>1</v>
      </c>
      <c r="Q37" t="n">
        <v>2</v>
      </c>
      <c r="R37" s="2" t="inlineStr">
        <is>
          <t>Tallgråticka
Vaddporing</t>
        </is>
      </c>
      <c r="S37">
        <f>HYPERLINK("https://klasma.github.io/Logging_2521/artfynd/A 31242-2022 artfynd.xlsx", "A 31242-2022")</f>
        <v/>
      </c>
      <c r="T37">
        <f>HYPERLINK("https://klasma.github.io/Logging_2521/kartor/A 31242-2022 karta.png", "A 31242-2022")</f>
        <v/>
      </c>
      <c r="V37">
        <f>HYPERLINK("https://klasma.github.io/Logging_2521/klagomål/A 31242-2022 FSC-klagomål.docx", "A 31242-2022")</f>
        <v/>
      </c>
      <c r="W37">
        <f>HYPERLINK("https://klasma.github.io/Logging_2521/klagomålsmail/A 31242-2022 FSC-klagomål mail.docx", "A 31242-2022")</f>
        <v/>
      </c>
      <c r="X37">
        <f>HYPERLINK("https://klasma.github.io/Logging_2521/tillsyn/A 31242-2022 tillsynsbegäran.docx", "A 31242-2022")</f>
        <v/>
      </c>
      <c r="Y37">
        <f>HYPERLINK("https://klasma.github.io/Logging_2521/tillsynsmail/A 31242-2022 tillsynsbegäran mail.docx", "A 31242-2022")</f>
        <v/>
      </c>
    </row>
    <row r="38" ht="15" customHeight="1">
      <c r="A38" t="inlineStr">
        <is>
          <t>A 1385-2023</t>
        </is>
      </c>
      <c r="B38" s="1" t="n">
        <v>44930</v>
      </c>
      <c r="C38" s="1" t="n">
        <v>45645</v>
      </c>
      <c r="D38" t="inlineStr">
        <is>
          <t>NORRBOTTENS LÄN</t>
        </is>
      </c>
      <c r="E38" t="inlineStr">
        <is>
          <t>PAJALA</t>
        </is>
      </c>
      <c r="G38" t="n">
        <v>2.7</v>
      </c>
      <c r="H38" t="n">
        <v>0</v>
      </c>
      <c r="I38" t="n">
        <v>1</v>
      </c>
      <c r="J38" t="n">
        <v>1</v>
      </c>
      <c r="K38" t="n">
        <v>0</v>
      </c>
      <c r="L38" t="n">
        <v>0</v>
      </c>
      <c r="M38" t="n">
        <v>0</v>
      </c>
      <c r="N38" t="n">
        <v>0</v>
      </c>
      <c r="O38" t="n">
        <v>1</v>
      </c>
      <c r="P38" t="n">
        <v>0</v>
      </c>
      <c r="Q38" t="n">
        <v>2</v>
      </c>
      <c r="R38" s="2" t="inlineStr">
        <is>
          <t>Gammelgransskål
Skör kvastmossa</t>
        </is>
      </c>
      <c r="S38">
        <f>HYPERLINK("https://klasma.github.io/Logging_2521/artfynd/A 1385-2023 artfynd.xlsx", "A 1385-2023")</f>
        <v/>
      </c>
      <c r="T38">
        <f>HYPERLINK("https://klasma.github.io/Logging_2521/kartor/A 1385-2023 karta.png", "A 1385-2023")</f>
        <v/>
      </c>
      <c r="V38">
        <f>HYPERLINK("https://klasma.github.io/Logging_2521/klagomål/A 1385-2023 FSC-klagomål.docx", "A 1385-2023")</f>
        <v/>
      </c>
      <c r="W38">
        <f>HYPERLINK("https://klasma.github.io/Logging_2521/klagomålsmail/A 1385-2023 FSC-klagomål mail.docx", "A 1385-2023")</f>
        <v/>
      </c>
      <c r="X38">
        <f>HYPERLINK("https://klasma.github.io/Logging_2521/tillsyn/A 1385-2023 tillsynsbegäran.docx", "A 1385-2023")</f>
        <v/>
      </c>
      <c r="Y38">
        <f>HYPERLINK("https://klasma.github.io/Logging_2521/tillsynsmail/A 1385-2023 tillsynsbegäran mail.docx", "A 1385-2023")</f>
        <v/>
      </c>
    </row>
    <row r="39" ht="15" customHeight="1">
      <c r="A39" t="inlineStr">
        <is>
          <t>A 6180-2023</t>
        </is>
      </c>
      <c r="B39" s="1" t="n">
        <v>44964</v>
      </c>
      <c r="C39" s="1" t="n">
        <v>45645</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14971-2023</t>
        </is>
      </c>
      <c r="B40" s="1" t="n">
        <v>45014</v>
      </c>
      <c r="C40" s="1" t="n">
        <v>45645</v>
      </c>
      <c r="D40" t="inlineStr">
        <is>
          <t>NORRBOTTENS LÄN</t>
        </is>
      </c>
      <c r="E40" t="inlineStr">
        <is>
          <t>PAJALA</t>
        </is>
      </c>
      <c r="F40" t="inlineStr">
        <is>
          <t>Allmännings- och besparingsskogar</t>
        </is>
      </c>
      <c r="G40" t="n">
        <v>49.6</v>
      </c>
      <c r="H40" t="n">
        <v>0</v>
      </c>
      <c r="I40" t="n">
        <v>0</v>
      </c>
      <c r="J40" t="n">
        <v>2</v>
      </c>
      <c r="K40" t="n">
        <v>0</v>
      </c>
      <c r="L40" t="n">
        <v>0</v>
      </c>
      <c r="M40" t="n">
        <v>0</v>
      </c>
      <c r="N40" t="n">
        <v>0</v>
      </c>
      <c r="O40" t="n">
        <v>2</v>
      </c>
      <c r="P40" t="n">
        <v>0</v>
      </c>
      <c r="Q40" t="n">
        <v>2</v>
      </c>
      <c r="R40" s="2" t="inlineStr">
        <is>
          <t>Blanksvart spiklav
Garnlav</t>
        </is>
      </c>
      <c r="S40">
        <f>HYPERLINK("https://klasma.github.io/Logging_2521/artfynd/A 14971-2023 artfynd.xlsx", "A 14971-2023")</f>
        <v/>
      </c>
      <c r="T40">
        <f>HYPERLINK("https://klasma.github.io/Logging_2521/kartor/A 14971-2023 karta.png", "A 14971-2023")</f>
        <v/>
      </c>
      <c r="V40">
        <f>HYPERLINK("https://klasma.github.io/Logging_2521/klagomål/A 14971-2023 FSC-klagomål.docx", "A 14971-2023")</f>
        <v/>
      </c>
      <c r="W40">
        <f>HYPERLINK("https://klasma.github.io/Logging_2521/klagomålsmail/A 14971-2023 FSC-klagomål mail.docx", "A 14971-2023")</f>
        <v/>
      </c>
      <c r="X40">
        <f>HYPERLINK("https://klasma.github.io/Logging_2521/tillsyn/A 14971-2023 tillsynsbegäran.docx", "A 14971-2023")</f>
        <v/>
      </c>
      <c r="Y40">
        <f>HYPERLINK("https://klasma.github.io/Logging_2521/tillsynsmail/A 14971-2023 tillsynsbegäran mail.docx", "A 14971-2023")</f>
        <v/>
      </c>
    </row>
    <row r="41" ht="15" customHeight="1">
      <c r="A41" t="inlineStr">
        <is>
          <t>A 38557-2023</t>
        </is>
      </c>
      <c r="B41" s="1" t="n">
        <v>45160</v>
      </c>
      <c r="C41" s="1" t="n">
        <v>45645</v>
      </c>
      <c r="D41" t="inlineStr">
        <is>
          <t>NORRBOTTENS LÄN</t>
        </is>
      </c>
      <c r="E41" t="inlineStr">
        <is>
          <t>PAJALA</t>
        </is>
      </c>
      <c r="G41" t="n">
        <v>14.1</v>
      </c>
      <c r="H41" t="n">
        <v>2</v>
      </c>
      <c r="I41" t="n">
        <v>0</v>
      </c>
      <c r="J41" t="n">
        <v>0</v>
      </c>
      <c r="K41" t="n">
        <v>1</v>
      </c>
      <c r="L41" t="n">
        <v>0</v>
      </c>
      <c r="M41" t="n">
        <v>0</v>
      </c>
      <c r="N41" t="n">
        <v>0</v>
      </c>
      <c r="O41" t="n">
        <v>1</v>
      </c>
      <c r="P41" t="n">
        <v>1</v>
      </c>
      <c r="Q41" t="n">
        <v>2</v>
      </c>
      <c r="R41" s="2" t="inlineStr">
        <is>
          <t>Knärot
Revlummer</t>
        </is>
      </c>
      <c r="S41">
        <f>HYPERLINK("https://klasma.github.io/Logging_2521/artfynd/A 38557-2023 artfynd.xlsx", "A 38557-2023")</f>
        <v/>
      </c>
      <c r="T41">
        <f>HYPERLINK("https://klasma.github.io/Logging_2521/kartor/A 38557-2023 karta.png", "A 38557-2023")</f>
        <v/>
      </c>
      <c r="U41">
        <f>HYPERLINK("https://klasma.github.io/Logging_2521/knärot/A 38557-2023 karta knärot.png", "A 38557-2023")</f>
        <v/>
      </c>
      <c r="V41">
        <f>HYPERLINK("https://klasma.github.io/Logging_2521/klagomål/A 38557-2023 FSC-klagomål.docx", "A 38557-2023")</f>
        <v/>
      </c>
      <c r="W41">
        <f>HYPERLINK("https://klasma.github.io/Logging_2521/klagomålsmail/A 38557-2023 FSC-klagomål mail.docx", "A 38557-2023")</f>
        <v/>
      </c>
      <c r="X41">
        <f>HYPERLINK("https://klasma.github.io/Logging_2521/tillsyn/A 38557-2023 tillsynsbegäran.docx", "A 38557-2023")</f>
        <v/>
      </c>
      <c r="Y41">
        <f>HYPERLINK("https://klasma.github.io/Logging_2521/tillsynsmail/A 38557-2023 tillsynsbegäran mail.docx", "A 38557-2023")</f>
        <v/>
      </c>
    </row>
    <row r="42" ht="15" customHeight="1">
      <c r="A42" t="inlineStr">
        <is>
          <t>A 55162-2023</t>
        </is>
      </c>
      <c r="B42" s="1" t="n">
        <v>45237</v>
      </c>
      <c r="C42" s="1" t="n">
        <v>45645</v>
      </c>
      <c r="D42" t="inlineStr">
        <is>
          <t>NORRBOTTENS LÄN</t>
        </is>
      </c>
      <c r="E42" t="inlineStr">
        <is>
          <t>PAJALA</t>
        </is>
      </c>
      <c r="F42" t="inlineStr">
        <is>
          <t>Sveaskog</t>
        </is>
      </c>
      <c r="G42" t="n">
        <v>7.1</v>
      </c>
      <c r="H42" t="n">
        <v>0</v>
      </c>
      <c r="I42" t="n">
        <v>0</v>
      </c>
      <c r="J42" t="n">
        <v>2</v>
      </c>
      <c r="K42" t="n">
        <v>0</v>
      </c>
      <c r="L42" t="n">
        <v>0</v>
      </c>
      <c r="M42" t="n">
        <v>0</v>
      </c>
      <c r="N42" t="n">
        <v>0</v>
      </c>
      <c r="O42" t="n">
        <v>2</v>
      </c>
      <c r="P42" t="n">
        <v>0</v>
      </c>
      <c r="Q42" t="n">
        <v>2</v>
      </c>
      <c r="R42" s="2" t="inlineStr">
        <is>
          <t>Knottrig blåslav
Lunglav</t>
        </is>
      </c>
      <c r="S42">
        <f>HYPERLINK("https://klasma.github.io/Logging_2521/artfynd/A 55162-2023 artfynd.xlsx", "A 55162-2023")</f>
        <v/>
      </c>
      <c r="T42">
        <f>HYPERLINK("https://klasma.github.io/Logging_2521/kartor/A 55162-2023 karta.png", "A 55162-2023")</f>
        <v/>
      </c>
      <c r="V42">
        <f>HYPERLINK("https://klasma.github.io/Logging_2521/klagomål/A 55162-2023 FSC-klagomål.docx", "A 55162-2023")</f>
        <v/>
      </c>
      <c r="W42">
        <f>HYPERLINK("https://klasma.github.io/Logging_2521/klagomålsmail/A 55162-2023 FSC-klagomål mail.docx", "A 55162-2023")</f>
        <v/>
      </c>
      <c r="X42">
        <f>HYPERLINK("https://klasma.github.io/Logging_2521/tillsyn/A 55162-2023 tillsynsbegäran.docx", "A 55162-2023")</f>
        <v/>
      </c>
      <c r="Y42">
        <f>HYPERLINK("https://klasma.github.io/Logging_2521/tillsynsmail/A 55162-2023 tillsynsbegäran mail.docx", "A 55162-2023")</f>
        <v/>
      </c>
    </row>
    <row r="43" ht="15" customHeight="1">
      <c r="A43" t="inlineStr">
        <is>
          <t>A 40698-2024</t>
        </is>
      </c>
      <c r="B43" s="1" t="n">
        <v>45558</v>
      </c>
      <c r="C43" s="1" t="n">
        <v>45645</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40880-2024</t>
        </is>
      </c>
      <c r="B44" s="1" t="n">
        <v>45558</v>
      </c>
      <c r="C44" s="1" t="n">
        <v>45645</v>
      </c>
      <c r="D44" t="inlineStr">
        <is>
          <t>NORRBOTTENS LÄN</t>
        </is>
      </c>
      <c r="E44" t="inlineStr">
        <is>
          <t>PAJALA</t>
        </is>
      </c>
      <c r="F44" t="inlineStr">
        <is>
          <t>Sveaskog</t>
        </is>
      </c>
      <c r="G44" t="n">
        <v>10.4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40880-2024 artfynd.xlsx", "A 40880-2024")</f>
        <v/>
      </c>
      <c r="T44">
        <f>HYPERLINK("https://klasma.github.io/Logging_2521/kartor/A 40880-2024 karta.png", "A 40880-2024")</f>
        <v/>
      </c>
      <c r="V44">
        <f>HYPERLINK("https://klasma.github.io/Logging_2521/klagomål/A 40880-2024 FSC-klagomål.docx", "A 40880-2024")</f>
        <v/>
      </c>
      <c r="W44">
        <f>HYPERLINK("https://klasma.github.io/Logging_2521/klagomålsmail/A 40880-2024 FSC-klagomål mail.docx", "A 40880-2024")</f>
        <v/>
      </c>
      <c r="X44">
        <f>HYPERLINK("https://klasma.github.io/Logging_2521/tillsyn/A 40880-2024 tillsynsbegäran.docx", "A 40880-2024")</f>
        <v/>
      </c>
      <c r="Y44">
        <f>HYPERLINK("https://klasma.github.io/Logging_2521/tillsynsmail/A 40880-2024 tillsynsbegäran mail.docx", "A 40880-2024")</f>
        <v/>
      </c>
    </row>
    <row r="45" ht="15" customHeight="1">
      <c r="A45" t="inlineStr">
        <is>
          <t>A 46134-2019</t>
        </is>
      </c>
      <c r="B45" s="1" t="n">
        <v>43718</v>
      </c>
      <c r="C45" s="1" t="n">
        <v>45645</v>
      </c>
      <c r="D45" t="inlineStr">
        <is>
          <t>NORRBOTTENS LÄN</t>
        </is>
      </c>
      <c r="E45" t="inlineStr">
        <is>
          <t>PAJALA</t>
        </is>
      </c>
      <c r="F45" t="inlineStr">
        <is>
          <t>Sveaskog</t>
        </is>
      </c>
      <c r="G45" t="n">
        <v>10.1</v>
      </c>
      <c r="H45" t="n">
        <v>0</v>
      </c>
      <c r="I45" t="n">
        <v>0</v>
      </c>
      <c r="J45" t="n">
        <v>1</v>
      </c>
      <c r="K45" t="n">
        <v>0</v>
      </c>
      <c r="L45" t="n">
        <v>0</v>
      </c>
      <c r="M45" t="n">
        <v>0</v>
      </c>
      <c r="N45" t="n">
        <v>0</v>
      </c>
      <c r="O45" t="n">
        <v>1</v>
      </c>
      <c r="P45" t="n">
        <v>0</v>
      </c>
      <c r="Q45" t="n">
        <v>1</v>
      </c>
      <c r="R45" s="2" t="inlineStr">
        <is>
          <t>Garnlav</t>
        </is>
      </c>
      <c r="S45">
        <f>HYPERLINK("https://klasma.github.io/Logging_2521/artfynd/A 46134-2019 artfynd.xlsx", "A 46134-2019")</f>
        <v/>
      </c>
      <c r="T45">
        <f>HYPERLINK("https://klasma.github.io/Logging_2521/kartor/A 46134-2019 karta.png", "A 46134-2019")</f>
        <v/>
      </c>
      <c r="V45">
        <f>HYPERLINK("https://klasma.github.io/Logging_2521/klagomål/A 46134-2019 FSC-klagomål.docx", "A 46134-2019")</f>
        <v/>
      </c>
      <c r="W45">
        <f>HYPERLINK("https://klasma.github.io/Logging_2521/klagomålsmail/A 46134-2019 FSC-klagomål mail.docx", "A 46134-2019")</f>
        <v/>
      </c>
      <c r="X45">
        <f>HYPERLINK("https://klasma.github.io/Logging_2521/tillsyn/A 46134-2019 tillsynsbegäran.docx", "A 46134-2019")</f>
        <v/>
      </c>
      <c r="Y45">
        <f>HYPERLINK("https://klasma.github.io/Logging_2521/tillsynsmail/A 46134-2019 tillsynsbegäran mail.docx", "A 46134-2019")</f>
        <v/>
      </c>
    </row>
    <row r="46" ht="15" customHeight="1">
      <c r="A46" t="inlineStr">
        <is>
          <t>A 34646-2020</t>
        </is>
      </c>
      <c r="B46" s="1" t="n">
        <v>44034</v>
      </c>
      <c r="C46" s="1" t="n">
        <v>45645</v>
      </c>
      <c r="D46" t="inlineStr">
        <is>
          <t>NORRBOTTENS LÄN</t>
        </is>
      </c>
      <c r="E46" t="inlineStr">
        <is>
          <t>PAJALA</t>
        </is>
      </c>
      <c r="F46" t="inlineStr">
        <is>
          <t>Allmännings- och besparingsskogar</t>
        </is>
      </c>
      <c r="G46" t="n">
        <v>7.3</v>
      </c>
      <c r="H46" t="n">
        <v>1</v>
      </c>
      <c r="I46" t="n">
        <v>0</v>
      </c>
      <c r="J46" t="n">
        <v>0</v>
      </c>
      <c r="K46" t="n">
        <v>0</v>
      </c>
      <c r="L46" t="n">
        <v>0</v>
      </c>
      <c r="M46" t="n">
        <v>0</v>
      </c>
      <c r="N46" t="n">
        <v>0</v>
      </c>
      <c r="O46" t="n">
        <v>0</v>
      </c>
      <c r="P46" t="n">
        <v>0</v>
      </c>
      <c r="Q46" t="n">
        <v>1</v>
      </c>
      <c r="R46" s="2" t="inlineStr">
        <is>
          <t>Sångsvan</t>
        </is>
      </c>
      <c r="S46">
        <f>HYPERLINK("https://klasma.github.io/Logging_2521/artfynd/A 34646-2020 artfynd.xlsx", "A 34646-2020")</f>
        <v/>
      </c>
      <c r="T46">
        <f>HYPERLINK("https://klasma.github.io/Logging_2521/kartor/A 34646-2020 karta.png", "A 34646-2020")</f>
        <v/>
      </c>
      <c r="V46">
        <f>HYPERLINK("https://klasma.github.io/Logging_2521/klagomål/A 34646-2020 FSC-klagomål.docx", "A 34646-2020")</f>
        <v/>
      </c>
      <c r="W46">
        <f>HYPERLINK("https://klasma.github.io/Logging_2521/klagomålsmail/A 34646-2020 FSC-klagomål mail.docx", "A 34646-2020")</f>
        <v/>
      </c>
      <c r="X46">
        <f>HYPERLINK("https://klasma.github.io/Logging_2521/tillsyn/A 34646-2020 tillsynsbegäran.docx", "A 34646-2020")</f>
        <v/>
      </c>
      <c r="Y46">
        <f>HYPERLINK("https://klasma.github.io/Logging_2521/tillsynsmail/A 34646-2020 tillsynsbegäran mail.docx", "A 34646-2020")</f>
        <v/>
      </c>
      <c r="Z46">
        <f>HYPERLINK("https://klasma.github.io/Logging_2521/fåglar/A 34646-2020 prioriterade fågelarter.docx", "A 34646-2020")</f>
        <v/>
      </c>
    </row>
    <row r="47" ht="15" customHeight="1">
      <c r="A47" t="inlineStr">
        <is>
          <t>A 42854-2020</t>
        </is>
      </c>
      <c r="B47" s="1" t="n">
        <v>44078</v>
      </c>
      <c r="C47" s="1" t="n">
        <v>45645</v>
      </c>
      <c r="D47" t="inlineStr">
        <is>
          <t>NORRBOTTENS LÄN</t>
        </is>
      </c>
      <c r="E47" t="inlineStr">
        <is>
          <t>PAJALA</t>
        </is>
      </c>
      <c r="F47" t="inlineStr">
        <is>
          <t>Sveaskog</t>
        </is>
      </c>
      <c r="G47" t="n">
        <v>5.4</v>
      </c>
      <c r="H47" t="n">
        <v>1</v>
      </c>
      <c r="I47" t="n">
        <v>0</v>
      </c>
      <c r="J47" t="n">
        <v>1</v>
      </c>
      <c r="K47" t="n">
        <v>0</v>
      </c>
      <c r="L47" t="n">
        <v>0</v>
      </c>
      <c r="M47" t="n">
        <v>0</v>
      </c>
      <c r="N47" t="n">
        <v>0</v>
      </c>
      <c r="O47" t="n">
        <v>1</v>
      </c>
      <c r="P47" t="n">
        <v>0</v>
      </c>
      <c r="Q47" t="n">
        <v>1</v>
      </c>
      <c r="R47" s="2" t="inlineStr">
        <is>
          <t>Duvhök</t>
        </is>
      </c>
      <c r="S47">
        <f>HYPERLINK("https://klasma.github.io/Logging_2521/artfynd/A 42854-2020 artfynd.xlsx", "A 42854-2020")</f>
        <v/>
      </c>
      <c r="T47">
        <f>HYPERLINK("https://klasma.github.io/Logging_2521/kartor/A 42854-2020 karta.png", "A 42854-2020")</f>
        <v/>
      </c>
      <c r="V47">
        <f>HYPERLINK("https://klasma.github.io/Logging_2521/klagomål/A 42854-2020 FSC-klagomål.docx", "A 42854-2020")</f>
        <v/>
      </c>
      <c r="W47">
        <f>HYPERLINK("https://klasma.github.io/Logging_2521/klagomålsmail/A 42854-2020 FSC-klagomål mail.docx", "A 42854-2020")</f>
        <v/>
      </c>
      <c r="X47">
        <f>HYPERLINK("https://klasma.github.io/Logging_2521/tillsyn/A 42854-2020 tillsynsbegäran.docx", "A 42854-2020")</f>
        <v/>
      </c>
      <c r="Y47">
        <f>HYPERLINK("https://klasma.github.io/Logging_2521/tillsynsmail/A 42854-2020 tillsynsbegäran mail.docx", "A 42854-2020")</f>
        <v/>
      </c>
      <c r="Z47">
        <f>HYPERLINK("https://klasma.github.io/Logging_2521/fåglar/A 42854-2020 prioriterade fågelarter.docx", "A 42854-2020")</f>
        <v/>
      </c>
    </row>
    <row r="48" ht="15" customHeight="1">
      <c r="A48" t="inlineStr">
        <is>
          <t>A 30239-2021</t>
        </is>
      </c>
      <c r="B48" s="1" t="n">
        <v>44363</v>
      </c>
      <c r="C48" s="1" t="n">
        <v>45645</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45645</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60597-2021</t>
        </is>
      </c>
      <c r="B50" s="1" t="n">
        <v>44496</v>
      </c>
      <c r="C50" s="1" t="n">
        <v>45645</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65518-2021</t>
        </is>
      </c>
      <c r="B51" s="1" t="n">
        <v>44516</v>
      </c>
      <c r="C51" s="1" t="n">
        <v>45645</v>
      </c>
      <c r="D51" t="inlineStr">
        <is>
          <t>NORRBOTTENS LÄN</t>
        </is>
      </c>
      <c r="E51" t="inlineStr">
        <is>
          <t>PAJALA</t>
        </is>
      </c>
      <c r="F51" t="inlineStr">
        <is>
          <t>Sveaskog</t>
        </is>
      </c>
      <c r="G51" t="n">
        <v>1.5</v>
      </c>
      <c r="H51" t="n">
        <v>0</v>
      </c>
      <c r="I51" t="n">
        <v>1</v>
      </c>
      <c r="J51" t="n">
        <v>0</v>
      </c>
      <c r="K51" t="n">
        <v>0</v>
      </c>
      <c r="L51" t="n">
        <v>0</v>
      </c>
      <c r="M51" t="n">
        <v>0</v>
      </c>
      <c r="N51" t="n">
        <v>0</v>
      </c>
      <c r="O51" t="n">
        <v>0</v>
      </c>
      <c r="P51" t="n">
        <v>0</v>
      </c>
      <c r="Q51" t="n">
        <v>1</v>
      </c>
      <c r="R51" s="2" t="inlineStr">
        <is>
          <t>Stuplav</t>
        </is>
      </c>
      <c r="S51">
        <f>HYPERLINK("https://klasma.github.io/Logging_2521/artfynd/A 65518-2021 artfynd.xlsx", "A 65518-2021")</f>
        <v/>
      </c>
      <c r="T51">
        <f>HYPERLINK("https://klasma.github.io/Logging_2521/kartor/A 65518-2021 karta.png", "A 65518-2021")</f>
        <v/>
      </c>
      <c r="V51">
        <f>HYPERLINK("https://klasma.github.io/Logging_2521/klagomål/A 65518-2021 FSC-klagomål.docx", "A 65518-2021")</f>
        <v/>
      </c>
      <c r="W51">
        <f>HYPERLINK("https://klasma.github.io/Logging_2521/klagomålsmail/A 65518-2021 FSC-klagomål mail.docx", "A 65518-2021")</f>
        <v/>
      </c>
      <c r="X51">
        <f>HYPERLINK("https://klasma.github.io/Logging_2521/tillsyn/A 65518-2021 tillsynsbegäran.docx", "A 65518-2021")</f>
        <v/>
      </c>
      <c r="Y51">
        <f>HYPERLINK("https://klasma.github.io/Logging_2521/tillsynsmail/A 65518-2021 tillsynsbegäran mail.docx", "A 65518-2021")</f>
        <v/>
      </c>
    </row>
    <row r="52" ht="15" customHeight="1">
      <c r="A52" t="inlineStr">
        <is>
          <t>A 7960-2022</t>
        </is>
      </c>
      <c r="B52" s="1" t="n">
        <v>44608</v>
      </c>
      <c r="C52" s="1" t="n">
        <v>45645</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12061-2022</t>
        </is>
      </c>
      <c r="B53" s="1" t="n">
        <v>44636</v>
      </c>
      <c r="C53" s="1" t="n">
        <v>45645</v>
      </c>
      <c r="D53" t="inlineStr">
        <is>
          <t>NORRBOTTENS LÄN</t>
        </is>
      </c>
      <c r="E53" t="inlineStr">
        <is>
          <t>PAJALA</t>
        </is>
      </c>
      <c r="G53" t="n">
        <v>36</v>
      </c>
      <c r="H53" t="n">
        <v>0</v>
      </c>
      <c r="I53" t="n">
        <v>1</v>
      </c>
      <c r="J53" t="n">
        <v>0</v>
      </c>
      <c r="K53" t="n">
        <v>0</v>
      </c>
      <c r="L53" t="n">
        <v>0</v>
      </c>
      <c r="M53" t="n">
        <v>0</v>
      </c>
      <c r="N53" t="n">
        <v>0</v>
      </c>
      <c r="O53" t="n">
        <v>0</v>
      </c>
      <c r="P53" t="n">
        <v>0</v>
      </c>
      <c r="Q53" t="n">
        <v>1</v>
      </c>
      <c r="R53" s="2" t="inlineStr">
        <is>
          <t>Grönpyrola</t>
        </is>
      </c>
      <c r="S53">
        <f>HYPERLINK("https://klasma.github.io/Logging_2521/artfynd/A 12061-2022 artfynd.xlsx", "A 12061-2022")</f>
        <v/>
      </c>
      <c r="T53">
        <f>HYPERLINK("https://klasma.github.io/Logging_2521/kartor/A 12061-2022 karta.png", "A 12061-2022")</f>
        <v/>
      </c>
      <c r="V53">
        <f>HYPERLINK("https://klasma.github.io/Logging_2521/klagomål/A 12061-2022 FSC-klagomål.docx", "A 12061-2022")</f>
        <v/>
      </c>
      <c r="W53">
        <f>HYPERLINK("https://klasma.github.io/Logging_2521/klagomålsmail/A 12061-2022 FSC-klagomål mail.docx", "A 12061-2022")</f>
        <v/>
      </c>
      <c r="X53">
        <f>HYPERLINK("https://klasma.github.io/Logging_2521/tillsyn/A 12061-2022 tillsynsbegäran.docx", "A 12061-2022")</f>
        <v/>
      </c>
      <c r="Y53">
        <f>HYPERLINK("https://klasma.github.io/Logging_2521/tillsynsmail/A 12061-2022 tillsynsbegäran mail.docx", "A 12061-2022")</f>
        <v/>
      </c>
    </row>
    <row r="54" ht="15" customHeight="1">
      <c r="A54" t="inlineStr">
        <is>
          <t>A 47700-2022</t>
        </is>
      </c>
      <c r="B54" s="1" t="n">
        <v>44854</v>
      </c>
      <c r="C54" s="1" t="n">
        <v>45645</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49756-2022</t>
        </is>
      </c>
      <c r="B55" s="1" t="n">
        <v>44862</v>
      </c>
      <c r="C55" s="1" t="n">
        <v>45645</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Lunglav</t>
        </is>
      </c>
      <c r="S55">
        <f>HYPERLINK("https://klasma.github.io/Logging_2521/artfynd/A 49756-2022 artfynd.xlsx", "A 49756-2022")</f>
        <v/>
      </c>
      <c r="T55">
        <f>HYPERLINK("https://klasma.github.io/Logging_2521/kartor/A 49756-2022 karta.png", "A 49756-2022")</f>
        <v/>
      </c>
      <c r="V55">
        <f>HYPERLINK("https://klasma.github.io/Logging_2521/klagomål/A 49756-2022 FSC-klagomål.docx", "A 49756-2022")</f>
        <v/>
      </c>
      <c r="W55">
        <f>HYPERLINK("https://klasma.github.io/Logging_2521/klagomålsmail/A 49756-2022 FSC-klagomål mail.docx", "A 49756-2022")</f>
        <v/>
      </c>
      <c r="X55">
        <f>HYPERLINK("https://klasma.github.io/Logging_2521/tillsyn/A 49756-2022 tillsynsbegäran.docx", "A 49756-2022")</f>
        <v/>
      </c>
      <c r="Y55">
        <f>HYPERLINK("https://klasma.github.io/Logging_2521/tillsynsmail/A 49756-2022 tillsynsbegäran mail.docx", "A 49756-2022")</f>
        <v/>
      </c>
    </row>
    <row r="56" ht="15" customHeight="1">
      <c r="A56" t="inlineStr">
        <is>
          <t>A 59071-2022</t>
        </is>
      </c>
      <c r="B56" s="1" t="n">
        <v>44904</v>
      </c>
      <c r="C56" s="1" t="n">
        <v>45645</v>
      </c>
      <c r="D56" t="inlineStr">
        <is>
          <t>NORRBOTTENS LÄN</t>
        </is>
      </c>
      <c r="E56" t="inlineStr">
        <is>
          <t>PAJALA</t>
        </is>
      </c>
      <c r="F56" t="inlineStr">
        <is>
          <t>Sveaskog</t>
        </is>
      </c>
      <c r="G56" t="n">
        <v>9</v>
      </c>
      <c r="H56" t="n">
        <v>0</v>
      </c>
      <c r="I56" t="n">
        <v>0</v>
      </c>
      <c r="J56" t="n">
        <v>1</v>
      </c>
      <c r="K56" t="n">
        <v>0</v>
      </c>
      <c r="L56" t="n">
        <v>0</v>
      </c>
      <c r="M56" t="n">
        <v>0</v>
      </c>
      <c r="N56" t="n">
        <v>0</v>
      </c>
      <c r="O56" t="n">
        <v>1</v>
      </c>
      <c r="P56" t="n">
        <v>0</v>
      </c>
      <c r="Q56" t="n">
        <v>1</v>
      </c>
      <c r="R56" s="2" t="inlineStr">
        <is>
          <t>Garnlav</t>
        </is>
      </c>
      <c r="S56">
        <f>HYPERLINK("https://klasma.github.io/Logging_2521/artfynd/A 59071-2022 artfynd.xlsx", "A 59071-2022")</f>
        <v/>
      </c>
      <c r="T56">
        <f>HYPERLINK("https://klasma.github.io/Logging_2521/kartor/A 59071-2022 karta.png", "A 59071-2022")</f>
        <v/>
      </c>
      <c r="V56">
        <f>HYPERLINK("https://klasma.github.io/Logging_2521/klagomål/A 59071-2022 FSC-klagomål.docx", "A 59071-2022")</f>
        <v/>
      </c>
      <c r="W56">
        <f>HYPERLINK("https://klasma.github.io/Logging_2521/klagomålsmail/A 59071-2022 FSC-klagomål mail.docx", "A 59071-2022")</f>
        <v/>
      </c>
      <c r="X56">
        <f>HYPERLINK("https://klasma.github.io/Logging_2521/tillsyn/A 59071-2022 tillsynsbegäran.docx", "A 59071-2022")</f>
        <v/>
      </c>
      <c r="Y56">
        <f>HYPERLINK("https://klasma.github.io/Logging_2521/tillsynsmail/A 59071-2022 tillsynsbegäran mail.docx", "A 59071-2022")</f>
        <v/>
      </c>
    </row>
    <row r="57" ht="15" customHeight="1">
      <c r="A57" t="inlineStr">
        <is>
          <t>A 14979-2023</t>
        </is>
      </c>
      <c r="B57" s="1" t="n">
        <v>45014</v>
      </c>
      <c r="C57" s="1" t="n">
        <v>45645</v>
      </c>
      <c r="D57" t="inlineStr">
        <is>
          <t>NORRBOTTENS LÄN</t>
        </is>
      </c>
      <c r="E57" t="inlineStr">
        <is>
          <t>PAJALA</t>
        </is>
      </c>
      <c r="F57" t="inlineStr">
        <is>
          <t>Allmännings- och besparingsskogar</t>
        </is>
      </c>
      <c r="G57" t="n">
        <v>26.1</v>
      </c>
      <c r="H57" t="n">
        <v>0</v>
      </c>
      <c r="I57" t="n">
        <v>0</v>
      </c>
      <c r="J57" t="n">
        <v>1</v>
      </c>
      <c r="K57" t="n">
        <v>0</v>
      </c>
      <c r="L57" t="n">
        <v>0</v>
      </c>
      <c r="M57" t="n">
        <v>0</v>
      </c>
      <c r="N57" t="n">
        <v>0</v>
      </c>
      <c r="O57" t="n">
        <v>1</v>
      </c>
      <c r="P57" t="n">
        <v>0</v>
      </c>
      <c r="Q57" t="n">
        <v>1</v>
      </c>
      <c r="R57" s="2" t="inlineStr">
        <is>
          <t>Garnlav</t>
        </is>
      </c>
      <c r="S57">
        <f>HYPERLINK("https://klasma.github.io/Logging_2521/artfynd/A 14979-2023 artfynd.xlsx", "A 14979-2023")</f>
        <v/>
      </c>
      <c r="T57">
        <f>HYPERLINK("https://klasma.github.io/Logging_2521/kartor/A 14979-2023 karta.png", "A 14979-2023")</f>
        <v/>
      </c>
      <c r="V57">
        <f>HYPERLINK("https://klasma.github.io/Logging_2521/klagomål/A 14979-2023 FSC-klagomål.docx", "A 14979-2023")</f>
        <v/>
      </c>
      <c r="W57">
        <f>HYPERLINK("https://klasma.github.io/Logging_2521/klagomålsmail/A 14979-2023 FSC-klagomål mail.docx", "A 14979-2023")</f>
        <v/>
      </c>
      <c r="X57">
        <f>HYPERLINK("https://klasma.github.io/Logging_2521/tillsyn/A 14979-2023 tillsynsbegäran.docx", "A 14979-2023")</f>
        <v/>
      </c>
      <c r="Y57">
        <f>HYPERLINK("https://klasma.github.io/Logging_2521/tillsynsmail/A 14979-2023 tillsynsbegäran mail.docx", "A 14979-2023")</f>
        <v/>
      </c>
    </row>
    <row r="58" ht="15" customHeight="1">
      <c r="A58" t="inlineStr">
        <is>
          <t>A 31349-2023</t>
        </is>
      </c>
      <c r="B58" s="1" t="n">
        <v>45114</v>
      </c>
      <c r="C58" s="1" t="n">
        <v>45645</v>
      </c>
      <c r="D58" t="inlineStr">
        <is>
          <t>NORRBOTTENS LÄN</t>
        </is>
      </c>
      <c r="E58" t="inlineStr">
        <is>
          <t>PAJALA</t>
        </is>
      </c>
      <c r="G58" t="n">
        <v>8.300000000000001</v>
      </c>
      <c r="H58" t="n">
        <v>1</v>
      </c>
      <c r="I58" t="n">
        <v>0</v>
      </c>
      <c r="J58" t="n">
        <v>0</v>
      </c>
      <c r="K58" t="n">
        <v>0</v>
      </c>
      <c r="L58" t="n">
        <v>0</v>
      </c>
      <c r="M58" t="n">
        <v>0</v>
      </c>
      <c r="N58" t="n">
        <v>0</v>
      </c>
      <c r="O58" t="n">
        <v>0</v>
      </c>
      <c r="P58" t="n">
        <v>0</v>
      </c>
      <c r="Q58" t="n">
        <v>1</v>
      </c>
      <c r="R58" s="2" t="inlineStr">
        <is>
          <t>Revlummer</t>
        </is>
      </c>
      <c r="S58">
        <f>HYPERLINK("https://klasma.github.io/Logging_2521/artfynd/A 31349-2023 artfynd.xlsx", "A 31349-2023")</f>
        <v/>
      </c>
      <c r="T58">
        <f>HYPERLINK("https://klasma.github.io/Logging_2521/kartor/A 31349-2023 karta.png", "A 31349-2023")</f>
        <v/>
      </c>
      <c r="V58">
        <f>HYPERLINK("https://klasma.github.io/Logging_2521/klagomål/A 31349-2023 FSC-klagomål.docx", "A 31349-2023")</f>
        <v/>
      </c>
      <c r="W58">
        <f>HYPERLINK("https://klasma.github.io/Logging_2521/klagomålsmail/A 31349-2023 FSC-klagomål mail.docx", "A 31349-2023")</f>
        <v/>
      </c>
      <c r="X58">
        <f>HYPERLINK("https://klasma.github.io/Logging_2521/tillsyn/A 31349-2023 tillsynsbegäran.docx", "A 31349-2023")</f>
        <v/>
      </c>
      <c r="Y58">
        <f>HYPERLINK("https://klasma.github.io/Logging_2521/tillsynsmail/A 31349-2023 tillsynsbegäran mail.docx", "A 31349-2023")</f>
        <v/>
      </c>
    </row>
    <row r="59" ht="15" customHeight="1">
      <c r="A59" t="inlineStr">
        <is>
          <t>A 43851-2023</t>
        </is>
      </c>
      <c r="B59" s="1" t="n">
        <v>45187</v>
      </c>
      <c r="C59" s="1" t="n">
        <v>45645</v>
      </c>
      <c r="D59" t="inlineStr">
        <is>
          <t>NORRBOTTENS LÄN</t>
        </is>
      </c>
      <c r="E59" t="inlineStr">
        <is>
          <t>PAJALA</t>
        </is>
      </c>
      <c r="G59" t="n">
        <v>7.2</v>
      </c>
      <c r="H59" t="n">
        <v>0</v>
      </c>
      <c r="I59" t="n">
        <v>0</v>
      </c>
      <c r="J59" t="n">
        <v>1</v>
      </c>
      <c r="K59" t="n">
        <v>0</v>
      </c>
      <c r="L59" t="n">
        <v>0</v>
      </c>
      <c r="M59" t="n">
        <v>0</v>
      </c>
      <c r="N59" t="n">
        <v>0</v>
      </c>
      <c r="O59" t="n">
        <v>1</v>
      </c>
      <c r="P59" t="n">
        <v>0</v>
      </c>
      <c r="Q59" t="n">
        <v>1</v>
      </c>
      <c r="R59" s="2" t="inlineStr">
        <is>
          <t>Garnlav</t>
        </is>
      </c>
      <c r="S59">
        <f>HYPERLINK("https://klasma.github.io/Logging_2521/artfynd/A 43851-2023 artfynd.xlsx", "A 43851-2023")</f>
        <v/>
      </c>
      <c r="T59">
        <f>HYPERLINK("https://klasma.github.io/Logging_2521/kartor/A 43851-2023 karta.png", "A 43851-2023")</f>
        <v/>
      </c>
      <c r="V59">
        <f>HYPERLINK("https://klasma.github.io/Logging_2521/klagomål/A 43851-2023 FSC-klagomål.docx", "A 43851-2023")</f>
        <v/>
      </c>
      <c r="W59">
        <f>HYPERLINK("https://klasma.github.io/Logging_2521/klagomålsmail/A 43851-2023 FSC-klagomål mail.docx", "A 43851-2023")</f>
        <v/>
      </c>
      <c r="X59">
        <f>HYPERLINK("https://klasma.github.io/Logging_2521/tillsyn/A 43851-2023 tillsynsbegäran.docx", "A 43851-2023")</f>
        <v/>
      </c>
      <c r="Y59">
        <f>HYPERLINK("https://klasma.github.io/Logging_2521/tillsynsmail/A 43851-2023 tillsynsbegäran mail.docx", "A 43851-2023")</f>
        <v/>
      </c>
    </row>
    <row r="60" ht="15" customHeight="1">
      <c r="A60" t="inlineStr">
        <is>
          <t>A 50382-2023</t>
        </is>
      </c>
      <c r="B60" s="1" t="n">
        <v>45216</v>
      </c>
      <c r="C60" s="1" t="n">
        <v>45645</v>
      </c>
      <c r="D60" t="inlineStr">
        <is>
          <t>NORRBOTTENS LÄN</t>
        </is>
      </c>
      <c r="E60" t="inlineStr">
        <is>
          <t>PAJALA</t>
        </is>
      </c>
      <c r="F60" t="inlineStr">
        <is>
          <t>Sveaskog</t>
        </is>
      </c>
      <c r="G60" t="n">
        <v>4</v>
      </c>
      <c r="H60" t="n">
        <v>0</v>
      </c>
      <c r="I60" t="n">
        <v>0</v>
      </c>
      <c r="J60" t="n">
        <v>0</v>
      </c>
      <c r="K60" t="n">
        <v>1</v>
      </c>
      <c r="L60" t="n">
        <v>0</v>
      </c>
      <c r="M60" t="n">
        <v>0</v>
      </c>
      <c r="N60" t="n">
        <v>0</v>
      </c>
      <c r="O60" t="n">
        <v>1</v>
      </c>
      <c r="P60" t="n">
        <v>1</v>
      </c>
      <c r="Q60" t="n">
        <v>1</v>
      </c>
      <c r="R60" s="2" t="inlineStr">
        <is>
          <t>Lappticka</t>
        </is>
      </c>
      <c r="S60">
        <f>HYPERLINK("https://klasma.github.io/Logging_2521/artfynd/A 50382-2023 artfynd.xlsx", "A 50382-2023")</f>
        <v/>
      </c>
      <c r="T60">
        <f>HYPERLINK("https://klasma.github.io/Logging_2521/kartor/A 50382-2023 karta.png", "A 50382-2023")</f>
        <v/>
      </c>
      <c r="V60">
        <f>HYPERLINK("https://klasma.github.io/Logging_2521/klagomål/A 50382-2023 FSC-klagomål.docx", "A 50382-2023")</f>
        <v/>
      </c>
      <c r="W60">
        <f>HYPERLINK("https://klasma.github.io/Logging_2521/klagomålsmail/A 50382-2023 FSC-klagomål mail.docx", "A 50382-2023")</f>
        <v/>
      </c>
      <c r="X60">
        <f>HYPERLINK("https://klasma.github.io/Logging_2521/tillsyn/A 50382-2023 tillsynsbegäran.docx", "A 50382-2023")</f>
        <v/>
      </c>
      <c r="Y60">
        <f>HYPERLINK("https://klasma.github.io/Logging_2521/tillsynsmail/A 50382-2023 tillsynsbegäran mail.docx", "A 50382-2023")</f>
        <v/>
      </c>
    </row>
    <row r="61" ht="15" customHeight="1">
      <c r="A61" t="inlineStr">
        <is>
          <t>A 50377-2023</t>
        </is>
      </c>
      <c r="B61" s="1" t="n">
        <v>45216</v>
      </c>
      <c r="C61" s="1" t="n">
        <v>45645</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60069-2023</t>
        </is>
      </c>
      <c r="B62" s="1" t="n">
        <v>45258</v>
      </c>
      <c r="C62" s="1" t="n">
        <v>45645</v>
      </c>
      <c r="D62" t="inlineStr">
        <is>
          <t>NORRBOTTENS LÄN</t>
        </is>
      </c>
      <c r="E62" t="inlineStr">
        <is>
          <t>PAJALA</t>
        </is>
      </c>
      <c r="G62" t="n">
        <v>4.4</v>
      </c>
      <c r="H62" t="n">
        <v>0</v>
      </c>
      <c r="I62" t="n">
        <v>0</v>
      </c>
      <c r="J62" t="n">
        <v>1</v>
      </c>
      <c r="K62" t="n">
        <v>0</v>
      </c>
      <c r="L62" t="n">
        <v>0</v>
      </c>
      <c r="M62" t="n">
        <v>0</v>
      </c>
      <c r="N62" t="n">
        <v>0</v>
      </c>
      <c r="O62" t="n">
        <v>1</v>
      </c>
      <c r="P62" t="n">
        <v>0</v>
      </c>
      <c r="Q62" t="n">
        <v>1</v>
      </c>
      <c r="R62" s="2" t="inlineStr">
        <is>
          <t>Garnlav</t>
        </is>
      </c>
      <c r="S62">
        <f>HYPERLINK("https://klasma.github.io/Logging_2521/artfynd/A 60069-2023 artfynd.xlsx", "A 60069-2023")</f>
        <v/>
      </c>
      <c r="T62">
        <f>HYPERLINK("https://klasma.github.io/Logging_2521/kartor/A 60069-2023 karta.png", "A 60069-2023")</f>
        <v/>
      </c>
      <c r="V62">
        <f>HYPERLINK("https://klasma.github.io/Logging_2521/klagomål/A 60069-2023 FSC-klagomål.docx", "A 60069-2023")</f>
        <v/>
      </c>
      <c r="W62">
        <f>HYPERLINK("https://klasma.github.io/Logging_2521/klagomålsmail/A 60069-2023 FSC-klagomål mail.docx", "A 60069-2023")</f>
        <v/>
      </c>
      <c r="X62">
        <f>HYPERLINK("https://klasma.github.io/Logging_2521/tillsyn/A 60069-2023 tillsynsbegäran.docx", "A 60069-2023")</f>
        <v/>
      </c>
      <c r="Y62">
        <f>HYPERLINK("https://klasma.github.io/Logging_2521/tillsynsmail/A 60069-2023 tillsynsbegäran mail.docx", "A 60069-2023")</f>
        <v/>
      </c>
    </row>
    <row r="63" ht="15" customHeight="1">
      <c r="A63" t="inlineStr">
        <is>
          <t>A 8985-2024</t>
        </is>
      </c>
      <c r="B63" s="1" t="n">
        <v>45356</v>
      </c>
      <c r="C63" s="1" t="n">
        <v>45645</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9757-2024</t>
        </is>
      </c>
      <c r="B64" s="1" t="n">
        <v>45362</v>
      </c>
      <c r="C64" s="1" t="n">
        <v>45645</v>
      </c>
      <c r="D64" t="inlineStr">
        <is>
          <t>NORRBOTTENS LÄN</t>
        </is>
      </c>
      <c r="E64" t="inlineStr">
        <is>
          <t>PAJALA</t>
        </is>
      </c>
      <c r="F64" t="inlineStr">
        <is>
          <t>Allmännings- och besparingsskogar</t>
        </is>
      </c>
      <c r="G64" t="n">
        <v>38.1</v>
      </c>
      <c r="H64" t="n">
        <v>1</v>
      </c>
      <c r="I64" t="n">
        <v>0</v>
      </c>
      <c r="J64" t="n">
        <v>0</v>
      </c>
      <c r="K64" t="n">
        <v>0</v>
      </c>
      <c r="L64" t="n">
        <v>0</v>
      </c>
      <c r="M64" t="n">
        <v>0</v>
      </c>
      <c r="N64" t="n">
        <v>0</v>
      </c>
      <c r="O64" t="n">
        <v>0</v>
      </c>
      <c r="P64" t="n">
        <v>0</v>
      </c>
      <c r="Q64" t="n">
        <v>1</v>
      </c>
      <c r="R64" s="2" t="inlineStr">
        <is>
          <t>Fläcknycklar</t>
        </is>
      </c>
      <c r="S64">
        <f>HYPERLINK("https://klasma.github.io/Logging_2521/artfynd/A 9757-2024 artfynd.xlsx", "A 9757-2024")</f>
        <v/>
      </c>
      <c r="T64">
        <f>HYPERLINK("https://klasma.github.io/Logging_2521/kartor/A 9757-2024 karta.png", "A 9757-2024")</f>
        <v/>
      </c>
      <c r="V64">
        <f>HYPERLINK("https://klasma.github.io/Logging_2521/klagomål/A 9757-2024 FSC-klagomål.docx", "A 9757-2024")</f>
        <v/>
      </c>
      <c r="W64">
        <f>HYPERLINK("https://klasma.github.io/Logging_2521/klagomålsmail/A 9757-2024 FSC-klagomål mail.docx", "A 9757-2024")</f>
        <v/>
      </c>
      <c r="X64">
        <f>HYPERLINK("https://klasma.github.io/Logging_2521/tillsyn/A 9757-2024 tillsynsbegäran.docx", "A 9757-2024")</f>
        <v/>
      </c>
      <c r="Y64">
        <f>HYPERLINK("https://klasma.github.io/Logging_2521/tillsynsmail/A 9757-2024 tillsynsbegäran mail.docx", "A 9757-2024")</f>
        <v/>
      </c>
    </row>
    <row r="65" ht="15" customHeight="1">
      <c r="A65" t="inlineStr">
        <is>
          <t>A 16008-2024</t>
        </is>
      </c>
      <c r="B65" s="1" t="n">
        <v>45405</v>
      </c>
      <c r="C65" s="1" t="n">
        <v>45645</v>
      </c>
      <c r="D65" t="inlineStr">
        <is>
          <t>NORRBOTTENS LÄN</t>
        </is>
      </c>
      <c r="E65" t="inlineStr">
        <is>
          <t>PAJALA</t>
        </is>
      </c>
      <c r="G65" t="n">
        <v>39.9</v>
      </c>
      <c r="H65" t="n">
        <v>0</v>
      </c>
      <c r="I65" t="n">
        <v>1</v>
      </c>
      <c r="J65" t="n">
        <v>0</v>
      </c>
      <c r="K65" t="n">
        <v>0</v>
      </c>
      <c r="L65" t="n">
        <v>0</v>
      </c>
      <c r="M65" t="n">
        <v>0</v>
      </c>
      <c r="N65" t="n">
        <v>0</v>
      </c>
      <c r="O65" t="n">
        <v>0</v>
      </c>
      <c r="P65" t="n">
        <v>0</v>
      </c>
      <c r="Q65" t="n">
        <v>1</v>
      </c>
      <c r="R65" s="2" t="inlineStr">
        <is>
          <t>Grönpyrola</t>
        </is>
      </c>
      <c r="S65">
        <f>HYPERLINK("https://klasma.github.io/Logging_2521/artfynd/A 16008-2024 artfynd.xlsx", "A 16008-2024")</f>
        <v/>
      </c>
      <c r="T65">
        <f>HYPERLINK("https://klasma.github.io/Logging_2521/kartor/A 16008-2024 karta.png", "A 16008-2024")</f>
        <v/>
      </c>
      <c r="V65">
        <f>HYPERLINK("https://klasma.github.io/Logging_2521/klagomål/A 16008-2024 FSC-klagomål.docx", "A 16008-2024")</f>
        <v/>
      </c>
      <c r="W65">
        <f>HYPERLINK("https://klasma.github.io/Logging_2521/klagomålsmail/A 16008-2024 FSC-klagomål mail.docx", "A 16008-2024")</f>
        <v/>
      </c>
      <c r="X65">
        <f>HYPERLINK("https://klasma.github.io/Logging_2521/tillsyn/A 16008-2024 tillsynsbegäran.docx", "A 16008-2024")</f>
        <v/>
      </c>
      <c r="Y65">
        <f>HYPERLINK("https://klasma.github.io/Logging_2521/tillsynsmail/A 16008-2024 tillsynsbegäran mail.docx", "A 16008-2024")</f>
        <v/>
      </c>
    </row>
    <row r="66" ht="15" customHeight="1">
      <c r="A66" t="inlineStr">
        <is>
          <t>A 25484-2024</t>
        </is>
      </c>
      <c r="B66" s="1" t="n">
        <v>45463</v>
      </c>
      <c r="C66" s="1" t="n">
        <v>45645</v>
      </c>
      <c r="D66" t="inlineStr">
        <is>
          <t>NORRBOTTENS LÄN</t>
        </is>
      </c>
      <c r="E66" t="inlineStr">
        <is>
          <t>PAJALA</t>
        </is>
      </c>
      <c r="F66" t="inlineStr">
        <is>
          <t>Sveaskog</t>
        </is>
      </c>
      <c r="G66" t="n">
        <v>5.9</v>
      </c>
      <c r="H66" t="n">
        <v>0</v>
      </c>
      <c r="I66" t="n">
        <v>0</v>
      </c>
      <c r="J66" t="n">
        <v>1</v>
      </c>
      <c r="K66" t="n">
        <v>0</v>
      </c>
      <c r="L66" t="n">
        <v>0</v>
      </c>
      <c r="M66" t="n">
        <v>0</v>
      </c>
      <c r="N66" t="n">
        <v>0</v>
      </c>
      <c r="O66" t="n">
        <v>1</v>
      </c>
      <c r="P66" t="n">
        <v>0</v>
      </c>
      <c r="Q66" t="n">
        <v>1</v>
      </c>
      <c r="R66" s="2" t="inlineStr">
        <is>
          <t>Violmussling</t>
        </is>
      </c>
      <c r="S66">
        <f>HYPERLINK("https://klasma.github.io/Logging_2521/artfynd/A 25484-2024 artfynd.xlsx", "A 25484-2024")</f>
        <v/>
      </c>
      <c r="T66">
        <f>HYPERLINK("https://klasma.github.io/Logging_2521/kartor/A 25484-2024 karta.png", "A 25484-2024")</f>
        <v/>
      </c>
      <c r="V66">
        <f>HYPERLINK("https://klasma.github.io/Logging_2521/klagomål/A 25484-2024 FSC-klagomål.docx", "A 25484-2024")</f>
        <v/>
      </c>
      <c r="W66">
        <f>HYPERLINK("https://klasma.github.io/Logging_2521/klagomålsmail/A 25484-2024 FSC-klagomål mail.docx", "A 25484-2024")</f>
        <v/>
      </c>
      <c r="X66">
        <f>HYPERLINK("https://klasma.github.io/Logging_2521/tillsyn/A 25484-2024 tillsynsbegäran.docx", "A 25484-2024")</f>
        <v/>
      </c>
      <c r="Y66">
        <f>HYPERLINK("https://klasma.github.io/Logging_2521/tillsynsmail/A 25484-2024 tillsynsbegäran mail.docx", "A 25484-2024")</f>
        <v/>
      </c>
    </row>
    <row r="67" ht="15" customHeight="1">
      <c r="A67" t="inlineStr">
        <is>
          <t>A 28428-2024</t>
        </is>
      </c>
      <c r="B67" s="1" t="n">
        <v>45477</v>
      </c>
      <c r="C67" s="1" t="n">
        <v>45645</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44777-2024</t>
        </is>
      </c>
      <c r="B68" s="1" t="n">
        <v>45574</v>
      </c>
      <c r="C68" s="1" t="n">
        <v>45645</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46952-2024</t>
        </is>
      </c>
      <c r="B69" s="1" t="n">
        <v>45585</v>
      </c>
      <c r="C69" s="1" t="n">
        <v>45645</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60408-2024</t>
        </is>
      </c>
      <c r="B70" s="1" t="n">
        <v>45643</v>
      </c>
      <c r="C70" s="1" t="n">
        <v>45645</v>
      </c>
      <c r="D70" t="inlineStr">
        <is>
          <t>NORRBOTTENS LÄN</t>
        </is>
      </c>
      <c r="E70" t="inlineStr">
        <is>
          <t>PAJALA</t>
        </is>
      </c>
      <c r="G70" t="n">
        <v>20</v>
      </c>
      <c r="H70" t="n">
        <v>1</v>
      </c>
      <c r="I70" t="n">
        <v>0</v>
      </c>
      <c r="J70" t="n">
        <v>1</v>
      </c>
      <c r="K70" t="n">
        <v>0</v>
      </c>
      <c r="L70" t="n">
        <v>0</v>
      </c>
      <c r="M70" t="n">
        <v>0</v>
      </c>
      <c r="N70" t="n">
        <v>0</v>
      </c>
      <c r="O70" t="n">
        <v>1</v>
      </c>
      <c r="P70" t="n">
        <v>0</v>
      </c>
      <c r="Q70" t="n">
        <v>1</v>
      </c>
      <c r="R70" s="2" t="inlineStr">
        <is>
          <t>Järpe</t>
        </is>
      </c>
      <c r="S70">
        <f>HYPERLINK("https://klasma.github.io/Logging_2521/artfynd/A 60408-2024 artfynd.xlsx", "A 60408-2024")</f>
        <v/>
      </c>
      <c r="T70">
        <f>HYPERLINK("https://klasma.github.io/Logging_2521/kartor/A 60408-2024 karta.png", "A 60408-2024")</f>
        <v/>
      </c>
      <c r="V70">
        <f>HYPERLINK("https://klasma.github.io/Logging_2521/klagomål/A 60408-2024 FSC-klagomål.docx", "A 60408-2024")</f>
        <v/>
      </c>
      <c r="W70">
        <f>HYPERLINK("https://klasma.github.io/Logging_2521/klagomålsmail/A 60408-2024 FSC-klagomål mail.docx", "A 60408-2024")</f>
        <v/>
      </c>
      <c r="X70">
        <f>HYPERLINK("https://klasma.github.io/Logging_2521/tillsyn/A 60408-2024 tillsynsbegäran.docx", "A 60408-2024")</f>
        <v/>
      </c>
      <c r="Y70">
        <f>HYPERLINK("https://klasma.github.io/Logging_2521/tillsynsmail/A 60408-2024 tillsynsbegäran mail.docx", "A 60408-2024")</f>
        <v/>
      </c>
      <c r="Z70">
        <f>HYPERLINK("https://klasma.github.io/Logging_2521/fåglar/A 60408-2024 prioriterade fågelarter.docx", "A 60408-2024")</f>
        <v/>
      </c>
    </row>
    <row r="71" ht="15" customHeight="1">
      <c r="A71" t="inlineStr">
        <is>
          <t>A 18258-2019</t>
        </is>
      </c>
      <c r="B71" s="1" t="n">
        <v>43558</v>
      </c>
      <c r="C71" s="1" t="n">
        <v>45645</v>
      </c>
      <c r="D71" t="inlineStr">
        <is>
          <t>NORRBOTTENS LÄN</t>
        </is>
      </c>
      <c r="E71" t="inlineStr">
        <is>
          <t>PAJALA</t>
        </is>
      </c>
      <c r="G71" t="n">
        <v>2.4</v>
      </c>
      <c r="H71" t="n">
        <v>0</v>
      </c>
      <c r="I71" t="n">
        <v>0</v>
      </c>
      <c r="J71" t="n">
        <v>0</v>
      </c>
      <c r="K71" t="n">
        <v>0</v>
      </c>
      <c r="L71" t="n">
        <v>0</v>
      </c>
      <c r="M71" t="n">
        <v>0</v>
      </c>
      <c r="N71" t="n">
        <v>0</v>
      </c>
      <c r="O71" t="n">
        <v>0</v>
      </c>
      <c r="P71" t="n">
        <v>0</v>
      </c>
      <c r="Q71" t="n">
        <v>0</v>
      </c>
      <c r="R71" s="2" t="inlineStr"/>
    </row>
    <row r="72" ht="15" customHeight="1">
      <c r="A72" t="inlineStr">
        <is>
          <t>A 20148-2019</t>
        </is>
      </c>
      <c r="B72" s="1" t="n">
        <v>43567</v>
      </c>
      <c r="C72" s="1" t="n">
        <v>45645</v>
      </c>
      <c r="D72" t="inlineStr">
        <is>
          <t>NORRBOTTENS LÄN</t>
        </is>
      </c>
      <c r="E72" t="inlineStr">
        <is>
          <t>PAJALA</t>
        </is>
      </c>
      <c r="G72" t="n">
        <v>4.7</v>
      </c>
      <c r="H72" t="n">
        <v>0</v>
      </c>
      <c r="I72" t="n">
        <v>0</v>
      </c>
      <c r="J72" t="n">
        <v>0</v>
      </c>
      <c r="K72" t="n">
        <v>0</v>
      </c>
      <c r="L72" t="n">
        <v>0</v>
      </c>
      <c r="M72" t="n">
        <v>0</v>
      </c>
      <c r="N72" t="n">
        <v>0</v>
      </c>
      <c r="O72" t="n">
        <v>0</v>
      </c>
      <c r="P72" t="n">
        <v>0</v>
      </c>
      <c r="Q72" t="n">
        <v>0</v>
      </c>
      <c r="R72" s="2" t="inlineStr"/>
    </row>
    <row r="73" ht="15" customHeight="1">
      <c r="A73" t="inlineStr">
        <is>
          <t>A 20053-2019</t>
        </is>
      </c>
      <c r="B73" s="1" t="n">
        <v>43570</v>
      </c>
      <c r="C73" s="1" t="n">
        <v>45645</v>
      </c>
      <c r="D73" t="inlineStr">
        <is>
          <t>NORRBOTTENS LÄN</t>
        </is>
      </c>
      <c r="E73" t="inlineStr">
        <is>
          <t>PAJALA</t>
        </is>
      </c>
      <c r="F73" t="inlineStr">
        <is>
          <t>Sveaskog</t>
        </is>
      </c>
      <c r="G73" t="n">
        <v>2.9</v>
      </c>
      <c r="H73" t="n">
        <v>0</v>
      </c>
      <c r="I73" t="n">
        <v>0</v>
      </c>
      <c r="J73" t="n">
        <v>0</v>
      </c>
      <c r="K73" t="n">
        <v>0</v>
      </c>
      <c r="L73" t="n">
        <v>0</v>
      </c>
      <c r="M73" t="n">
        <v>0</v>
      </c>
      <c r="N73" t="n">
        <v>0</v>
      </c>
      <c r="O73" t="n">
        <v>0</v>
      </c>
      <c r="P73" t="n">
        <v>0</v>
      </c>
      <c r="Q73" t="n">
        <v>0</v>
      </c>
      <c r="R73" s="2" t="inlineStr"/>
    </row>
    <row r="74" ht="15" customHeight="1">
      <c r="A74" t="inlineStr">
        <is>
          <t>A 20349-2019</t>
        </is>
      </c>
      <c r="B74" s="1" t="n">
        <v>43570</v>
      </c>
      <c r="C74" s="1" t="n">
        <v>45645</v>
      </c>
      <c r="D74" t="inlineStr">
        <is>
          <t>NORRBOTTENS LÄN</t>
        </is>
      </c>
      <c r="E74" t="inlineStr">
        <is>
          <t>PAJALA</t>
        </is>
      </c>
      <c r="G74" t="n">
        <v>3.6</v>
      </c>
      <c r="H74" t="n">
        <v>0</v>
      </c>
      <c r="I74" t="n">
        <v>0</v>
      </c>
      <c r="J74" t="n">
        <v>0</v>
      </c>
      <c r="K74" t="n">
        <v>0</v>
      </c>
      <c r="L74" t="n">
        <v>0</v>
      </c>
      <c r="M74" t="n">
        <v>0</v>
      </c>
      <c r="N74" t="n">
        <v>0</v>
      </c>
      <c r="O74" t="n">
        <v>0</v>
      </c>
      <c r="P74" t="n">
        <v>0</v>
      </c>
      <c r="Q74" t="n">
        <v>0</v>
      </c>
      <c r="R74" s="2" t="inlineStr"/>
    </row>
    <row r="75" ht="15" customHeight="1">
      <c r="A75" t="inlineStr">
        <is>
          <t>A 20382-2019</t>
        </is>
      </c>
      <c r="B75" s="1" t="n">
        <v>43571</v>
      </c>
      <c r="C75" s="1" t="n">
        <v>45645</v>
      </c>
      <c r="D75" t="inlineStr">
        <is>
          <t>NORRBOTTENS LÄN</t>
        </is>
      </c>
      <c r="E75" t="inlineStr">
        <is>
          <t>PAJALA</t>
        </is>
      </c>
      <c r="G75" t="n">
        <v>3.5</v>
      </c>
      <c r="H75" t="n">
        <v>0</v>
      </c>
      <c r="I75" t="n">
        <v>0</v>
      </c>
      <c r="J75" t="n">
        <v>0</v>
      </c>
      <c r="K75" t="n">
        <v>0</v>
      </c>
      <c r="L75" t="n">
        <v>0</v>
      </c>
      <c r="M75" t="n">
        <v>0</v>
      </c>
      <c r="N75" t="n">
        <v>0</v>
      </c>
      <c r="O75" t="n">
        <v>0</v>
      </c>
      <c r="P75" t="n">
        <v>0</v>
      </c>
      <c r="Q75" t="n">
        <v>0</v>
      </c>
      <c r="R75" s="2" t="inlineStr"/>
    </row>
    <row r="76" ht="15" customHeight="1">
      <c r="A76" t="inlineStr">
        <is>
          <t>A 20410-2019</t>
        </is>
      </c>
      <c r="B76" s="1" t="n">
        <v>43571</v>
      </c>
      <c r="C76" s="1" t="n">
        <v>45645</v>
      </c>
      <c r="D76" t="inlineStr">
        <is>
          <t>NORRBOTTENS LÄN</t>
        </is>
      </c>
      <c r="E76" t="inlineStr">
        <is>
          <t>PAJALA</t>
        </is>
      </c>
      <c r="F76" t="inlineStr">
        <is>
          <t>Kyrkan</t>
        </is>
      </c>
      <c r="G76" t="n">
        <v>3.2</v>
      </c>
      <c r="H76" t="n">
        <v>0</v>
      </c>
      <c r="I76" t="n">
        <v>0</v>
      </c>
      <c r="J76" t="n">
        <v>0</v>
      </c>
      <c r="K76" t="n">
        <v>0</v>
      </c>
      <c r="L76" t="n">
        <v>0</v>
      </c>
      <c r="M76" t="n">
        <v>0</v>
      </c>
      <c r="N76" t="n">
        <v>0</v>
      </c>
      <c r="O76" t="n">
        <v>0</v>
      </c>
      <c r="P76" t="n">
        <v>0</v>
      </c>
      <c r="Q76" t="n">
        <v>0</v>
      </c>
      <c r="R76" s="2" t="inlineStr"/>
    </row>
    <row r="77" ht="15" customHeight="1">
      <c r="A77" t="inlineStr">
        <is>
          <t>A 20537-2019</t>
        </is>
      </c>
      <c r="B77" s="1" t="n">
        <v>43572</v>
      </c>
      <c r="C77" s="1" t="n">
        <v>45645</v>
      </c>
      <c r="D77" t="inlineStr">
        <is>
          <t>NORRBOTTENS LÄN</t>
        </is>
      </c>
      <c r="E77" t="inlineStr">
        <is>
          <t>PAJALA</t>
        </is>
      </c>
      <c r="G77" t="n">
        <v>7.2</v>
      </c>
      <c r="H77" t="n">
        <v>0</v>
      </c>
      <c r="I77" t="n">
        <v>0</v>
      </c>
      <c r="J77" t="n">
        <v>0</v>
      </c>
      <c r="K77" t="n">
        <v>0</v>
      </c>
      <c r="L77" t="n">
        <v>0</v>
      </c>
      <c r="M77" t="n">
        <v>0</v>
      </c>
      <c r="N77" t="n">
        <v>0</v>
      </c>
      <c r="O77" t="n">
        <v>0</v>
      </c>
      <c r="P77" t="n">
        <v>0</v>
      </c>
      <c r="Q77" t="n">
        <v>0</v>
      </c>
      <c r="R77" s="2" t="inlineStr"/>
    </row>
    <row r="78" ht="15" customHeight="1">
      <c r="A78" t="inlineStr">
        <is>
          <t>A 21088-2019</t>
        </is>
      </c>
      <c r="B78" s="1" t="n">
        <v>43574</v>
      </c>
      <c r="C78" s="1" t="n">
        <v>45645</v>
      </c>
      <c r="D78" t="inlineStr">
        <is>
          <t>NORRBOTTENS LÄN</t>
        </is>
      </c>
      <c r="E78" t="inlineStr">
        <is>
          <t>PAJALA</t>
        </is>
      </c>
      <c r="G78" t="n">
        <v>0.6</v>
      </c>
      <c r="H78" t="n">
        <v>0</v>
      </c>
      <c r="I78" t="n">
        <v>0</v>
      </c>
      <c r="J78" t="n">
        <v>0</v>
      </c>
      <c r="K78" t="n">
        <v>0</v>
      </c>
      <c r="L78" t="n">
        <v>0</v>
      </c>
      <c r="M78" t="n">
        <v>0</v>
      </c>
      <c r="N78" t="n">
        <v>0</v>
      </c>
      <c r="O78" t="n">
        <v>0</v>
      </c>
      <c r="P78" t="n">
        <v>0</v>
      </c>
      <c r="Q78" t="n">
        <v>0</v>
      </c>
      <c r="R78" s="2" t="inlineStr"/>
    </row>
    <row r="79" ht="15" customHeight="1">
      <c r="A79" t="inlineStr">
        <is>
          <t>A 21517-2019</t>
        </is>
      </c>
      <c r="B79" s="1" t="n">
        <v>43580</v>
      </c>
      <c r="C79" s="1" t="n">
        <v>45645</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21510-2019</t>
        </is>
      </c>
      <c r="B80" s="1" t="n">
        <v>43580</v>
      </c>
      <c r="C80" s="1" t="n">
        <v>45645</v>
      </c>
      <c r="D80" t="inlineStr">
        <is>
          <t>NORRBOTTENS LÄN</t>
        </is>
      </c>
      <c r="E80" t="inlineStr">
        <is>
          <t>PAJALA</t>
        </is>
      </c>
      <c r="G80" t="n">
        <v>3.6</v>
      </c>
      <c r="H80" t="n">
        <v>0</v>
      </c>
      <c r="I80" t="n">
        <v>0</v>
      </c>
      <c r="J80" t="n">
        <v>0</v>
      </c>
      <c r="K80" t="n">
        <v>0</v>
      </c>
      <c r="L80" t="n">
        <v>0</v>
      </c>
      <c r="M80" t="n">
        <v>0</v>
      </c>
      <c r="N80" t="n">
        <v>0</v>
      </c>
      <c r="O80" t="n">
        <v>0</v>
      </c>
      <c r="P80" t="n">
        <v>0</v>
      </c>
      <c r="Q80" t="n">
        <v>0</v>
      </c>
      <c r="R80" s="2" t="inlineStr"/>
    </row>
    <row r="81" ht="15" customHeight="1">
      <c r="A81" t="inlineStr">
        <is>
          <t>A 22564-2019</t>
        </is>
      </c>
      <c r="B81" s="1" t="n">
        <v>43587</v>
      </c>
      <c r="C81" s="1" t="n">
        <v>45645</v>
      </c>
      <c r="D81" t="inlineStr">
        <is>
          <t>NORRBOTTENS LÄN</t>
        </is>
      </c>
      <c r="E81" t="inlineStr">
        <is>
          <t>PAJALA</t>
        </is>
      </c>
      <c r="G81" t="n">
        <v>1.7</v>
      </c>
      <c r="H81" t="n">
        <v>0</v>
      </c>
      <c r="I81" t="n">
        <v>0</v>
      </c>
      <c r="J81" t="n">
        <v>0</v>
      </c>
      <c r="K81" t="n">
        <v>0</v>
      </c>
      <c r="L81" t="n">
        <v>0</v>
      </c>
      <c r="M81" t="n">
        <v>0</v>
      </c>
      <c r="N81" t="n">
        <v>0</v>
      </c>
      <c r="O81" t="n">
        <v>0</v>
      </c>
      <c r="P81" t="n">
        <v>0</v>
      </c>
      <c r="Q81" t="n">
        <v>0</v>
      </c>
      <c r="R81" s="2" t="inlineStr"/>
    </row>
    <row r="82" ht="15" customHeight="1">
      <c r="A82" t="inlineStr">
        <is>
          <t>A 22861-2019</t>
        </is>
      </c>
      <c r="B82" s="1" t="n">
        <v>43591</v>
      </c>
      <c r="C82" s="1" t="n">
        <v>45645</v>
      </c>
      <c r="D82" t="inlineStr">
        <is>
          <t>NORRBOTTENS LÄN</t>
        </is>
      </c>
      <c r="E82" t="inlineStr">
        <is>
          <t>PAJALA</t>
        </is>
      </c>
      <c r="G82" t="n">
        <v>2.2</v>
      </c>
      <c r="H82" t="n">
        <v>0</v>
      </c>
      <c r="I82" t="n">
        <v>0</v>
      </c>
      <c r="J82" t="n">
        <v>0</v>
      </c>
      <c r="K82" t="n">
        <v>0</v>
      </c>
      <c r="L82" t="n">
        <v>0</v>
      </c>
      <c r="M82" t="n">
        <v>0</v>
      </c>
      <c r="N82" t="n">
        <v>0</v>
      </c>
      <c r="O82" t="n">
        <v>0</v>
      </c>
      <c r="P82" t="n">
        <v>0</v>
      </c>
      <c r="Q82" t="n">
        <v>0</v>
      </c>
      <c r="R82" s="2" t="inlineStr"/>
    </row>
    <row r="83" ht="15" customHeight="1">
      <c r="A83" t="inlineStr">
        <is>
          <t>A 22859-2019</t>
        </is>
      </c>
      <c r="B83" s="1" t="n">
        <v>43591</v>
      </c>
      <c r="C83" s="1" t="n">
        <v>45645</v>
      </c>
      <c r="D83" t="inlineStr">
        <is>
          <t>NORRBOTTENS LÄN</t>
        </is>
      </c>
      <c r="E83" t="inlineStr">
        <is>
          <t>PAJALA</t>
        </is>
      </c>
      <c r="G83" t="n">
        <v>5.4</v>
      </c>
      <c r="H83" t="n">
        <v>0</v>
      </c>
      <c r="I83" t="n">
        <v>0</v>
      </c>
      <c r="J83" t="n">
        <v>0</v>
      </c>
      <c r="K83" t="n">
        <v>0</v>
      </c>
      <c r="L83" t="n">
        <v>0</v>
      </c>
      <c r="M83" t="n">
        <v>0</v>
      </c>
      <c r="N83" t="n">
        <v>0</v>
      </c>
      <c r="O83" t="n">
        <v>0</v>
      </c>
      <c r="P83" t="n">
        <v>0</v>
      </c>
      <c r="Q83" t="n">
        <v>0</v>
      </c>
      <c r="R83" s="2" t="inlineStr"/>
    </row>
    <row r="84" ht="15" customHeight="1">
      <c r="A84" t="inlineStr">
        <is>
          <t>A 23628-2019</t>
        </is>
      </c>
      <c r="B84" s="1" t="n">
        <v>43594</v>
      </c>
      <c r="C84" s="1" t="n">
        <v>45645</v>
      </c>
      <c r="D84" t="inlineStr">
        <is>
          <t>NORRBOTTENS LÄN</t>
        </is>
      </c>
      <c r="E84" t="inlineStr">
        <is>
          <t>PAJALA</t>
        </is>
      </c>
      <c r="G84" t="n">
        <v>55.9</v>
      </c>
      <c r="H84" t="n">
        <v>0</v>
      </c>
      <c r="I84" t="n">
        <v>0</v>
      </c>
      <c r="J84" t="n">
        <v>0</v>
      </c>
      <c r="K84" t="n">
        <v>0</v>
      </c>
      <c r="L84" t="n">
        <v>0</v>
      </c>
      <c r="M84" t="n">
        <v>0</v>
      </c>
      <c r="N84" t="n">
        <v>0</v>
      </c>
      <c r="O84" t="n">
        <v>0</v>
      </c>
      <c r="P84" t="n">
        <v>0</v>
      </c>
      <c r="Q84" t="n">
        <v>0</v>
      </c>
      <c r="R84" s="2" t="inlineStr"/>
    </row>
    <row r="85" ht="15" customHeight="1">
      <c r="A85" t="inlineStr">
        <is>
          <t>A 24847-2019</t>
        </is>
      </c>
      <c r="B85" s="1" t="n">
        <v>43599</v>
      </c>
      <c r="C85" s="1" t="n">
        <v>45645</v>
      </c>
      <c r="D85" t="inlineStr">
        <is>
          <t>NORRBOTTENS LÄN</t>
        </is>
      </c>
      <c r="E85" t="inlineStr">
        <is>
          <t>PAJALA</t>
        </is>
      </c>
      <c r="G85" t="n">
        <v>7.6</v>
      </c>
      <c r="H85" t="n">
        <v>0</v>
      </c>
      <c r="I85" t="n">
        <v>0</v>
      </c>
      <c r="J85" t="n">
        <v>0</v>
      </c>
      <c r="K85" t="n">
        <v>0</v>
      </c>
      <c r="L85" t="n">
        <v>0</v>
      </c>
      <c r="M85" t="n">
        <v>0</v>
      </c>
      <c r="N85" t="n">
        <v>0</v>
      </c>
      <c r="O85" t="n">
        <v>0</v>
      </c>
      <c r="P85" t="n">
        <v>0</v>
      </c>
      <c r="Q85" t="n">
        <v>0</v>
      </c>
      <c r="R85" s="2" t="inlineStr"/>
    </row>
    <row r="86" ht="15" customHeight="1">
      <c r="A86" t="inlineStr">
        <is>
          <t>A 24901-2019</t>
        </is>
      </c>
      <c r="B86" s="1" t="n">
        <v>43602</v>
      </c>
      <c r="C86" s="1" t="n">
        <v>45645</v>
      </c>
      <c r="D86" t="inlineStr">
        <is>
          <t>NORRBOTTENS LÄN</t>
        </is>
      </c>
      <c r="E86" t="inlineStr">
        <is>
          <t>PAJALA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25834-2019</t>
        </is>
      </c>
      <c r="B87" s="1" t="n">
        <v>43608</v>
      </c>
      <c r="C87" s="1" t="n">
        <v>45645</v>
      </c>
      <c r="D87" t="inlineStr">
        <is>
          <t>NORRBOTTENS LÄN</t>
        </is>
      </c>
      <c r="E87" t="inlineStr">
        <is>
          <t>PAJALA</t>
        </is>
      </c>
      <c r="F87" t="inlineStr">
        <is>
          <t>Sveaskog</t>
        </is>
      </c>
      <c r="G87" t="n">
        <v>31.2</v>
      </c>
      <c r="H87" t="n">
        <v>0</v>
      </c>
      <c r="I87" t="n">
        <v>0</v>
      </c>
      <c r="J87" t="n">
        <v>0</v>
      </c>
      <c r="K87" t="n">
        <v>0</v>
      </c>
      <c r="L87" t="n">
        <v>0</v>
      </c>
      <c r="M87" t="n">
        <v>0</v>
      </c>
      <c r="N87" t="n">
        <v>0</v>
      </c>
      <c r="O87" t="n">
        <v>0</v>
      </c>
      <c r="P87" t="n">
        <v>0</v>
      </c>
      <c r="Q87" t="n">
        <v>0</v>
      </c>
      <c r="R87" s="2" t="inlineStr"/>
    </row>
    <row r="88" ht="15" customHeight="1">
      <c r="A88" t="inlineStr">
        <is>
          <t>A 26056-2019</t>
        </is>
      </c>
      <c r="B88" s="1" t="n">
        <v>43609</v>
      </c>
      <c r="C88" s="1" t="n">
        <v>45645</v>
      </c>
      <c r="D88" t="inlineStr">
        <is>
          <t>NORRBOTTENS LÄN</t>
        </is>
      </c>
      <c r="E88" t="inlineStr">
        <is>
          <t>PAJALA</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26869-2019</t>
        </is>
      </c>
      <c r="B89" s="1" t="n">
        <v>43609</v>
      </c>
      <c r="C89" s="1" t="n">
        <v>45645</v>
      </c>
      <c r="D89" t="inlineStr">
        <is>
          <t>NORRBOTTENS LÄN</t>
        </is>
      </c>
      <c r="E89" t="inlineStr">
        <is>
          <t>PAJALA</t>
        </is>
      </c>
      <c r="G89" t="n">
        <v>4.4</v>
      </c>
      <c r="H89" t="n">
        <v>0</v>
      </c>
      <c r="I89" t="n">
        <v>0</v>
      </c>
      <c r="J89" t="n">
        <v>0</v>
      </c>
      <c r="K89" t="n">
        <v>0</v>
      </c>
      <c r="L89" t="n">
        <v>0</v>
      </c>
      <c r="M89" t="n">
        <v>0</v>
      </c>
      <c r="N89" t="n">
        <v>0</v>
      </c>
      <c r="O89" t="n">
        <v>0</v>
      </c>
      <c r="P89" t="n">
        <v>0</v>
      </c>
      <c r="Q89" t="n">
        <v>0</v>
      </c>
      <c r="R89" s="2" t="inlineStr"/>
    </row>
    <row r="90" ht="15" customHeight="1">
      <c r="A90" t="inlineStr">
        <is>
          <t>A 28579-2019</t>
        </is>
      </c>
      <c r="B90" s="1" t="n">
        <v>43626</v>
      </c>
      <c r="C90" s="1" t="n">
        <v>45645</v>
      </c>
      <c r="D90" t="inlineStr">
        <is>
          <t>NORRBOTTENS LÄN</t>
        </is>
      </c>
      <c r="E90" t="inlineStr">
        <is>
          <t>PAJALA</t>
        </is>
      </c>
      <c r="G90" t="n">
        <v>3.1</v>
      </c>
      <c r="H90" t="n">
        <v>0</v>
      </c>
      <c r="I90" t="n">
        <v>0</v>
      </c>
      <c r="J90" t="n">
        <v>0</v>
      </c>
      <c r="K90" t="n">
        <v>0</v>
      </c>
      <c r="L90" t="n">
        <v>0</v>
      </c>
      <c r="M90" t="n">
        <v>0</v>
      </c>
      <c r="N90" t="n">
        <v>0</v>
      </c>
      <c r="O90" t="n">
        <v>0</v>
      </c>
      <c r="P90" t="n">
        <v>0</v>
      </c>
      <c r="Q90" t="n">
        <v>0</v>
      </c>
      <c r="R90" s="2" t="inlineStr"/>
    </row>
    <row r="91" ht="15" customHeight="1">
      <c r="A91" t="inlineStr">
        <is>
          <t>A 28581-2019</t>
        </is>
      </c>
      <c r="B91" s="1" t="n">
        <v>43626</v>
      </c>
      <c r="C91" s="1" t="n">
        <v>45645</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28582-2019</t>
        </is>
      </c>
      <c r="B92" s="1" t="n">
        <v>43626</v>
      </c>
      <c r="C92" s="1" t="n">
        <v>45645</v>
      </c>
      <c r="D92" t="inlineStr">
        <is>
          <t>NORRBOTTENS LÄN</t>
        </is>
      </c>
      <c r="E92" t="inlineStr">
        <is>
          <t>PAJALA</t>
        </is>
      </c>
      <c r="G92" t="n">
        <v>6.6</v>
      </c>
      <c r="H92" t="n">
        <v>0</v>
      </c>
      <c r="I92" t="n">
        <v>0</v>
      </c>
      <c r="J92" t="n">
        <v>0</v>
      </c>
      <c r="K92" t="n">
        <v>0</v>
      </c>
      <c r="L92" t="n">
        <v>0</v>
      </c>
      <c r="M92" t="n">
        <v>0</v>
      </c>
      <c r="N92" t="n">
        <v>0</v>
      </c>
      <c r="O92" t="n">
        <v>0</v>
      </c>
      <c r="P92" t="n">
        <v>0</v>
      </c>
      <c r="Q92" t="n">
        <v>0</v>
      </c>
      <c r="R92" s="2" t="inlineStr"/>
    </row>
    <row r="93" ht="15" customHeight="1">
      <c r="A93" t="inlineStr">
        <is>
          <t>A 30645-2019</t>
        </is>
      </c>
      <c r="B93" s="1" t="n">
        <v>43635</v>
      </c>
      <c r="C93" s="1" t="n">
        <v>45645</v>
      </c>
      <c r="D93" t="inlineStr">
        <is>
          <t>NORRBOTTENS LÄN</t>
        </is>
      </c>
      <c r="E93" t="inlineStr">
        <is>
          <t>PAJALA</t>
        </is>
      </c>
      <c r="G93" t="n">
        <v>58.7</v>
      </c>
      <c r="H93" t="n">
        <v>0</v>
      </c>
      <c r="I93" t="n">
        <v>0</v>
      </c>
      <c r="J93" t="n">
        <v>0</v>
      </c>
      <c r="K93" t="n">
        <v>0</v>
      </c>
      <c r="L93" t="n">
        <v>0</v>
      </c>
      <c r="M93" t="n">
        <v>0</v>
      </c>
      <c r="N93" t="n">
        <v>0</v>
      </c>
      <c r="O93" t="n">
        <v>0</v>
      </c>
      <c r="P93" t="n">
        <v>0</v>
      </c>
      <c r="Q93" t="n">
        <v>0</v>
      </c>
      <c r="R93" s="2" t="inlineStr"/>
    </row>
    <row r="94" ht="15" customHeight="1">
      <c r="A94" t="inlineStr">
        <is>
          <t>A 32747-2019</t>
        </is>
      </c>
      <c r="B94" s="1" t="n">
        <v>43647</v>
      </c>
      <c r="C94" s="1" t="n">
        <v>45645</v>
      </c>
      <c r="D94" t="inlineStr">
        <is>
          <t>NORRBOTTENS LÄN</t>
        </is>
      </c>
      <c r="E94" t="inlineStr">
        <is>
          <t>PAJALA</t>
        </is>
      </c>
      <c r="F94" t="inlineStr">
        <is>
          <t>SCA</t>
        </is>
      </c>
      <c r="G94" t="n">
        <v>20.8</v>
      </c>
      <c r="H94" t="n">
        <v>0</v>
      </c>
      <c r="I94" t="n">
        <v>0</v>
      </c>
      <c r="J94" t="n">
        <v>0</v>
      </c>
      <c r="K94" t="n">
        <v>0</v>
      </c>
      <c r="L94" t="n">
        <v>0</v>
      </c>
      <c r="M94" t="n">
        <v>0</v>
      </c>
      <c r="N94" t="n">
        <v>0</v>
      </c>
      <c r="O94" t="n">
        <v>0</v>
      </c>
      <c r="P94" t="n">
        <v>0</v>
      </c>
      <c r="Q94" t="n">
        <v>0</v>
      </c>
      <c r="R94" s="2" t="inlineStr"/>
    </row>
    <row r="95" ht="15" customHeight="1">
      <c r="A95" t="inlineStr">
        <is>
          <t>A 33259-2019</t>
        </is>
      </c>
      <c r="B95" s="1" t="n">
        <v>43650</v>
      </c>
      <c r="C95" s="1" t="n">
        <v>45645</v>
      </c>
      <c r="D95" t="inlineStr">
        <is>
          <t>NORRBOTTENS LÄN</t>
        </is>
      </c>
      <c r="E95" t="inlineStr">
        <is>
          <t>PAJALA</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33330-2019</t>
        </is>
      </c>
      <c r="B96" s="1" t="n">
        <v>43650</v>
      </c>
      <c r="C96" s="1" t="n">
        <v>45645</v>
      </c>
      <c r="D96" t="inlineStr">
        <is>
          <t>NORRBOTTENS LÄN</t>
        </is>
      </c>
      <c r="E96" t="inlineStr">
        <is>
          <t>PAJALA</t>
        </is>
      </c>
      <c r="F96" t="inlineStr">
        <is>
          <t>Sveaskog</t>
        </is>
      </c>
      <c r="G96" t="n">
        <v>9.699999999999999</v>
      </c>
      <c r="H96" t="n">
        <v>0</v>
      </c>
      <c r="I96" t="n">
        <v>0</v>
      </c>
      <c r="J96" t="n">
        <v>0</v>
      </c>
      <c r="K96" t="n">
        <v>0</v>
      </c>
      <c r="L96" t="n">
        <v>0</v>
      </c>
      <c r="M96" t="n">
        <v>0</v>
      </c>
      <c r="N96" t="n">
        <v>0</v>
      </c>
      <c r="O96" t="n">
        <v>0</v>
      </c>
      <c r="P96" t="n">
        <v>0</v>
      </c>
      <c r="Q96" t="n">
        <v>0</v>
      </c>
      <c r="R96" s="2" t="inlineStr"/>
    </row>
    <row r="97" ht="15" customHeight="1">
      <c r="A97" t="inlineStr">
        <is>
          <t>A 34153-2019</t>
        </is>
      </c>
      <c r="B97" s="1" t="n">
        <v>43655</v>
      </c>
      <c r="C97" s="1" t="n">
        <v>45645</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35698-2019</t>
        </is>
      </c>
      <c r="B98" s="1" t="n">
        <v>43655</v>
      </c>
      <c r="C98" s="1" t="n">
        <v>45645</v>
      </c>
      <c r="D98" t="inlineStr">
        <is>
          <t>NORRBOTTENS LÄN</t>
        </is>
      </c>
      <c r="E98" t="inlineStr">
        <is>
          <t>PAJALA</t>
        </is>
      </c>
      <c r="G98" t="n">
        <v>2.3</v>
      </c>
      <c r="H98" t="n">
        <v>0</v>
      </c>
      <c r="I98" t="n">
        <v>0</v>
      </c>
      <c r="J98" t="n">
        <v>0</v>
      </c>
      <c r="K98" t="n">
        <v>0</v>
      </c>
      <c r="L98" t="n">
        <v>0</v>
      </c>
      <c r="M98" t="n">
        <v>0</v>
      </c>
      <c r="N98" t="n">
        <v>0</v>
      </c>
      <c r="O98" t="n">
        <v>0</v>
      </c>
      <c r="P98" t="n">
        <v>0</v>
      </c>
      <c r="Q98" t="n">
        <v>0</v>
      </c>
      <c r="R98" s="2" t="inlineStr"/>
    </row>
    <row r="99" ht="15" customHeight="1">
      <c r="A99" t="inlineStr">
        <is>
          <t>A 35700-2019</t>
        </is>
      </c>
      <c r="B99" s="1" t="n">
        <v>43655</v>
      </c>
      <c r="C99" s="1" t="n">
        <v>45645</v>
      </c>
      <c r="D99" t="inlineStr">
        <is>
          <t>NORRBOTTENS LÄN</t>
        </is>
      </c>
      <c r="E99" t="inlineStr">
        <is>
          <t>PAJALA</t>
        </is>
      </c>
      <c r="G99" t="n">
        <v>12.2</v>
      </c>
      <c r="H99" t="n">
        <v>0</v>
      </c>
      <c r="I99" t="n">
        <v>0</v>
      </c>
      <c r="J99" t="n">
        <v>0</v>
      </c>
      <c r="K99" t="n">
        <v>0</v>
      </c>
      <c r="L99" t="n">
        <v>0</v>
      </c>
      <c r="M99" t="n">
        <v>0</v>
      </c>
      <c r="N99" t="n">
        <v>0</v>
      </c>
      <c r="O99" t="n">
        <v>0</v>
      </c>
      <c r="P99" t="n">
        <v>0</v>
      </c>
      <c r="Q99" t="n">
        <v>0</v>
      </c>
      <c r="R99" s="2" t="inlineStr"/>
    </row>
    <row r="100" ht="15" customHeight="1">
      <c r="A100" t="inlineStr">
        <is>
          <t>A 35101-2019</t>
        </is>
      </c>
      <c r="B100" s="1" t="n">
        <v>43661</v>
      </c>
      <c r="C100" s="1" t="n">
        <v>45645</v>
      </c>
      <c r="D100" t="inlineStr">
        <is>
          <t>NORRBOTTENS LÄN</t>
        </is>
      </c>
      <c r="E100" t="inlineStr">
        <is>
          <t>PAJALA</t>
        </is>
      </c>
      <c r="F100" t="inlineStr">
        <is>
          <t>Sveaskog</t>
        </is>
      </c>
      <c r="G100" t="n">
        <v>35.1</v>
      </c>
      <c r="H100" t="n">
        <v>0</v>
      </c>
      <c r="I100" t="n">
        <v>0</v>
      </c>
      <c r="J100" t="n">
        <v>0</v>
      </c>
      <c r="K100" t="n">
        <v>0</v>
      </c>
      <c r="L100" t="n">
        <v>0</v>
      </c>
      <c r="M100" t="n">
        <v>0</v>
      </c>
      <c r="N100" t="n">
        <v>0</v>
      </c>
      <c r="O100" t="n">
        <v>0</v>
      </c>
      <c r="P100" t="n">
        <v>0</v>
      </c>
      <c r="Q100" t="n">
        <v>0</v>
      </c>
      <c r="R100" s="2" t="inlineStr"/>
    </row>
    <row r="101" ht="15" customHeight="1">
      <c r="A101" t="inlineStr">
        <is>
          <t>A 35113-2019</t>
        </is>
      </c>
      <c r="B101" s="1" t="n">
        <v>43661</v>
      </c>
      <c r="C101" s="1" t="n">
        <v>45645</v>
      </c>
      <c r="D101" t="inlineStr">
        <is>
          <t>NORRBOTTENS LÄN</t>
        </is>
      </c>
      <c r="E101" t="inlineStr">
        <is>
          <t>PAJALA</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35797-2019</t>
        </is>
      </c>
      <c r="B102" s="1" t="n">
        <v>43665</v>
      </c>
      <c r="C102" s="1" t="n">
        <v>45645</v>
      </c>
      <c r="D102" t="inlineStr">
        <is>
          <t>NORRBOTTENS LÄN</t>
        </is>
      </c>
      <c r="E102" t="inlineStr">
        <is>
          <t>PAJALA</t>
        </is>
      </c>
      <c r="F102" t="inlineStr">
        <is>
          <t>Allmännings- och besparingsskogar</t>
        </is>
      </c>
      <c r="G102" t="n">
        <v>1</v>
      </c>
      <c r="H102" t="n">
        <v>0</v>
      </c>
      <c r="I102" t="n">
        <v>0</v>
      </c>
      <c r="J102" t="n">
        <v>0</v>
      </c>
      <c r="K102" t="n">
        <v>0</v>
      </c>
      <c r="L102" t="n">
        <v>0</v>
      </c>
      <c r="M102" t="n">
        <v>0</v>
      </c>
      <c r="N102" t="n">
        <v>0</v>
      </c>
      <c r="O102" t="n">
        <v>0</v>
      </c>
      <c r="P102" t="n">
        <v>0</v>
      </c>
      <c r="Q102" t="n">
        <v>0</v>
      </c>
      <c r="R102" s="2" t="inlineStr"/>
    </row>
    <row r="103" ht="15" customHeight="1">
      <c r="A103" t="inlineStr">
        <is>
          <t>A 36753-2019</t>
        </is>
      </c>
      <c r="B103" s="1" t="n">
        <v>43672</v>
      </c>
      <c r="C103" s="1" t="n">
        <v>45645</v>
      </c>
      <c r="D103" t="inlineStr">
        <is>
          <t>NORRBOTTENS LÄN</t>
        </is>
      </c>
      <c r="E103" t="inlineStr">
        <is>
          <t>PAJALA</t>
        </is>
      </c>
      <c r="G103" t="n">
        <v>2.2</v>
      </c>
      <c r="H103" t="n">
        <v>0</v>
      </c>
      <c r="I103" t="n">
        <v>0</v>
      </c>
      <c r="J103" t="n">
        <v>0</v>
      </c>
      <c r="K103" t="n">
        <v>0</v>
      </c>
      <c r="L103" t="n">
        <v>0</v>
      </c>
      <c r="M103" t="n">
        <v>0</v>
      </c>
      <c r="N103" t="n">
        <v>0</v>
      </c>
      <c r="O103" t="n">
        <v>0</v>
      </c>
      <c r="P103" t="n">
        <v>0</v>
      </c>
      <c r="Q103" t="n">
        <v>0</v>
      </c>
      <c r="R103" s="2" t="inlineStr"/>
    </row>
    <row r="104" ht="15" customHeight="1">
      <c r="A104" t="inlineStr">
        <is>
          <t>A 37334-2019</t>
        </is>
      </c>
      <c r="B104" s="1" t="n">
        <v>43678</v>
      </c>
      <c r="C104" s="1" t="n">
        <v>45645</v>
      </c>
      <c r="D104" t="inlineStr">
        <is>
          <t>NORRBOTTENS LÄN</t>
        </is>
      </c>
      <c r="E104" t="inlineStr">
        <is>
          <t>PAJALA</t>
        </is>
      </c>
      <c r="G104" t="n">
        <v>2</v>
      </c>
      <c r="H104" t="n">
        <v>0</v>
      </c>
      <c r="I104" t="n">
        <v>0</v>
      </c>
      <c r="J104" t="n">
        <v>0</v>
      </c>
      <c r="K104" t="n">
        <v>0</v>
      </c>
      <c r="L104" t="n">
        <v>0</v>
      </c>
      <c r="M104" t="n">
        <v>0</v>
      </c>
      <c r="N104" t="n">
        <v>0</v>
      </c>
      <c r="O104" t="n">
        <v>0</v>
      </c>
      <c r="P104" t="n">
        <v>0</v>
      </c>
      <c r="Q104" t="n">
        <v>0</v>
      </c>
      <c r="R104" s="2" t="inlineStr"/>
    </row>
    <row r="105" ht="15" customHeight="1">
      <c r="A105" t="inlineStr">
        <is>
          <t>A 38696-2019</t>
        </is>
      </c>
      <c r="B105" s="1" t="n">
        <v>43684</v>
      </c>
      <c r="C105" s="1" t="n">
        <v>45645</v>
      </c>
      <c r="D105" t="inlineStr">
        <is>
          <t>NORRBOTTENS LÄN</t>
        </is>
      </c>
      <c r="E105" t="inlineStr">
        <is>
          <t>PAJALA</t>
        </is>
      </c>
      <c r="G105" t="n">
        <v>14.6</v>
      </c>
      <c r="H105" t="n">
        <v>0</v>
      </c>
      <c r="I105" t="n">
        <v>0</v>
      </c>
      <c r="J105" t="n">
        <v>0</v>
      </c>
      <c r="K105" t="n">
        <v>0</v>
      </c>
      <c r="L105" t="n">
        <v>0</v>
      </c>
      <c r="M105" t="n">
        <v>0</v>
      </c>
      <c r="N105" t="n">
        <v>0</v>
      </c>
      <c r="O105" t="n">
        <v>0</v>
      </c>
      <c r="P105" t="n">
        <v>0</v>
      </c>
      <c r="Q105" t="n">
        <v>0</v>
      </c>
      <c r="R105" s="2" t="inlineStr"/>
    </row>
    <row r="106" ht="15" customHeight="1">
      <c r="A106" t="inlineStr">
        <is>
          <t>A 38692-2019</t>
        </is>
      </c>
      <c r="B106" s="1" t="n">
        <v>43684</v>
      </c>
      <c r="C106" s="1" t="n">
        <v>45645</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39268-2019</t>
        </is>
      </c>
      <c r="B107" s="1" t="n">
        <v>43690</v>
      </c>
      <c r="C107" s="1" t="n">
        <v>45645</v>
      </c>
      <c r="D107" t="inlineStr">
        <is>
          <t>NORRBOTTENS LÄN</t>
        </is>
      </c>
      <c r="E107" t="inlineStr">
        <is>
          <t>PAJALA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39246-2019</t>
        </is>
      </c>
      <c r="B108" s="1" t="n">
        <v>43690</v>
      </c>
      <c r="C108" s="1" t="n">
        <v>45645</v>
      </c>
      <c r="D108" t="inlineStr">
        <is>
          <t>NORRBOTTENS LÄN</t>
        </is>
      </c>
      <c r="E108" t="inlineStr">
        <is>
          <t>PAJALA</t>
        </is>
      </c>
      <c r="F108" t="inlineStr">
        <is>
          <t>Sveaskog</t>
        </is>
      </c>
      <c r="G108" t="n">
        <v>13.2</v>
      </c>
      <c r="H108" t="n">
        <v>0</v>
      </c>
      <c r="I108" t="n">
        <v>0</v>
      </c>
      <c r="J108" t="n">
        <v>0</v>
      </c>
      <c r="K108" t="n">
        <v>0</v>
      </c>
      <c r="L108" t="n">
        <v>0</v>
      </c>
      <c r="M108" t="n">
        <v>0</v>
      </c>
      <c r="N108" t="n">
        <v>0</v>
      </c>
      <c r="O108" t="n">
        <v>0</v>
      </c>
      <c r="P108" t="n">
        <v>0</v>
      </c>
      <c r="Q108" t="n">
        <v>0</v>
      </c>
      <c r="R108" s="2" t="inlineStr"/>
    </row>
    <row r="109" ht="15" customHeight="1">
      <c r="A109" t="inlineStr">
        <is>
          <t>A 39859-2019</t>
        </is>
      </c>
      <c r="B109" s="1" t="n">
        <v>43692</v>
      </c>
      <c r="C109" s="1" t="n">
        <v>45645</v>
      </c>
      <c r="D109" t="inlineStr">
        <is>
          <t>NORRBOTTENS LÄN</t>
        </is>
      </c>
      <c r="E109" t="inlineStr">
        <is>
          <t>PAJALA</t>
        </is>
      </c>
      <c r="F109" t="inlineStr">
        <is>
          <t>Sveaskog</t>
        </is>
      </c>
      <c r="G109" t="n">
        <v>6</v>
      </c>
      <c r="H109" t="n">
        <v>0</v>
      </c>
      <c r="I109" t="n">
        <v>0</v>
      </c>
      <c r="J109" t="n">
        <v>0</v>
      </c>
      <c r="K109" t="n">
        <v>0</v>
      </c>
      <c r="L109" t="n">
        <v>0</v>
      </c>
      <c r="M109" t="n">
        <v>0</v>
      </c>
      <c r="N109" t="n">
        <v>0</v>
      </c>
      <c r="O109" t="n">
        <v>0</v>
      </c>
      <c r="P109" t="n">
        <v>0</v>
      </c>
      <c r="Q109" t="n">
        <v>0</v>
      </c>
      <c r="R109" s="2" t="inlineStr"/>
    </row>
    <row r="110" ht="15" customHeight="1">
      <c r="A110" t="inlineStr">
        <is>
          <t>A 39863-2019</t>
        </is>
      </c>
      <c r="B110" s="1" t="n">
        <v>43692</v>
      </c>
      <c r="C110" s="1" t="n">
        <v>45645</v>
      </c>
      <c r="D110" t="inlineStr">
        <is>
          <t>NORRBOTTENS LÄN</t>
        </is>
      </c>
      <c r="E110" t="inlineStr">
        <is>
          <t>PAJALA</t>
        </is>
      </c>
      <c r="F110" t="inlineStr">
        <is>
          <t>Sveaskog</t>
        </is>
      </c>
      <c r="G110" t="n">
        <v>11.3</v>
      </c>
      <c r="H110" t="n">
        <v>0</v>
      </c>
      <c r="I110" t="n">
        <v>0</v>
      </c>
      <c r="J110" t="n">
        <v>0</v>
      </c>
      <c r="K110" t="n">
        <v>0</v>
      </c>
      <c r="L110" t="n">
        <v>0</v>
      </c>
      <c r="M110" t="n">
        <v>0</v>
      </c>
      <c r="N110" t="n">
        <v>0</v>
      </c>
      <c r="O110" t="n">
        <v>0</v>
      </c>
      <c r="P110" t="n">
        <v>0</v>
      </c>
      <c r="Q110" t="n">
        <v>0</v>
      </c>
      <c r="R110" s="2" t="inlineStr"/>
    </row>
    <row r="111" ht="15" customHeight="1">
      <c r="A111" t="inlineStr">
        <is>
          <t>A 41315-2019</t>
        </is>
      </c>
      <c r="B111" s="1" t="n">
        <v>43696</v>
      </c>
      <c r="C111" s="1" t="n">
        <v>45645</v>
      </c>
      <c r="D111" t="inlineStr">
        <is>
          <t>NORRBOTTENS LÄN</t>
        </is>
      </c>
      <c r="E111" t="inlineStr">
        <is>
          <t>PAJALA</t>
        </is>
      </c>
      <c r="G111" t="n">
        <v>7</v>
      </c>
      <c r="H111" t="n">
        <v>0</v>
      </c>
      <c r="I111" t="n">
        <v>0</v>
      </c>
      <c r="J111" t="n">
        <v>0</v>
      </c>
      <c r="K111" t="n">
        <v>0</v>
      </c>
      <c r="L111" t="n">
        <v>0</v>
      </c>
      <c r="M111" t="n">
        <v>0</v>
      </c>
      <c r="N111" t="n">
        <v>0</v>
      </c>
      <c r="O111" t="n">
        <v>0</v>
      </c>
      <c r="P111" t="n">
        <v>0</v>
      </c>
      <c r="Q111" t="n">
        <v>0</v>
      </c>
      <c r="R111" s="2" t="inlineStr"/>
    </row>
    <row r="112" ht="15" customHeight="1">
      <c r="A112" t="inlineStr">
        <is>
          <t>A 41424-2019</t>
        </is>
      </c>
      <c r="B112" s="1" t="n">
        <v>43698</v>
      </c>
      <c r="C112" s="1" t="n">
        <v>45645</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41426-2019</t>
        </is>
      </c>
      <c r="B113" s="1" t="n">
        <v>43698</v>
      </c>
      <c r="C113" s="1" t="n">
        <v>45645</v>
      </c>
      <c r="D113" t="inlineStr">
        <is>
          <t>NORRBOTTENS LÄN</t>
        </is>
      </c>
      <c r="E113" t="inlineStr">
        <is>
          <t>PAJALA</t>
        </is>
      </c>
      <c r="G113" t="n">
        <v>1.8</v>
      </c>
      <c r="H113" t="n">
        <v>0</v>
      </c>
      <c r="I113" t="n">
        <v>0</v>
      </c>
      <c r="J113" t="n">
        <v>0</v>
      </c>
      <c r="K113" t="n">
        <v>0</v>
      </c>
      <c r="L113" t="n">
        <v>0</v>
      </c>
      <c r="M113" t="n">
        <v>0</v>
      </c>
      <c r="N113" t="n">
        <v>0</v>
      </c>
      <c r="O113" t="n">
        <v>0</v>
      </c>
      <c r="P113" t="n">
        <v>0</v>
      </c>
      <c r="Q113" t="n">
        <v>0</v>
      </c>
      <c r="R113" s="2" t="inlineStr"/>
    </row>
    <row r="114" ht="15" customHeight="1">
      <c r="A114" t="inlineStr">
        <is>
          <t>A 41427-2019</t>
        </is>
      </c>
      <c r="B114" s="1" t="n">
        <v>43698</v>
      </c>
      <c r="C114" s="1" t="n">
        <v>45645</v>
      </c>
      <c r="D114" t="inlineStr">
        <is>
          <t>NORRBOTTENS LÄN</t>
        </is>
      </c>
      <c r="E114" t="inlineStr">
        <is>
          <t>PAJALA</t>
        </is>
      </c>
      <c r="G114" t="n">
        <v>5.8</v>
      </c>
      <c r="H114" t="n">
        <v>0</v>
      </c>
      <c r="I114" t="n">
        <v>0</v>
      </c>
      <c r="J114" t="n">
        <v>0</v>
      </c>
      <c r="K114" t="n">
        <v>0</v>
      </c>
      <c r="L114" t="n">
        <v>0</v>
      </c>
      <c r="M114" t="n">
        <v>0</v>
      </c>
      <c r="N114" t="n">
        <v>0</v>
      </c>
      <c r="O114" t="n">
        <v>0</v>
      </c>
      <c r="P114" t="n">
        <v>0</v>
      </c>
      <c r="Q114" t="n">
        <v>0</v>
      </c>
      <c r="R114" s="2" t="inlineStr"/>
    </row>
    <row r="115" ht="15" customHeight="1">
      <c r="A115" t="inlineStr">
        <is>
          <t>A 42199-2019</t>
        </is>
      </c>
      <c r="B115" s="1" t="n">
        <v>43698</v>
      </c>
      <c r="C115" s="1" t="n">
        <v>45645</v>
      </c>
      <c r="D115" t="inlineStr">
        <is>
          <t>NORRBOTTENS LÄN</t>
        </is>
      </c>
      <c r="E115" t="inlineStr">
        <is>
          <t>PAJALA</t>
        </is>
      </c>
      <c r="G115" t="n">
        <v>2.1</v>
      </c>
      <c r="H115" t="n">
        <v>0</v>
      </c>
      <c r="I115" t="n">
        <v>0</v>
      </c>
      <c r="J115" t="n">
        <v>0</v>
      </c>
      <c r="K115" t="n">
        <v>0</v>
      </c>
      <c r="L115" t="n">
        <v>0</v>
      </c>
      <c r="M115" t="n">
        <v>0</v>
      </c>
      <c r="N115" t="n">
        <v>0</v>
      </c>
      <c r="O115" t="n">
        <v>0</v>
      </c>
      <c r="P115" t="n">
        <v>0</v>
      </c>
      <c r="Q115" t="n">
        <v>0</v>
      </c>
      <c r="R115" s="2" t="inlineStr"/>
    </row>
    <row r="116" ht="15" customHeight="1">
      <c r="A116" t="inlineStr">
        <is>
          <t>A 41791-2019</t>
        </is>
      </c>
      <c r="B116" s="1" t="n">
        <v>43699</v>
      </c>
      <c r="C116" s="1" t="n">
        <v>45645</v>
      </c>
      <c r="D116" t="inlineStr">
        <is>
          <t>NORRBOTTENS LÄN</t>
        </is>
      </c>
      <c r="E116" t="inlineStr">
        <is>
          <t>PAJALA</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41795-2019</t>
        </is>
      </c>
      <c r="B117" s="1" t="n">
        <v>43699</v>
      </c>
      <c r="C117" s="1" t="n">
        <v>45645</v>
      </c>
      <c r="D117" t="inlineStr">
        <is>
          <t>NORRBOTTENS LÄN</t>
        </is>
      </c>
      <c r="E117" t="inlineStr">
        <is>
          <t>PAJALA</t>
        </is>
      </c>
      <c r="F117" t="inlineStr">
        <is>
          <t>SCA</t>
        </is>
      </c>
      <c r="G117" t="n">
        <v>25.4</v>
      </c>
      <c r="H117" t="n">
        <v>0</v>
      </c>
      <c r="I117" t="n">
        <v>0</v>
      </c>
      <c r="J117" t="n">
        <v>0</v>
      </c>
      <c r="K117" t="n">
        <v>0</v>
      </c>
      <c r="L117" t="n">
        <v>0</v>
      </c>
      <c r="M117" t="n">
        <v>0</v>
      </c>
      <c r="N117" t="n">
        <v>0</v>
      </c>
      <c r="O117" t="n">
        <v>0</v>
      </c>
      <c r="P117" t="n">
        <v>0</v>
      </c>
      <c r="Q117" t="n">
        <v>0</v>
      </c>
      <c r="R117" s="2" t="inlineStr"/>
    </row>
    <row r="118" ht="15" customHeight="1">
      <c r="A118" t="inlineStr">
        <is>
          <t>A 41794-2019</t>
        </is>
      </c>
      <c r="B118" s="1" t="n">
        <v>43699</v>
      </c>
      <c r="C118" s="1" t="n">
        <v>45645</v>
      </c>
      <c r="D118" t="inlineStr">
        <is>
          <t>NORRBOTTENS LÄN</t>
        </is>
      </c>
      <c r="E118" t="inlineStr">
        <is>
          <t>PAJALA</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41792-2019</t>
        </is>
      </c>
      <c r="B119" s="1" t="n">
        <v>43699</v>
      </c>
      <c r="C119" s="1" t="n">
        <v>45645</v>
      </c>
      <c r="D119" t="inlineStr">
        <is>
          <t>NORRBOTTENS LÄN</t>
        </is>
      </c>
      <c r="E119" t="inlineStr">
        <is>
          <t>PAJALA</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42538-2019</t>
        </is>
      </c>
      <c r="B120" s="1" t="n">
        <v>43699</v>
      </c>
      <c r="C120" s="1" t="n">
        <v>45645</v>
      </c>
      <c r="D120" t="inlineStr">
        <is>
          <t>NORRBOTTENS LÄN</t>
        </is>
      </c>
      <c r="E120" t="inlineStr">
        <is>
          <t>PAJALA</t>
        </is>
      </c>
      <c r="G120" t="n">
        <v>37.9</v>
      </c>
      <c r="H120" t="n">
        <v>0</v>
      </c>
      <c r="I120" t="n">
        <v>0</v>
      </c>
      <c r="J120" t="n">
        <v>0</v>
      </c>
      <c r="K120" t="n">
        <v>0</v>
      </c>
      <c r="L120" t="n">
        <v>0</v>
      </c>
      <c r="M120" t="n">
        <v>0</v>
      </c>
      <c r="N120" t="n">
        <v>0</v>
      </c>
      <c r="O120" t="n">
        <v>0</v>
      </c>
      <c r="P120" t="n">
        <v>0</v>
      </c>
      <c r="Q120" t="n">
        <v>0</v>
      </c>
      <c r="R120" s="2" t="inlineStr"/>
    </row>
    <row r="121" ht="15" customHeight="1">
      <c r="A121" t="inlineStr">
        <is>
          <t>A 41793-2019</t>
        </is>
      </c>
      <c r="B121" s="1" t="n">
        <v>43699</v>
      </c>
      <c r="C121" s="1" t="n">
        <v>45645</v>
      </c>
      <c r="D121" t="inlineStr">
        <is>
          <t>NORRBOTTENS LÄN</t>
        </is>
      </c>
      <c r="E121" t="inlineStr">
        <is>
          <t>PAJALA</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45058-2019</t>
        </is>
      </c>
      <c r="B122" s="1" t="n">
        <v>43707</v>
      </c>
      <c r="C122" s="1" t="n">
        <v>45645</v>
      </c>
      <c r="D122" t="inlineStr">
        <is>
          <t>NORRBOTTENS LÄN</t>
        </is>
      </c>
      <c r="E122" t="inlineStr">
        <is>
          <t>PAJALA</t>
        </is>
      </c>
      <c r="G122" t="n">
        <v>10.4</v>
      </c>
      <c r="H122" t="n">
        <v>0</v>
      </c>
      <c r="I122" t="n">
        <v>0</v>
      </c>
      <c r="J122" t="n">
        <v>0</v>
      </c>
      <c r="K122" t="n">
        <v>0</v>
      </c>
      <c r="L122" t="n">
        <v>0</v>
      </c>
      <c r="M122" t="n">
        <v>0</v>
      </c>
      <c r="N122" t="n">
        <v>0</v>
      </c>
      <c r="O122" t="n">
        <v>0</v>
      </c>
      <c r="P122" t="n">
        <v>0</v>
      </c>
      <c r="Q122" t="n">
        <v>0</v>
      </c>
      <c r="R122" s="2" t="inlineStr"/>
    </row>
    <row r="123" ht="15" customHeight="1">
      <c r="A123" t="inlineStr">
        <is>
          <t>A 44802-2019</t>
        </is>
      </c>
      <c r="B123" s="1" t="n">
        <v>43707</v>
      </c>
      <c r="C123" s="1" t="n">
        <v>45645</v>
      </c>
      <c r="D123" t="inlineStr">
        <is>
          <t>NORRBOTTENS LÄN</t>
        </is>
      </c>
      <c r="E123" t="inlineStr">
        <is>
          <t>PAJALA</t>
        </is>
      </c>
      <c r="G123" t="n">
        <v>54</v>
      </c>
      <c r="H123" t="n">
        <v>0</v>
      </c>
      <c r="I123" t="n">
        <v>0</v>
      </c>
      <c r="J123" t="n">
        <v>0</v>
      </c>
      <c r="K123" t="n">
        <v>0</v>
      </c>
      <c r="L123" t="n">
        <v>0</v>
      </c>
      <c r="M123" t="n">
        <v>0</v>
      </c>
      <c r="N123" t="n">
        <v>0</v>
      </c>
      <c r="O123" t="n">
        <v>0</v>
      </c>
      <c r="P123" t="n">
        <v>0</v>
      </c>
      <c r="Q123" t="n">
        <v>0</v>
      </c>
      <c r="R123" s="2" t="inlineStr"/>
    </row>
    <row r="124" ht="15" customHeight="1">
      <c r="A124" t="inlineStr">
        <is>
          <t>A 44186-2019</t>
        </is>
      </c>
      <c r="B124" s="1" t="n">
        <v>43710</v>
      </c>
      <c r="C124" s="1" t="n">
        <v>45645</v>
      </c>
      <c r="D124" t="inlineStr">
        <is>
          <t>NORRBOTTENS LÄN</t>
        </is>
      </c>
      <c r="E124" t="inlineStr">
        <is>
          <t>PAJALA</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44195-2019</t>
        </is>
      </c>
      <c r="B125" s="1" t="n">
        <v>43710</v>
      </c>
      <c r="C125" s="1" t="n">
        <v>45645</v>
      </c>
      <c r="D125" t="inlineStr">
        <is>
          <t>NORRBOTTENS LÄN</t>
        </is>
      </c>
      <c r="E125" t="inlineStr">
        <is>
          <t>PAJALA</t>
        </is>
      </c>
      <c r="F125" t="inlineStr">
        <is>
          <t>Sveaskog</t>
        </is>
      </c>
      <c r="G125" t="n">
        <v>28.9</v>
      </c>
      <c r="H125" t="n">
        <v>0</v>
      </c>
      <c r="I125" t="n">
        <v>0</v>
      </c>
      <c r="J125" t="n">
        <v>0</v>
      </c>
      <c r="K125" t="n">
        <v>0</v>
      </c>
      <c r="L125" t="n">
        <v>0</v>
      </c>
      <c r="M125" t="n">
        <v>0</v>
      </c>
      <c r="N125" t="n">
        <v>0</v>
      </c>
      <c r="O125" t="n">
        <v>0</v>
      </c>
      <c r="P125" t="n">
        <v>0</v>
      </c>
      <c r="Q125" t="n">
        <v>0</v>
      </c>
      <c r="R125" s="2" t="inlineStr"/>
    </row>
    <row r="126" ht="15" customHeight="1">
      <c r="A126" t="inlineStr">
        <is>
          <t>A 44483-2019</t>
        </is>
      </c>
      <c r="B126" s="1" t="n">
        <v>43711</v>
      </c>
      <c r="C126" s="1" t="n">
        <v>45645</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45857-2019</t>
        </is>
      </c>
      <c r="B127" s="1" t="n">
        <v>43712</v>
      </c>
      <c r="C127" s="1" t="n">
        <v>45645</v>
      </c>
      <c r="D127" t="inlineStr">
        <is>
          <t>NORRBOTTENS LÄN</t>
        </is>
      </c>
      <c r="E127" t="inlineStr">
        <is>
          <t>PAJALA</t>
        </is>
      </c>
      <c r="G127" t="n">
        <v>14.5</v>
      </c>
      <c r="H127" t="n">
        <v>0</v>
      </c>
      <c r="I127" t="n">
        <v>0</v>
      </c>
      <c r="J127" t="n">
        <v>0</v>
      </c>
      <c r="K127" t="n">
        <v>0</v>
      </c>
      <c r="L127" t="n">
        <v>0</v>
      </c>
      <c r="M127" t="n">
        <v>0</v>
      </c>
      <c r="N127" t="n">
        <v>0</v>
      </c>
      <c r="O127" t="n">
        <v>0</v>
      </c>
      <c r="P127" t="n">
        <v>0</v>
      </c>
      <c r="Q127" t="n">
        <v>0</v>
      </c>
      <c r="R127" s="2" t="inlineStr"/>
    </row>
    <row r="128" ht="15" customHeight="1">
      <c r="A128" t="inlineStr">
        <is>
          <t>A 45630-2019</t>
        </is>
      </c>
      <c r="B128" s="1" t="n">
        <v>43717</v>
      </c>
      <c r="C128" s="1" t="n">
        <v>45645</v>
      </c>
      <c r="D128" t="inlineStr">
        <is>
          <t>NORRBOTTENS LÄN</t>
        </is>
      </c>
      <c r="E128" t="inlineStr">
        <is>
          <t>PAJALA</t>
        </is>
      </c>
      <c r="G128" t="n">
        <v>64</v>
      </c>
      <c r="H128" t="n">
        <v>0</v>
      </c>
      <c r="I128" t="n">
        <v>0</v>
      </c>
      <c r="J128" t="n">
        <v>0</v>
      </c>
      <c r="K128" t="n">
        <v>0</v>
      </c>
      <c r="L128" t="n">
        <v>0</v>
      </c>
      <c r="M128" t="n">
        <v>0</v>
      </c>
      <c r="N128" t="n">
        <v>0</v>
      </c>
      <c r="O128" t="n">
        <v>0</v>
      </c>
      <c r="P128" t="n">
        <v>0</v>
      </c>
      <c r="Q128" t="n">
        <v>0</v>
      </c>
      <c r="R128" s="2" t="inlineStr"/>
    </row>
    <row r="129" ht="15" customHeight="1">
      <c r="A129" t="inlineStr">
        <is>
          <t>A 47912-2019</t>
        </is>
      </c>
      <c r="B129" s="1" t="n">
        <v>43725</v>
      </c>
      <c r="C129" s="1" t="n">
        <v>45645</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49087-2019</t>
        </is>
      </c>
      <c r="B130" s="1" t="n">
        <v>43727</v>
      </c>
      <c r="C130" s="1" t="n">
        <v>45645</v>
      </c>
      <c r="D130" t="inlineStr">
        <is>
          <t>NORRBOTTENS LÄN</t>
        </is>
      </c>
      <c r="E130" t="inlineStr">
        <is>
          <t>PAJALA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50082-2019</t>
        </is>
      </c>
      <c r="B131" s="1" t="n">
        <v>43734</v>
      </c>
      <c r="C131" s="1" t="n">
        <v>45645</v>
      </c>
      <c r="D131" t="inlineStr">
        <is>
          <t>NORRBOTTENS LÄN</t>
        </is>
      </c>
      <c r="E131" t="inlineStr">
        <is>
          <t>PAJALA</t>
        </is>
      </c>
      <c r="G131" t="n">
        <v>2.7</v>
      </c>
      <c r="H131" t="n">
        <v>0</v>
      </c>
      <c r="I131" t="n">
        <v>0</v>
      </c>
      <c r="J131" t="n">
        <v>0</v>
      </c>
      <c r="K131" t="n">
        <v>0</v>
      </c>
      <c r="L131" t="n">
        <v>0</v>
      </c>
      <c r="M131" t="n">
        <v>0</v>
      </c>
      <c r="N131" t="n">
        <v>0</v>
      </c>
      <c r="O131" t="n">
        <v>0</v>
      </c>
      <c r="P131" t="n">
        <v>0</v>
      </c>
      <c r="Q131" t="n">
        <v>0</v>
      </c>
      <c r="R131" s="2" t="inlineStr"/>
    </row>
    <row r="132" ht="15" customHeight="1">
      <c r="A132" t="inlineStr">
        <is>
          <t>A 51232-2019</t>
        </is>
      </c>
      <c r="B132" s="1" t="n">
        <v>43739</v>
      </c>
      <c r="C132" s="1" t="n">
        <v>45645</v>
      </c>
      <c r="D132" t="inlineStr">
        <is>
          <t>NORRBOTTENS LÄN</t>
        </is>
      </c>
      <c r="E132" t="inlineStr">
        <is>
          <t>PAJALA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53708-2019</t>
        </is>
      </c>
      <c r="B133" s="1" t="n">
        <v>43749</v>
      </c>
      <c r="C133" s="1" t="n">
        <v>45645</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53827-2019</t>
        </is>
      </c>
      <c r="B134" s="1" t="n">
        <v>43752</v>
      </c>
      <c r="C134" s="1" t="n">
        <v>45645</v>
      </c>
      <c r="D134" t="inlineStr">
        <is>
          <t>NORRBOTTENS LÄN</t>
        </is>
      </c>
      <c r="E134" t="inlineStr">
        <is>
          <t>PAJALA</t>
        </is>
      </c>
      <c r="G134" t="n">
        <v>3.6</v>
      </c>
      <c r="H134" t="n">
        <v>0</v>
      </c>
      <c r="I134" t="n">
        <v>0</v>
      </c>
      <c r="J134" t="n">
        <v>0</v>
      </c>
      <c r="K134" t="n">
        <v>0</v>
      </c>
      <c r="L134" t="n">
        <v>0</v>
      </c>
      <c r="M134" t="n">
        <v>0</v>
      </c>
      <c r="N134" t="n">
        <v>0</v>
      </c>
      <c r="O134" t="n">
        <v>0</v>
      </c>
      <c r="P134" t="n">
        <v>0</v>
      </c>
      <c r="Q134" t="n">
        <v>0</v>
      </c>
      <c r="R134" s="2" t="inlineStr"/>
    </row>
    <row r="135" ht="15" customHeight="1">
      <c r="A135" t="inlineStr">
        <is>
          <t>A 53835-2019</t>
        </is>
      </c>
      <c r="B135" s="1" t="n">
        <v>43752</v>
      </c>
      <c r="C135" s="1" t="n">
        <v>45645</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53834-2019</t>
        </is>
      </c>
      <c r="B136" s="1" t="n">
        <v>43752</v>
      </c>
      <c r="C136" s="1" t="n">
        <v>45645</v>
      </c>
      <c r="D136" t="inlineStr">
        <is>
          <t>NORRBOTTENS LÄN</t>
        </is>
      </c>
      <c r="E136" t="inlineStr">
        <is>
          <t>PAJALA</t>
        </is>
      </c>
      <c r="G136" t="n">
        <v>3.4</v>
      </c>
      <c r="H136" t="n">
        <v>0</v>
      </c>
      <c r="I136" t="n">
        <v>0</v>
      </c>
      <c r="J136" t="n">
        <v>0</v>
      </c>
      <c r="K136" t="n">
        <v>0</v>
      </c>
      <c r="L136" t="n">
        <v>0</v>
      </c>
      <c r="M136" t="n">
        <v>0</v>
      </c>
      <c r="N136" t="n">
        <v>0</v>
      </c>
      <c r="O136" t="n">
        <v>0</v>
      </c>
      <c r="P136" t="n">
        <v>0</v>
      </c>
      <c r="Q136" t="n">
        <v>0</v>
      </c>
      <c r="R136" s="2" t="inlineStr"/>
    </row>
    <row r="137" ht="15" customHeight="1">
      <c r="A137" t="inlineStr">
        <is>
          <t>A 53825-2019</t>
        </is>
      </c>
      <c r="B137" s="1" t="n">
        <v>43752</v>
      </c>
      <c r="C137" s="1" t="n">
        <v>45645</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53831-2019</t>
        </is>
      </c>
      <c r="B138" s="1" t="n">
        <v>43752</v>
      </c>
      <c r="C138" s="1" t="n">
        <v>45645</v>
      </c>
      <c r="D138" t="inlineStr">
        <is>
          <t>NORRBOTTENS LÄN</t>
        </is>
      </c>
      <c r="E138" t="inlineStr">
        <is>
          <t>PAJALA</t>
        </is>
      </c>
      <c r="G138" t="n">
        <v>1.7</v>
      </c>
      <c r="H138" t="n">
        <v>0</v>
      </c>
      <c r="I138" t="n">
        <v>0</v>
      </c>
      <c r="J138" t="n">
        <v>0</v>
      </c>
      <c r="K138" t="n">
        <v>0</v>
      </c>
      <c r="L138" t="n">
        <v>0</v>
      </c>
      <c r="M138" t="n">
        <v>0</v>
      </c>
      <c r="N138" t="n">
        <v>0</v>
      </c>
      <c r="O138" t="n">
        <v>0</v>
      </c>
      <c r="P138" t="n">
        <v>0</v>
      </c>
      <c r="Q138" t="n">
        <v>0</v>
      </c>
      <c r="R138" s="2" t="inlineStr"/>
    </row>
    <row r="139" ht="15" customHeight="1">
      <c r="A139" t="inlineStr">
        <is>
          <t>A 53950-2019</t>
        </is>
      </c>
      <c r="B139" s="1" t="n">
        <v>43752</v>
      </c>
      <c r="C139" s="1" t="n">
        <v>45645</v>
      </c>
      <c r="D139" t="inlineStr">
        <is>
          <t>NORRBOTTENS LÄN</t>
        </is>
      </c>
      <c r="E139" t="inlineStr">
        <is>
          <t>PAJALA</t>
        </is>
      </c>
      <c r="G139" t="n">
        <v>13.3</v>
      </c>
      <c r="H139" t="n">
        <v>0</v>
      </c>
      <c r="I139" t="n">
        <v>0</v>
      </c>
      <c r="J139" t="n">
        <v>0</v>
      </c>
      <c r="K139" t="n">
        <v>0</v>
      </c>
      <c r="L139" t="n">
        <v>0</v>
      </c>
      <c r="M139" t="n">
        <v>0</v>
      </c>
      <c r="N139" t="n">
        <v>0</v>
      </c>
      <c r="O139" t="n">
        <v>0</v>
      </c>
      <c r="P139" t="n">
        <v>0</v>
      </c>
      <c r="Q139" t="n">
        <v>0</v>
      </c>
      <c r="R139" s="2" t="inlineStr"/>
    </row>
    <row r="140" ht="15" customHeight="1">
      <c r="A140" t="inlineStr">
        <is>
          <t>A 53822-2019</t>
        </is>
      </c>
      <c r="B140" s="1" t="n">
        <v>43752</v>
      </c>
      <c r="C140" s="1" t="n">
        <v>45645</v>
      </c>
      <c r="D140" t="inlineStr">
        <is>
          <t>NORRBOTTENS LÄN</t>
        </is>
      </c>
      <c r="E140" t="inlineStr">
        <is>
          <t>PAJALA</t>
        </is>
      </c>
      <c r="G140" t="n">
        <v>4.9</v>
      </c>
      <c r="H140" t="n">
        <v>0</v>
      </c>
      <c r="I140" t="n">
        <v>0</v>
      </c>
      <c r="J140" t="n">
        <v>0</v>
      </c>
      <c r="K140" t="n">
        <v>0</v>
      </c>
      <c r="L140" t="n">
        <v>0</v>
      </c>
      <c r="M140" t="n">
        <v>0</v>
      </c>
      <c r="N140" t="n">
        <v>0</v>
      </c>
      <c r="O140" t="n">
        <v>0</v>
      </c>
      <c r="P140" t="n">
        <v>0</v>
      </c>
      <c r="Q140" t="n">
        <v>0</v>
      </c>
      <c r="R140" s="2" t="inlineStr"/>
    </row>
    <row r="141" ht="15" customHeight="1">
      <c r="A141" t="inlineStr">
        <is>
          <t>A 55321-2019</t>
        </is>
      </c>
      <c r="B141" s="1" t="n">
        <v>43756</v>
      </c>
      <c r="C141" s="1" t="n">
        <v>45645</v>
      </c>
      <c r="D141" t="inlineStr">
        <is>
          <t>NORRBOTTENS LÄN</t>
        </is>
      </c>
      <c r="E141" t="inlineStr">
        <is>
          <t>PAJALA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56338-2019</t>
        </is>
      </c>
      <c r="B142" s="1" t="n">
        <v>43762</v>
      </c>
      <c r="C142" s="1" t="n">
        <v>45645</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57910-2019</t>
        </is>
      </c>
      <c r="B143" s="1" t="n">
        <v>43762</v>
      </c>
      <c r="C143" s="1" t="n">
        <v>45645</v>
      </c>
      <c r="D143" t="inlineStr">
        <is>
          <t>NORRBOTTENS LÄN</t>
        </is>
      </c>
      <c r="E143" t="inlineStr">
        <is>
          <t>PAJALA</t>
        </is>
      </c>
      <c r="G143" t="n">
        <v>8.4</v>
      </c>
      <c r="H143" t="n">
        <v>0</v>
      </c>
      <c r="I143" t="n">
        <v>0</v>
      </c>
      <c r="J143" t="n">
        <v>0</v>
      </c>
      <c r="K143" t="n">
        <v>0</v>
      </c>
      <c r="L143" t="n">
        <v>0</v>
      </c>
      <c r="M143" t="n">
        <v>0</v>
      </c>
      <c r="N143" t="n">
        <v>0</v>
      </c>
      <c r="O143" t="n">
        <v>0</v>
      </c>
      <c r="P143" t="n">
        <v>0</v>
      </c>
      <c r="Q143" t="n">
        <v>0</v>
      </c>
      <c r="R143" s="2" t="inlineStr"/>
    </row>
    <row r="144" ht="15" customHeight="1">
      <c r="A144" t="inlineStr">
        <is>
          <t>A 56591-2019</t>
        </is>
      </c>
      <c r="B144" s="1" t="n">
        <v>43763</v>
      </c>
      <c r="C144" s="1" t="n">
        <v>45645</v>
      </c>
      <c r="D144" t="inlineStr">
        <is>
          <t>NORRBOTTENS LÄN</t>
        </is>
      </c>
      <c r="E144" t="inlineStr">
        <is>
          <t>PAJALA</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56593-2019</t>
        </is>
      </c>
      <c r="B145" s="1" t="n">
        <v>43763</v>
      </c>
      <c r="C145" s="1" t="n">
        <v>45645</v>
      </c>
      <c r="D145" t="inlineStr">
        <is>
          <t>NORRBOTTENS LÄN</t>
        </is>
      </c>
      <c r="E145" t="inlineStr">
        <is>
          <t>PAJALA</t>
        </is>
      </c>
      <c r="F145" t="inlineStr">
        <is>
          <t>Sveaskog</t>
        </is>
      </c>
      <c r="G145" t="n">
        <v>14.3</v>
      </c>
      <c r="H145" t="n">
        <v>0</v>
      </c>
      <c r="I145" t="n">
        <v>0</v>
      </c>
      <c r="J145" t="n">
        <v>0</v>
      </c>
      <c r="K145" t="n">
        <v>0</v>
      </c>
      <c r="L145" t="n">
        <v>0</v>
      </c>
      <c r="M145" t="n">
        <v>0</v>
      </c>
      <c r="N145" t="n">
        <v>0</v>
      </c>
      <c r="O145" t="n">
        <v>0</v>
      </c>
      <c r="P145" t="n">
        <v>0</v>
      </c>
      <c r="Q145" t="n">
        <v>0</v>
      </c>
      <c r="R145" s="2" t="inlineStr"/>
    </row>
    <row r="146" ht="15" customHeight="1">
      <c r="A146" t="inlineStr">
        <is>
          <t>A 56619-2019</t>
        </is>
      </c>
      <c r="B146" s="1" t="n">
        <v>43763</v>
      </c>
      <c r="C146" s="1" t="n">
        <v>45645</v>
      </c>
      <c r="D146" t="inlineStr">
        <is>
          <t>NORRBOTTENS LÄN</t>
        </is>
      </c>
      <c r="E146" t="inlineStr">
        <is>
          <t>PAJALA</t>
        </is>
      </c>
      <c r="F146" t="inlineStr">
        <is>
          <t>Sveaskog</t>
        </is>
      </c>
      <c r="G146" t="n">
        <v>10</v>
      </c>
      <c r="H146" t="n">
        <v>0</v>
      </c>
      <c r="I146" t="n">
        <v>0</v>
      </c>
      <c r="J146" t="n">
        <v>0</v>
      </c>
      <c r="K146" t="n">
        <v>0</v>
      </c>
      <c r="L146" t="n">
        <v>0</v>
      </c>
      <c r="M146" t="n">
        <v>0</v>
      </c>
      <c r="N146" t="n">
        <v>0</v>
      </c>
      <c r="O146" t="n">
        <v>0</v>
      </c>
      <c r="P146" t="n">
        <v>0</v>
      </c>
      <c r="Q146" t="n">
        <v>0</v>
      </c>
      <c r="R146" s="2" t="inlineStr"/>
    </row>
    <row r="147" ht="15" customHeight="1">
      <c r="A147" t="inlineStr">
        <is>
          <t>A 56615-2019</t>
        </is>
      </c>
      <c r="B147" s="1" t="n">
        <v>43763</v>
      </c>
      <c r="C147" s="1" t="n">
        <v>45645</v>
      </c>
      <c r="D147" t="inlineStr">
        <is>
          <t>NORRBOTTENS LÄN</t>
        </is>
      </c>
      <c r="E147" t="inlineStr">
        <is>
          <t>PAJALA</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57580-2019</t>
        </is>
      </c>
      <c r="B148" s="1" t="n">
        <v>43768</v>
      </c>
      <c r="C148" s="1" t="n">
        <v>45645</v>
      </c>
      <c r="D148" t="inlineStr">
        <is>
          <t>NORRBOTTENS LÄN</t>
        </is>
      </c>
      <c r="E148" t="inlineStr">
        <is>
          <t>PAJALA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57622-2019</t>
        </is>
      </c>
      <c r="B149" s="1" t="n">
        <v>43768</v>
      </c>
      <c r="C149" s="1" t="n">
        <v>45645</v>
      </c>
      <c r="D149" t="inlineStr">
        <is>
          <t>NORRBOTTENS LÄN</t>
        </is>
      </c>
      <c r="E149" t="inlineStr">
        <is>
          <t>PAJALA</t>
        </is>
      </c>
      <c r="F149" t="inlineStr">
        <is>
          <t>Sveaskog</t>
        </is>
      </c>
      <c r="G149" t="n">
        <v>8.9</v>
      </c>
      <c r="H149" t="n">
        <v>0</v>
      </c>
      <c r="I149" t="n">
        <v>0</v>
      </c>
      <c r="J149" t="n">
        <v>0</v>
      </c>
      <c r="K149" t="n">
        <v>0</v>
      </c>
      <c r="L149" t="n">
        <v>0</v>
      </c>
      <c r="M149" t="n">
        <v>0</v>
      </c>
      <c r="N149" t="n">
        <v>0</v>
      </c>
      <c r="O149" t="n">
        <v>0</v>
      </c>
      <c r="P149" t="n">
        <v>0</v>
      </c>
      <c r="Q149" t="n">
        <v>0</v>
      </c>
      <c r="R149" s="2" t="inlineStr"/>
    </row>
    <row r="150" ht="15" customHeight="1">
      <c r="A150" t="inlineStr">
        <is>
          <t>A 57574-2019</t>
        </is>
      </c>
      <c r="B150" s="1" t="n">
        <v>43768</v>
      </c>
      <c r="C150" s="1" t="n">
        <v>45645</v>
      </c>
      <c r="D150" t="inlineStr">
        <is>
          <t>NORRBOTTENS LÄN</t>
        </is>
      </c>
      <c r="E150" t="inlineStr">
        <is>
          <t>PAJALA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58313-2019</t>
        </is>
      </c>
      <c r="B151" s="1" t="n">
        <v>43770</v>
      </c>
      <c r="C151" s="1" t="n">
        <v>45645</v>
      </c>
      <c r="D151" t="inlineStr">
        <is>
          <t>NORRBOTTENS LÄN</t>
        </is>
      </c>
      <c r="E151" t="inlineStr">
        <is>
          <t>PAJALA</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58584-2019</t>
        </is>
      </c>
      <c r="B152" s="1" t="n">
        <v>43773</v>
      </c>
      <c r="C152" s="1" t="n">
        <v>45645</v>
      </c>
      <c r="D152" t="inlineStr">
        <is>
          <t>NORRBOTTENS LÄN</t>
        </is>
      </c>
      <c r="E152" t="inlineStr">
        <is>
          <t>PAJALA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58494-2019</t>
        </is>
      </c>
      <c r="B153" s="1" t="n">
        <v>43773</v>
      </c>
      <c r="C153" s="1" t="n">
        <v>45645</v>
      </c>
      <c r="D153" t="inlineStr">
        <is>
          <t>NORRBOTTENS LÄN</t>
        </is>
      </c>
      <c r="E153" t="inlineStr">
        <is>
          <t>PAJALA</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59693-2019</t>
        </is>
      </c>
      <c r="B154" s="1" t="n">
        <v>43776</v>
      </c>
      <c r="C154" s="1" t="n">
        <v>45645</v>
      </c>
      <c r="D154" t="inlineStr">
        <is>
          <t>NORRBOTTENS LÄN</t>
        </is>
      </c>
      <c r="E154" t="inlineStr">
        <is>
          <t>PAJALA</t>
        </is>
      </c>
      <c r="F154" t="inlineStr">
        <is>
          <t>Sveaskog</t>
        </is>
      </c>
      <c r="G154" t="n">
        <v>47.2</v>
      </c>
      <c r="H154" t="n">
        <v>0</v>
      </c>
      <c r="I154" t="n">
        <v>0</v>
      </c>
      <c r="J154" t="n">
        <v>0</v>
      </c>
      <c r="K154" t="n">
        <v>0</v>
      </c>
      <c r="L154" t="n">
        <v>0</v>
      </c>
      <c r="M154" t="n">
        <v>0</v>
      </c>
      <c r="N154" t="n">
        <v>0</v>
      </c>
      <c r="O154" t="n">
        <v>0</v>
      </c>
      <c r="P154" t="n">
        <v>0</v>
      </c>
      <c r="Q154" t="n">
        <v>0</v>
      </c>
      <c r="R154" s="2" t="inlineStr"/>
    </row>
    <row r="155" ht="15" customHeight="1">
      <c r="A155" t="inlineStr">
        <is>
          <t>A 60368-2019</t>
        </is>
      </c>
      <c r="B155" s="1" t="n">
        <v>43780</v>
      </c>
      <c r="C155" s="1" t="n">
        <v>45645</v>
      </c>
      <c r="D155" t="inlineStr">
        <is>
          <t>NORRBOTTENS LÄN</t>
        </is>
      </c>
      <c r="E155" t="inlineStr">
        <is>
          <t>PAJALA</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62054-2019</t>
        </is>
      </c>
      <c r="B156" s="1" t="n">
        <v>43782</v>
      </c>
      <c r="C156" s="1" t="n">
        <v>45645</v>
      </c>
      <c r="D156" t="inlineStr">
        <is>
          <t>NORRBOTTENS LÄN</t>
        </is>
      </c>
      <c r="E156" t="inlineStr">
        <is>
          <t>PAJALA</t>
        </is>
      </c>
      <c r="G156" t="n">
        <v>12.1</v>
      </c>
      <c r="H156" t="n">
        <v>0</v>
      </c>
      <c r="I156" t="n">
        <v>0</v>
      </c>
      <c r="J156" t="n">
        <v>0</v>
      </c>
      <c r="K156" t="n">
        <v>0</v>
      </c>
      <c r="L156" t="n">
        <v>0</v>
      </c>
      <c r="M156" t="n">
        <v>0</v>
      </c>
      <c r="N156" t="n">
        <v>0</v>
      </c>
      <c r="O156" t="n">
        <v>0</v>
      </c>
      <c r="P156" t="n">
        <v>0</v>
      </c>
      <c r="Q156" t="n">
        <v>0</v>
      </c>
      <c r="R156" s="2" t="inlineStr"/>
    </row>
    <row r="157" ht="15" customHeight="1">
      <c r="A157" t="inlineStr">
        <is>
          <t>A 64018-2019</t>
        </is>
      </c>
      <c r="B157" s="1" t="n">
        <v>43791</v>
      </c>
      <c r="C157" s="1" t="n">
        <v>45645</v>
      </c>
      <c r="D157" t="inlineStr">
        <is>
          <t>NORRBOTTENS LÄN</t>
        </is>
      </c>
      <c r="E157" t="inlineStr">
        <is>
          <t>PAJALA</t>
        </is>
      </c>
      <c r="G157" t="n">
        <v>27.1</v>
      </c>
      <c r="H157" t="n">
        <v>0</v>
      </c>
      <c r="I157" t="n">
        <v>0</v>
      </c>
      <c r="J157" t="n">
        <v>0</v>
      </c>
      <c r="K157" t="n">
        <v>0</v>
      </c>
      <c r="L157" t="n">
        <v>0</v>
      </c>
      <c r="M157" t="n">
        <v>0</v>
      </c>
      <c r="N157" t="n">
        <v>0</v>
      </c>
      <c r="O157" t="n">
        <v>0</v>
      </c>
      <c r="P157" t="n">
        <v>0</v>
      </c>
      <c r="Q157" t="n">
        <v>0</v>
      </c>
      <c r="R157" s="2" t="inlineStr"/>
    </row>
    <row r="158" ht="15" customHeight="1">
      <c r="A158" t="inlineStr">
        <is>
          <t>A 67830-2019</t>
        </is>
      </c>
      <c r="B158" s="1" t="n">
        <v>43815</v>
      </c>
      <c r="C158" s="1" t="n">
        <v>45645</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320-2020</t>
        </is>
      </c>
      <c r="B159" s="1" t="n">
        <v>43816</v>
      </c>
      <c r="C159" s="1" t="n">
        <v>45645</v>
      </c>
      <c r="D159" t="inlineStr">
        <is>
          <t>NORRBOTTENS LÄN</t>
        </is>
      </c>
      <c r="E159" t="inlineStr">
        <is>
          <t>PAJALA</t>
        </is>
      </c>
      <c r="G159" t="n">
        <v>16.8</v>
      </c>
      <c r="H159" t="n">
        <v>0</v>
      </c>
      <c r="I159" t="n">
        <v>0</v>
      </c>
      <c r="J159" t="n">
        <v>0</v>
      </c>
      <c r="K159" t="n">
        <v>0</v>
      </c>
      <c r="L159" t="n">
        <v>0</v>
      </c>
      <c r="M159" t="n">
        <v>0</v>
      </c>
      <c r="N159" t="n">
        <v>0</v>
      </c>
      <c r="O159" t="n">
        <v>0</v>
      </c>
      <c r="P159" t="n">
        <v>0</v>
      </c>
      <c r="Q159" t="n">
        <v>0</v>
      </c>
      <c r="R159" s="2" t="inlineStr"/>
    </row>
    <row r="160" ht="15" customHeight="1">
      <c r="A160" t="inlineStr">
        <is>
          <t>A 413-2020</t>
        </is>
      </c>
      <c r="B160" s="1" t="n">
        <v>43816</v>
      </c>
      <c r="C160" s="1" t="n">
        <v>45645</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2375-2020</t>
        </is>
      </c>
      <c r="B161" s="1" t="n">
        <v>43846</v>
      </c>
      <c r="C161" s="1" t="n">
        <v>45645</v>
      </c>
      <c r="D161" t="inlineStr">
        <is>
          <t>NORRBOTTENS LÄN</t>
        </is>
      </c>
      <c r="E161" t="inlineStr">
        <is>
          <t>PAJALA</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2719-2020</t>
        </is>
      </c>
      <c r="B162" s="1" t="n">
        <v>43850</v>
      </c>
      <c r="C162" s="1" t="n">
        <v>45645</v>
      </c>
      <c r="D162" t="inlineStr">
        <is>
          <t>NORRBOTTENS LÄN</t>
        </is>
      </c>
      <c r="E162" t="inlineStr">
        <is>
          <t>PAJALA</t>
        </is>
      </c>
      <c r="G162" t="n">
        <v>7.2</v>
      </c>
      <c r="H162" t="n">
        <v>0</v>
      </c>
      <c r="I162" t="n">
        <v>0</v>
      </c>
      <c r="J162" t="n">
        <v>0</v>
      </c>
      <c r="K162" t="n">
        <v>0</v>
      </c>
      <c r="L162" t="n">
        <v>0</v>
      </c>
      <c r="M162" t="n">
        <v>0</v>
      </c>
      <c r="N162" t="n">
        <v>0</v>
      </c>
      <c r="O162" t="n">
        <v>0</v>
      </c>
      <c r="P162" t="n">
        <v>0</v>
      </c>
      <c r="Q162" t="n">
        <v>0</v>
      </c>
      <c r="R162" s="2" t="inlineStr"/>
    </row>
    <row r="163" ht="15" customHeight="1">
      <c r="A163" t="inlineStr">
        <is>
          <t>A 5010-2020</t>
        </is>
      </c>
      <c r="B163" s="1" t="n">
        <v>43853</v>
      </c>
      <c r="C163" s="1" t="n">
        <v>45645</v>
      </c>
      <c r="D163" t="inlineStr">
        <is>
          <t>NORRBOTTENS LÄN</t>
        </is>
      </c>
      <c r="E163" t="inlineStr">
        <is>
          <t>PAJALA</t>
        </is>
      </c>
      <c r="G163" t="n">
        <v>1.8</v>
      </c>
      <c r="H163" t="n">
        <v>0</v>
      </c>
      <c r="I163" t="n">
        <v>0</v>
      </c>
      <c r="J163" t="n">
        <v>0</v>
      </c>
      <c r="K163" t="n">
        <v>0</v>
      </c>
      <c r="L163" t="n">
        <v>0</v>
      </c>
      <c r="M163" t="n">
        <v>0</v>
      </c>
      <c r="N163" t="n">
        <v>0</v>
      </c>
      <c r="O163" t="n">
        <v>0</v>
      </c>
      <c r="P163" t="n">
        <v>0</v>
      </c>
      <c r="Q163" t="n">
        <v>0</v>
      </c>
      <c r="R163" s="2" t="inlineStr"/>
    </row>
    <row r="164" ht="15" customHeight="1">
      <c r="A164" t="inlineStr">
        <is>
          <t>A 4997-2020</t>
        </is>
      </c>
      <c r="B164" s="1" t="n">
        <v>43853</v>
      </c>
      <c r="C164" s="1" t="n">
        <v>45645</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5853-2020</t>
        </is>
      </c>
      <c r="B165" s="1" t="n">
        <v>43861</v>
      </c>
      <c r="C165" s="1" t="n">
        <v>45645</v>
      </c>
      <c r="D165" t="inlineStr">
        <is>
          <t>NORRBOTTENS LÄN</t>
        </is>
      </c>
      <c r="E165" t="inlineStr">
        <is>
          <t>PAJALA</t>
        </is>
      </c>
      <c r="G165" t="n">
        <v>13.9</v>
      </c>
      <c r="H165" t="n">
        <v>0</v>
      </c>
      <c r="I165" t="n">
        <v>0</v>
      </c>
      <c r="J165" t="n">
        <v>0</v>
      </c>
      <c r="K165" t="n">
        <v>0</v>
      </c>
      <c r="L165" t="n">
        <v>0</v>
      </c>
      <c r="M165" t="n">
        <v>0</v>
      </c>
      <c r="N165" t="n">
        <v>0</v>
      </c>
      <c r="O165" t="n">
        <v>0</v>
      </c>
      <c r="P165" t="n">
        <v>0</v>
      </c>
      <c r="Q165" t="n">
        <v>0</v>
      </c>
      <c r="R165" s="2" t="inlineStr"/>
    </row>
    <row r="166" ht="15" customHeight="1">
      <c r="A166" t="inlineStr">
        <is>
          <t>A 18460-2020</t>
        </is>
      </c>
      <c r="B166" s="1" t="n">
        <v>43861</v>
      </c>
      <c r="C166" s="1" t="n">
        <v>45645</v>
      </c>
      <c r="D166" t="inlineStr">
        <is>
          <t>NORRBOTTENS LÄN</t>
        </is>
      </c>
      <c r="E166" t="inlineStr">
        <is>
          <t>PAJALA</t>
        </is>
      </c>
      <c r="G166" t="n">
        <v>32.9</v>
      </c>
      <c r="H166" t="n">
        <v>0</v>
      </c>
      <c r="I166" t="n">
        <v>0</v>
      </c>
      <c r="J166" t="n">
        <v>0</v>
      </c>
      <c r="K166" t="n">
        <v>0</v>
      </c>
      <c r="L166" t="n">
        <v>0</v>
      </c>
      <c r="M166" t="n">
        <v>0</v>
      </c>
      <c r="N166" t="n">
        <v>0</v>
      </c>
      <c r="O166" t="n">
        <v>0</v>
      </c>
      <c r="P166" t="n">
        <v>0</v>
      </c>
      <c r="Q166" t="n">
        <v>0</v>
      </c>
      <c r="R166" s="2" t="inlineStr"/>
    </row>
    <row r="167" ht="15" customHeight="1">
      <c r="A167" t="inlineStr">
        <is>
          <t>A 7015-2020</t>
        </is>
      </c>
      <c r="B167" s="1" t="n">
        <v>43867</v>
      </c>
      <c r="C167" s="1" t="n">
        <v>45645</v>
      </c>
      <c r="D167" t="inlineStr">
        <is>
          <t>NORRBOTTENS LÄN</t>
        </is>
      </c>
      <c r="E167" t="inlineStr">
        <is>
          <t>PAJALA</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12480-2020</t>
        </is>
      </c>
      <c r="B168" s="1" t="n">
        <v>43892</v>
      </c>
      <c r="C168" s="1" t="n">
        <v>45645</v>
      </c>
      <c r="D168" t="inlineStr">
        <is>
          <t>NORRBOTTENS LÄN</t>
        </is>
      </c>
      <c r="E168" t="inlineStr">
        <is>
          <t>PAJALA</t>
        </is>
      </c>
      <c r="G168" t="n">
        <v>10.1</v>
      </c>
      <c r="H168" t="n">
        <v>0</v>
      </c>
      <c r="I168" t="n">
        <v>0</v>
      </c>
      <c r="J168" t="n">
        <v>0</v>
      </c>
      <c r="K168" t="n">
        <v>0</v>
      </c>
      <c r="L168" t="n">
        <v>0</v>
      </c>
      <c r="M168" t="n">
        <v>0</v>
      </c>
      <c r="N168" t="n">
        <v>0</v>
      </c>
      <c r="O168" t="n">
        <v>0</v>
      </c>
      <c r="P168" t="n">
        <v>0</v>
      </c>
      <c r="Q168" t="n">
        <v>0</v>
      </c>
      <c r="R168" s="2" t="inlineStr"/>
    </row>
    <row r="169" ht="15" customHeight="1">
      <c r="A169" t="inlineStr">
        <is>
          <t>A 12118-2020</t>
        </is>
      </c>
      <c r="B169" s="1" t="n">
        <v>43895</v>
      </c>
      <c r="C169" s="1" t="n">
        <v>45645</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12111-2020</t>
        </is>
      </c>
      <c r="B170" s="1" t="n">
        <v>43895</v>
      </c>
      <c r="C170" s="1" t="n">
        <v>45645</v>
      </c>
      <c r="D170" t="inlineStr">
        <is>
          <t>NORRBOTTENS LÄN</t>
        </is>
      </c>
      <c r="E170" t="inlineStr">
        <is>
          <t>PAJALA</t>
        </is>
      </c>
      <c r="G170" t="n">
        <v>12.1</v>
      </c>
      <c r="H170" t="n">
        <v>0</v>
      </c>
      <c r="I170" t="n">
        <v>0</v>
      </c>
      <c r="J170" t="n">
        <v>0</v>
      </c>
      <c r="K170" t="n">
        <v>0</v>
      </c>
      <c r="L170" t="n">
        <v>0</v>
      </c>
      <c r="M170" t="n">
        <v>0</v>
      </c>
      <c r="N170" t="n">
        <v>0</v>
      </c>
      <c r="O170" t="n">
        <v>0</v>
      </c>
      <c r="P170" t="n">
        <v>0</v>
      </c>
      <c r="Q170" t="n">
        <v>0</v>
      </c>
      <c r="R170" s="2" t="inlineStr"/>
    </row>
    <row r="171" ht="15" customHeight="1">
      <c r="A171" t="inlineStr">
        <is>
          <t>A 16644-2020</t>
        </is>
      </c>
      <c r="B171" s="1" t="n">
        <v>43910</v>
      </c>
      <c r="C171" s="1" t="n">
        <v>45645</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19298-2020</t>
        </is>
      </c>
      <c r="B172" s="1" t="n">
        <v>43937</v>
      </c>
      <c r="C172" s="1" t="n">
        <v>45645</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19704-2020</t>
        </is>
      </c>
      <c r="B173" s="1" t="n">
        <v>43937</v>
      </c>
      <c r="C173" s="1" t="n">
        <v>45645</v>
      </c>
      <c r="D173" t="inlineStr">
        <is>
          <t>NORRBOTTENS LÄN</t>
        </is>
      </c>
      <c r="E173" t="inlineStr">
        <is>
          <t>PAJALA</t>
        </is>
      </c>
      <c r="G173" t="n">
        <v>26</v>
      </c>
      <c r="H173" t="n">
        <v>0</v>
      </c>
      <c r="I173" t="n">
        <v>0</v>
      </c>
      <c r="J173" t="n">
        <v>0</v>
      </c>
      <c r="K173" t="n">
        <v>0</v>
      </c>
      <c r="L173" t="n">
        <v>0</v>
      </c>
      <c r="M173" t="n">
        <v>0</v>
      </c>
      <c r="N173" t="n">
        <v>0</v>
      </c>
      <c r="O173" t="n">
        <v>0</v>
      </c>
      <c r="P173" t="n">
        <v>0</v>
      </c>
      <c r="Q173" t="n">
        <v>0</v>
      </c>
      <c r="R173" s="2" t="inlineStr"/>
    </row>
    <row r="174" ht="15" customHeight="1">
      <c r="A174" t="inlineStr">
        <is>
          <t>A 19348-2020</t>
        </is>
      </c>
      <c r="B174" s="1" t="n">
        <v>43938</v>
      </c>
      <c r="C174" s="1" t="n">
        <v>45645</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19853-2020</t>
        </is>
      </c>
      <c r="B175" s="1" t="n">
        <v>43941</v>
      </c>
      <c r="C175" s="1" t="n">
        <v>45645</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19755-2020</t>
        </is>
      </c>
      <c r="B176" s="1" t="n">
        <v>43941</v>
      </c>
      <c r="C176" s="1" t="n">
        <v>45645</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23192-2020</t>
        </is>
      </c>
      <c r="B177" s="1" t="n">
        <v>43966</v>
      </c>
      <c r="C177" s="1" t="n">
        <v>45645</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23399-2020</t>
        </is>
      </c>
      <c r="B178" s="1" t="n">
        <v>43968</v>
      </c>
      <c r="C178" s="1" t="n">
        <v>45645</v>
      </c>
      <c r="D178" t="inlineStr">
        <is>
          <t>NORRBOTTENS LÄN</t>
        </is>
      </c>
      <c r="E178" t="inlineStr">
        <is>
          <t>PAJALA</t>
        </is>
      </c>
      <c r="G178" t="n">
        <v>0.5</v>
      </c>
      <c r="H178" t="n">
        <v>0</v>
      </c>
      <c r="I178" t="n">
        <v>0</v>
      </c>
      <c r="J178" t="n">
        <v>0</v>
      </c>
      <c r="K178" t="n">
        <v>0</v>
      </c>
      <c r="L178" t="n">
        <v>0</v>
      </c>
      <c r="M178" t="n">
        <v>0</v>
      </c>
      <c r="N178" t="n">
        <v>0</v>
      </c>
      <c r="O178" t="n">
        <v>0</v>
      </c>
      <c r="P178" t="n">
        <v>0</v>
      </c>
      <c r="Q178" t="n">
        <v>0</v>
      </c>
      <c r="R178" s="2" t="inlineStr"/>
    </row>
    <row r="179" ht="15" customHeight="1">
      <c r="A179" t="inlineStr">
        <is>
          <t>A 23602-2020</t>
        </is>
      </c>
      <c r="B179" s="1" t="n">
        <v>43969</v>
      </c>
      <c r="C179" s="1" t="n">
        <v>45645</v>
      </c>
      <c r="D179" t="inlineStr">
        <is>
          <t>NORRBOTTENS LÄN</t>
        </is>
      </c>
      <c r="E179" t="inlineStr">
        <is>
          <t>PAJALA</t>
        </is>
      </c>
      <c r="G179" t="n">
        <v>4.1</v>
      </c>
      <c r="H179" t="n">
        <v>0</v>
      </c>
      <c r="I179" t="n">
        <v>0</v>
      </c>
      <c r="J179" t="n">
        <v>0</v>
      </c>
      <c r="K179" t="n">
        <v>0</v>
      </c>
      <c r="L179" t="n">
        <v>0</v>
      </c>
      <c r="M179" t="n">
        <v>0</v>
      </c>
      <c r="N179" t="n">
        <v>0</v>
      </c>
      <c r="O179" t="n">
        <v>0</v>
      </c>
      <c r="P179" t="n">
        <v>0</v>
      </c>
      <c r="Q179" t="n">
        <v>0</v>
      </c>
      <c r="R179" s="2" t="inlineStr"/>
    </row>
    <row r="180" ht="15" customHeight="1">
      <c r="A180" t="inlineStr">
        <is>
          <t>A 23630-2020</t>
        </is>
      </c>
      <c r="B180" s="1" t="n">
        <v>43969</v>
      </c>
      <c r="C180" s="1" t="n">
        <v>45645</v>
      </c>
      <c r="D180" t="inlineStr">
        <is>
          <t>NORRBOTTENS LÄN</t>
        </is>
      </c>
      <c r="E180" t="inlineStr">
        <is>
          <t>PAJALA</t>
        </is>
      </c>
      <c r="G180" t="n">
        <v>1</v>
      </c>
      <c r="H180" t="n">
        <v>0</v>
      </c>
      <c r="I180" t="n">
        <v>0</v>
      </c>
      <c r="J180" t="n">
        <v>0</v>
      </c>
      <c r="K180" t="n">
        <v>0</v>
      </c>
      <c r="L180" t="n">
        <v>0</v>
      </c>
      <c r="M180" t="n">
        <v>0</v>
      </c>
      <c r="N180" t="n">
        <v>0</v>
      </c>
      <c r="O180" t="n">
        <v>0</v>
      </c>
      <c r="P180" t="n">
        <v>0</v>
      </c>
      <c r="Q180" t="n">
        <v>0</v>
      </c>
      <c r="R180" s="2" t="inlineStr"/>
    </row>
    <row r="181" ht="15" customHeight="1">
      <c r="A181" t="inlineStr">
        <is>
          <t>A 24368-2020</t>
        </is>
      </c>
      <c r="B181" s="1" t="n">
        <v>43976</v>
      </c>
      <c r="C181" s="1" t="n">
        <v>45645</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24358-2020</t>
        </is>
      </c>
      <c r="B182" s="1" t="n">
        <v>43976</v>
      </c>
      <c r="C182" s="1" t="n">
        <v>45645</v>
      </c>
      <c r="D182" t="inlineStr">
        <is>
          <t>NORRBOTTENS LÄN</t>
        </is>
      </c>
      <c r="E182" t="inlineStr">
        <is>
          <t>PAJALA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24790-2020</t>
        </is>
      </c>
      <c r="B183" s="1" t="n">
        <v>43978</v>
      </c>
      <c r="C183" s="1" t="n">
        <v>45645</v>
      </c>
      <c r="D183" t="inlineStr">
        <is>
          <t>NORRBOTTENS LÄN</t>
        </is>
      </c>
      <c r="E183" t="inlineStr">
        <is>
          <t>PAJALA</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25277-2020</t>
        </is>
      </c>
      <c r="B184" s="1" t="n">
        <v>43979</v>
      </c>
      <c r="C184" s="1" t="n">
        <v>45645</v>
      </c>
      <c r="D184" t="inlineStr">
        <is>
          <t>NORRBOTTENS LÄN</t>
        </is>
      </c>
      <c r="E184" t="inlineStr">
        <is>
          <t>PAJALA</t>
        </is>
      </c>
      <c r="F184" t="inlineStr">
        <is>
          <t>Allmännings- och besparingsskogar</t>
        </is>
      </c>
      <c r="G184" t="n">
        <v>17.1</v>
      </c>
      <c r="H184" t="n">
        <v>0</v>
      </c>
      <c r="I184" t="n">
        <v>0</v>
      </c>
      <c r="J184" t="n">
        <v>0</v>
      </c>
      <c r="K184" t="n">
        <v>0</v>
      </c>
      <c r="L184" t="n">
        <v>0</v>
      </c>
      <c r="M184" t="n">
        <v>0</v>
      </c>
      <c r="N184" t="n">
        <v>0</v>
      </c>
      <c r="O184" t="n">
        <v>0</v>
      </c>
      <c r="P184" t="n">
        <v>0</v>
      </c>
      <c r="Q184" t="n">
        <v>0</v>
      </c>
      <c r="R184" s="2" t="inlineStr"/>
    </row>
    <row r="185" ht="15" customHeight="1">
      <c r="A185" t="inlineStr">
        <is>
          <t>A 25319-2020</t>
        </is>
      </c>
      <c r="B185" s="1" t="n">
        <v>43980</v>
      </c>
      <c r="C185" s="1" t="n">
        <v>45645</v>
      </c>
      <c r="D185" t="inlineStr">
        <is>
          <t>NORRBOTTENS LÄN</t>
        </is>
      </c>
      <c r="E185" t="inlineStr">
        <is>
          <t>PAJALA</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25323-2020</t>
        </is>
      </c>
      <c r="B186" s="1" t="n">
        <v>43980</v>
      </c>
      <c r="C186" s="1" t="n">
        <v>45645</v>
      </c>
      <c r="D186" t="inlineStr">
        <is>
          <t>NORRBOTTENS LÄN</t>
        </is>
      </c>
      <c r="E186" t="inlineStr">
        <is>
          <t>PAJALA</t>
        </is>
      </c>
      <c r="F186" t="inlineStr">
        <is>
          <t>Sveaskog</t>
        </is>
      </c>
      <c r="G186" t="n">
        <v>16.7</v>
      </c>
      <c r="H186" t="n">
        <v>0</v>
      </c>
      <c r="I186" t="n">
        <v>0</v>
      </c>
      <c r="J186" t="n">
        <v>0</v>
      </c>
      <c r="K186" t="n">
        <v>0</v>
      </c>
      <c r="L186" t="n">
        <v>0</v>
      </c>
      <c r="M186" t="n">
        <v>0</v>
      </c>
      <c r="N186" t="n">
        <v>0</v>
      </c>
      <c r="O186" t="n">
        <v>0</v>
      </c>
      <c r="P186" t="n">
        <v>0</v>
      </c>
      <c r="Q186" t="n">
        <v>0</v>
      </c>
      <c r="R186" s="2" t="inlineStr"/>
    </row>
    <row r="187" ht="15" customHeight="1">
      <c r="A187" t="inlineStr">
        <is>
          <t>A 25346-2020</t>
        </is>
      </c>
      <c r="B187" s="1" t="n">
        <v>43980</v>
      </c>
      <c r="C187" s="1" t="n">
        <v>45645</v>
      </c>
      <c r="D187" t="inlineStr">
        <is>
          <t>NORRBOTTENS LÄN</t>
        </is>
      </c>
      <c r="E187" t="inlineStr">
        <is>
          <t>PAJALA</t>
        </is>
      </c>
      <c r="F187" t="inlineStr">
        <is>
          <t>Allmännings- och besparingsskogar</t>
        </is>
      </c>
      <c r="G187" t="n">
        <v>3.2</v>
      </c>
      <c r="H187" t="n">
        <v>0</v>
      </c>
      <c r="I187" t="n">
        <v>0</v>
      </c>
      <c r="J187" t="n">
        <v>0</v>
      </c>
      <c r="K187" t="n">
        <v>0</v>
      </c>
      <c r="L187" t="n">
        <v>0</v>
      </c>
      <c r="M187" t="n">
        <v>0</v>
      </c>
      <c r="N187" t="n">
        <v>0</v>
      </c>
      <c r="O187" t="n">
        <v>0</v>
      </c>
      <c r="P187" t="n">
        <v>0</v>
      </c>
      <c r="Q187" t="n">
        <v>0</v>
      </c>
      <c r="R187" s="2" t="inlineStr"/>
    </row>
    <row r="188" ht="15" customHeight="1">
      <c r="A188" t="inlineStr">
        <is>
          <t>A 26846-2020</t>
        </is>
      </c>
      <c r="B188" s="1" t="n">
        <v>43987</v>
      </c>
      <c r="C188" s="1" t="n">
        <v>45645</v>
      </c>
      <c r="D188" t="inlineStr">
        <is>
          <t>NORRBOTTENS LÄN</t>
        </is>
      </c>
      <c r="E188" t="inlineStr">
        <is>
          <t>PAJALA</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27137-2020</t>
        </is>
      </c>
      <c r="B189" s="1" t="n">
        <v>43991</v>
      </c>
      <c r="C189" s="1" t="n">
        <v>45645</v>
      </c>
      <c r="D189" t="inlineStr">
        <is>
          <t>NORRBOTTENS LÄN</t>
        </is>
      </c>
      <c r="E189" t="inlineStr">
        <is>
          <t>PAJALA</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27148-2020</t>
        </is>
      </c>
      <c r="B190" s="1" t="n">
        <v>43991</v>
      </c>
      <c r="C190" s="1" t="n">
        <v>45645</v>
      </c>
      <c r="D190" t="inlineStr">
        <is>
          <t>NORRBOTTENS LÄN</t>
        </is>
      </c>
      <c r="E190" t="inlineStr">
        <is>
          <t>PAJALA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27143-2020</t>
        </is>
      </c>
      <c r="B191" s="1" t="n">
        <v>43991</v>
      </c>
      <c r="C191" s="1" t="n">
        <v>45645</v>
      </c>
      <c r="D191" t="inlineStr">
        <is>
          <t>NORRBOTTENS LÄN</t>
        </is>
      </c>
      <c r="E191" t="inlineStr">
        <is>
          <t>PAJALA</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27153-2020</t>
        </is>
      </c>
      <c r="B192" s="1" t="n">
        <v>43991</v>
      </c>
      <c r="C192" s="1" t="n">
        <v>45645</v>
      </c>
      <c r="D192" t="inlineStr">
        <is>
          <t>NORRBOTTENS LÄN</t>
        </is>
      </c>
      <c r="E192" t="inlineStr">
        <is>
          <t>PAJALA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27135-2020</t>
        </is>
      </c>
      <c r="B193" s="1" t="n">
        <v>43991</v>
      </c>
      <c r="C193" s="1" t="n">
        <v>45645</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27913-2020</t>
        </is>
      </c>
      <c r="B194" s="1" t="n">
        <v>43997</v>
      </c>
      <c r="C194" s="1" t="n">
        <v>45645</v>
      </c>
      <c r="D194" t="inlineStr">
        <is>
          <t>NORRBOTTENS LÄN</t>
        </is>
      </c>
      <c r="E194" t="inlineStr">
        <is>
          <t>PAJALA</t>
        </is>
      </c>
      <c r="G194" t="n">
        <v>17.6</v>
      </c>
      <c r="H194" t="n">
        <v>0</v>
      </c>
      <c r="I194" t="n">
        <v>0</v>
      </c>
      <c r="J194" t="n">
        <v>0</v>
      </c>
      <c r="K194" t="n">
        <v>0</v>
      </c>
      <c r="L194" t="n">
        <v>0</v>
      </c>
      <c r="M194" t="n">
        <v>0</v>
      </c>
      <c r="N194" t="n">
        <v>0</v>
      </c>
      <c r="O194" t="n">
        <v>0</v>
      </c>
      <c r="P194" t="n">
        <v>0</v>
      </c>
      <c r="Q194" t="n">
        <v>0</v>
      </c>
      <c r="R194" s="2" t="inlineStr"/>
    </row>
    <row r="195" ht="15" customHeight="1">
      <c r="A195" t="inlineStr">
        <is>
          <t>A 27914-2020</t>
        </is>
      </c>
      <c r="B195" s="1" t="n">
        <v>43997</v>
      </c>
      <c r="C195" s="1" t="n">
        <v>45645</v>
      </c>
      <c r="D195" t="inlineStr">
        <is>
          <t>NORRBOTTENS LÄN</t>
        </is>
      </c>
      <c r="E195" t="inlineStr">
        <is>
          <t>PAJALA</t>
        </is>
      </c>
      <c r="G195" t="n">
        <v>2.1</v>
      </c>
      <c r="H195" t="n">
        <v>0</v>
      </c>
      <c r="I195" t="n">
        <v>0</v>
      </c>
      <c r="J195" t="n">
        <v>0</v>
      </c>
      <c r="K195" t="n">
        <v>0</v>
      </c>
      <c r="L195" t="n">
        <v>0</v>
      </c>
      <c r="M195" t="n">
        <v>0</v>
      </c>
      <c r="N195" t="n">
        <v>0</v>
      </c>
      <c r="O195" t="n">
        <v>0</v>
      </c>
      <c r="P195" t="n">
        <v>0</v>
      </c>
      <c r="Q195" t="n">
        <v>0</v>
      </c>
      <c r="R195" s="2" t="inlineStr"/>
    </row>
    <row r="196" ht="15" customHeight="1">
      <c r="A196" t="inlineStr">
        <is>
          <t>A 31218-2020</t>
        </is>
      </c>
      <c r="B196" s="1" t="n">
        <v>44012</v>
      </c>
      <c r="C196" s="1" t="n">
        <v>45645</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31178-2020</t>
        </is>
      </c>
      <c r="B197" s="1" t="n">
        <v>44012</v>
      </c>
      <c r="C197" s="1" t="n">
        <v>45645</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31177-2020</t>
        </is>
      </c>
      <c r="B198" s="1" t="n">
        <v>44012</v>
      </c>
      <c r="C198" s="1" t="n">
        <v>45645</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32141-2020</t>
        </is>
      </c>
      <c r="B199" s="1" t="n">
        <v>44015</v>
      </c>
      <c r="C199" s="1" t="n">
        <v>45645</v>
      </c>
      <c r="D199" t="inlineStr">
        <is>
          <t>NORRBOTTENS LÄN</t>
        </is>
      </c>
      <c r="E199" t="inlineStr">
        <is>
          <t>PAJALA</t>
        </is>
      </c>
      <c r="G199" t="n">
        <v>3.7</v>
      </c>
      <c r="H199" t="n">
        <v>0</v>
      </c>
      <c r="I199" t="n">
        <v>0</v>
      </c>
      <c r="J199" t="n">
        <v>0</v>
      </c>
      <c r="K199" t="n">
        <v>0</v>
      </c>
      <c r="L199" t="n">
        <v>0</v>
      </c>
      <c r="M199" t="n">
        <v>0</v>
      </c>
      <c r="N199" t="n">
        <v>0</v>
      </c>
      <c r="O199" t="n">
        <v>0</v>
      </c>
      <c r="P199" t="n">
        <v>0</v>
      </c>
      <c r="Q199" t="n">
        <v>0</v>
      </c>
      <c r="R199" s="2" t="inlineStr"/>
    </row>
    <row r="200" ht="15" customHeight="1">
      <c r="A200" t="inlineStr">
        <is>
          <t>A 32700-2020</t>
        </is>
      </c>
      <c r="B200" s="1" t="n">
        <v>44018</v>
      </c>
      <c r="C200" s="1" t="n">
        <v>45645</v>
      </c>
      <c r="D200" t="inlineStr">
        <is>
          <t>NORRBOTTENS LÄN</t>
        </is>
      </c>
      <c r="E200" t="inlineStr">
        <is>
          <t>PAJALA</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32777-2020</t>
        </is>
      </c>
      <c r="B201" s="1" t="n">
        <v>44020</v>
      </c>
      <c r="C201" s="1" t="n">
        <v>45645</v>
      </c>
      <c r="D201" t="inlineStr">
        <is>
          <t>NORRBOTTENS LÄN</t>
        </is>
      </c>
      <c r="E201" t="inlineStr">
        <is>
          <t>PAJALA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33130-2020</t>
        </is>
      </c>
      <c r="B202" s="1" t="n">
        <v>44021</v>
      </c>
      <c r="C202" s="1" t="n">
        <v>45645</v>
      </c>
      <c r="D202" t="inlineStr">
        <is>
          <t>NORRBOTTENS LÄN</t>
        </is>
      </c>
      <c r="E202" t="inlineStr">
        <is>
          <t>PAJALA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33605-2020</t>
        </is>
      </c>
      <c r="B203" s="1" t="n">
        <v>44025</v>
      </c>
      <c r="C203" s="1" t="n">
        <v>45645</v>
      </c>
      <c r="D203" t="inlineStr">
        <is>
          <t>NORRBOTTENS LÄN</t>
        </is>
      </c>
      <c r="E203" t="inlineStr">
        <is>
          <t>PAJALA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33601-2020</t>
        </is>
      </c>
      <c r="B204" s="1" t="n">
        <v>44025</v>
      </c>
      <c r="C204" s="1" t="n">
        <v>45645</v>
      </c>
      <c r="D204" t="inlineStr">
        <is>
          <t>NORRBOTTENS LÄN</t>
        </is>
      </c>
      <c r="E204" t="inlineStr">
        <is>
          <t>PAJALA</t>
        </is>
      </c>
      <c r="F204" t="inlineStr">
        <is>
          <t>Sveaskog</t>
        </is>
      </c>
      <c r="G204" t="n">
        <v>32.2</v>
      </c>
      <c r="H204" t="n">
        <v>0</v>
      </c>
      <c r="I204" t="n">
        <v>0</v>
      </c>
      <c r="J204" t="n">
        <v>0</v>
      </c>
      <c r="K204" t="n">
        <v>0</v>
      </c>
      <c r="L204" t="n">
        <v>0</v>
      </c>
      <c r="M204" t="n">
        <v>0</v>
      </c>
      <c r="N204" t="n">
        <v>0</v>
      </c>
      <c r="O204" t="n">
        <v>0</v>
      </c>
      <c r="P204" t="n">
        <v>0</v>
      </c>
      <c r="Q204" t="n">
        <v>0</v>
      </c>
      <c r="R204" s="2" t="inlineStr"/>
    </row>
    <row r="205" ht="15" customHeight="1">
      <c r="A205" t="inlineStr">
        <is>
          <t>A 33603-2020</t>
        </is>
      </c>
      <c r="B205" s="1" t="n">
        <v>44025</v>
      </c>
      <c r="C205" s="1" t="n">
        <v>45645</v>
      </c>
      <c r="D205" t="inlineStr">
        <is>
          <t>NORRBOTTENS LÄN</t>
        </is>
      </c>
      <c r="E205" t="inlineStr">
        <is>
          <t>PAJALA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33604-2020</t>
        </is>
      </c>
      <c r="B206" s="1" t="n">
        <v>44025</v>
      </c>
      <c r="C206" s="1" t="n">
        <v>45645</v>
      </c>
      <c r="D206" t="inlineStr">
        <is>
          <t>NORRBOTTENS LÄN</t>
        </is>
      </c>
      <c r="E206" t="inlineStr">
        <is>
          <t>PAJALA</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33813-2020</t>
        </is>
      </c>
      <c r="B207" s="1" t="n">
        <v>44025</v>
      </c>
      <c r="C207" s="1" t="n">
        <v>45645</v>
      </c>
      <c r="D207" t="inlineStr">
        <is>
          <t>NORRBOTTENS LÄN</t>
        </is>
      </c>
      <c r="E207" t="inlineStr">
        <is>
          <t>PAJALA</t>
        </is>
      </c>
      <c r="G207" t="n">
        <v>11.8</v>
      </c>
      <c r="H207" t="n">
        <v>0</v>
      </c>
      <c r="I207" t="n">
        <v>0</v>
      </c>
      <c r="J207" t="n">
        <v>0</v>
      </c>
      <c r="K207" t="n">
        <v>0</v>
      </c>
      <c r="L207" t="n">
        <v>0</v>
      </c>
      <c r="M207" t="n">
        <v>0</v>
      </c>
      <c r="N207" t="n">
        <v>0</v>
      </c>
      <c r="O207" t="n">
        <v>0</v>
      </c>
      <c r="P207" t="n">
        <v>0</v>
      </c>
      <c r="Q207" t="n">
        <v>0</v>
      </c>
      <c r="R207" s="2" t="inlineStr"/>
    </row>
    <row r="208" ht="15" customHeight="1">
      <c r="A208" t="inlineStr">
        <is>
          <t>A 34348-2020</t>
        </is>
      </c>
      <c r="B208" s="1" t="n">
        <v>44028</v>
      </c>
      <c r="C208" s="1" t="n">
        <v>45645</v>
      </c>
      <c r="D208" t="inlineStr">
        <is>
          <t>NORRBOTTENS LÄN</t>
        </is>
      </c>
      <c r="E208" t="inlineStr">
        <is>
          <t>PAJALA</t>
        </is>
      </c>
      <c r="F208" t="inlineStr">
        <is>
          <t>Allmännings- och besparingsskogar</t>
        </is>
      </c>
      <c r="G208" t="n">
        <v>38.1</v>
      </c>
      <c r="H208" t="n">
        <v>0</v>
      </c>
      <c r="I208" t="n">
        <v>0</v>
      </c>
      <c r="J208" t="n">
        <v>0</v>
      </c>
      <c r="K208" t="n">
        <v>0</v>
      </c>
      <c r="L208" t="n">
        <v>0</v>
      </c>
      <c r="M208" t="n">
        <v>0</v>
      </c>
      <c r="N208" t="n">
        <v>0</v>
      </c>
      <c r="O208" t="n">
        <v>0</v>
      </c>
      <c r="P208" t="n">
        <v>0</v>
      </c>
      <c r="Q208" t="n">
        <v>0</v>
      </c>
      <c r="R208" s="2" t="inlineStr"/>
    </row>
    <row r="209" ht="15" customHeight="1">
      <c r="A209" t="inlineStr">
        <is>
          <t>A 34645-2020</t>
        </is>
      </c>
      <c r="B209" s="1" t="n">
        <v>44034</v>
      </c>
      <c r="C209" s="1" t="n">
        <v>45645</v>
      </c>
      <c r="D209" t="inlineStr">
        <is>
          <t>NORRBOTTENS LÄN</t>
        </is>
      </c>
      <c r="E209" t="inlineStr">
        <is>
          <t>PAJALA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34649-2020</t>
        </is>
      </c>
      <c r="B210" s="1" t="n">
        <v>44034</v>
      </c>
      <c r="C210" s="1" t="n">
        <v>45645</v>
      </c>
      <c r="D210" t="inlineStr">
        <is>
          <t>NORRBOTTENS LÄN</t>
        </is>
      </c>
      <c r="E210" t="inlineStr">
        <is>
          <t>PAJALA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34643-2020</t>
        </is>
      </c>
      <c r="B211" s="1" t="n">
        <v>44034</v>
      </c>
      <c r="C211" s="1" t="n">
        <v>45645</v>
      </c>
      <c r="D211" t="inlineStr">
        <is>
          <t>NORRBOTTENS LÄN</t>
        </is>
      </c>
      <c r="E211" t="inlineStr">
        <is>
          <t>PAJALA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34647-2020</t>
        </is>
      </c>
      <c r="B212" s="1" t="n">
        <v>44034</v>
      </c>
      <c r="C212" s="1" t="n">
        <v>45645</v>
      </c>
      <c r="D212" t="inlineStr">
        <is>
          <t>NORRBOTTENS LÄN</t>
        </is>
      </c>
      <c r="E212" t="inlineStr">
        <is>
          <t>PAJALA</t>
        </is>
      </c>
      <c r="F212" t="inlineStr">
        <is>
          <t>Allmännings- och besparingsskogar</t>
        </is>
      </c>
      <c r="G212" t="n">
        <v>30</v>
      </c>
      <c r="H212" t="n">
        <v>0</v>
      </c>
      <c r="I212" t="n">
        <v>0</v>
      </c>
      <c r="J212" t="n">
        <v>0</v>
      </c>
      <c r="K212" t="n">
        <v>0</v>
      </c>
      <c r="L212" t="n">
        <v>0</v>
      </c>
      <c r="M212" t="n">
        <v>0</v>
      </c>
      <c r="N212" t="n">
        <v>0</v>
      </c>
      <c r="O212" t="n">
        <v>0</v>
      </c>
      <c r="P212" t="n">
        <v>0</v>
      </c>
      <c r="Q212" t="n">
        <v>0</v>
      </c>
      <c r="R212" s="2" t="inlineStr"/>
    </row>
    <row r="213" ht="15" customHeight="1">
      <c r="A213" t="inlineStr">
        <is>
          <t>A 35013-2020</t>
        </is>
      </c>
      <c r="B213" s="1" t="n">
        <v>44039</v>
      </c>
      <c r="C213" s="1" t="n">
        <v>45645</v>
      </c>
      <c r="D213" t="inlineStr">
        <is>
          <t>NORRBOTTENS LÄN</t>
        </is>
      </c>
      <c r="E213" t="inlineStr">
        <is>
          <t>PAJALA</t>
        </is>
      </c>
      <c r="F213" t="inlineStr">
        <is>
          <t>Allmännings- och besparingsskogar</t>
        </is>
      </c>
      <c r="G213" t="n">
        <v>23.3</v>
      </c>
      <c r="H213" t="n">
        <v>0</v>
      </c>
      <c r="I213" t="n">
        <v>0</v>
      </c>
      <c r="J213" t="n">
        <v>0</v>
      </c>
      <c r="K213" t="n">
        <v>0</v>
      </c>
      <c r="L213" t="n">
        <v>0</v>
      </c>
      <c r="M213" t="n">
        <v>0</v>
      </c>
      <c r="N213" t="n">
        <v>0</v>
      </c>
      <c r="O213" t="n">
        <v>0</v>
      </c>
      <c r="P213" t="n">
        <v>0</v>
      </c>
      <c r="Q213" t="n">
        <v>0</v>
      </c>
      <c r="R213" s="2" t="inlineStr"/>
    </row>
    <row r="214" ht="15" customHeight="1">
      <c r="A214" t="inlineStr">
        <is>
          <t>A 36084-2020</t>
        </is>
      </c>
      <c r="B214" s="1" t="n">
        <v>44048</v>
      </c>
      <c r="C214" s="1" t="n">
        <v>45645</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36211-2020</t>
        </is>
      </c>
      <c r="B215" s="1" t="n">
        <v>44048</v>
      </c>
      <c r="C215" s="1" t="n">
        <v>45645</v>
      </c>
      <c r="D215" t="inlineStr">
        <is>
          <t>NORRBOTTENS LÄN</t>
        </is>
      </c>
      <c r="E215" t="inlineStr">
        <is>
          <t>PAJALA</t>
        </is>
      </c>
      <c r="G215" t="n">
        <v>3</v>
      </c>
      <c r="H215" t="n">
        <v>0</v>
      </c>
      <c r="I215" t="n">
        <v>0</v>
      </c>
      <c r="J215" t="n">
        <v>0</v>
      </c>
      <c r="K215" t="n">
        <v>0</v>
      </c>
      <c r="L215" t="n">
        <v>0</v>
      </c>
      <c r="M215" t="n">
        <v>0</v>
      </c>
      <c r="N215" t="n">
        <v>0</v>
      </c>
      <c r="O215" t="n">
        <v>0</v>
      </c>
      <c r="P215" t="n">
        <v>0</v>
      </c>
      <c r="Q215" t="n">
        <v>0</v>
      </c>
      <c r="R215" s="2" t="inlineStr"/>
    </row>
    <row r="216" ht="15" customHeight="1">
      <c r="A216" t="inlineStr">
        <is>
          <t>A 38337-2020</t>
        </is>
      </c>
      <c r="B216" s="1" t="n">
        <v>44060</v>
      </c>
      <c r="C216" s="1" t="n">
        <v>45645</v>
      </c>
      <c r="D216" t="inlineStr">
        <is>
          <t>NORRBOTTENS LÄN</t>
        </is>
      </c>
      <c r="E216" t="inlineStr">
        <is>
          <t>PAJALA</t>
        </is>
      </c>
      <c r="G216" t="n">
        <v>9.1</v>
      </c>
      <c r="H216" t="n">
        <v>0</v>
      </c>
      <c r="I216" t="n">
        <v>0</v>
      </c>
      <c r="J216" t="n">
        <v>0</v>
      </c>
      <c r="K216" t="n">
        <v>0</v>
      </c>
      <c r="L216" t="n">
        <v>0</v>
      </c>
      <c r="M216" t="n">
        <v>0</v>
      </c>
      <c r="N216" t="n">
        <v>0</v>
      </c>
      <c r="O216" t="n">
        <v>0</v>
      </c>
      <c r="P216" t="n">
        <v>0</v>
      </c>
      <c r="Q216" t="n">
        <v>0</v>
      </c>
      <c r="R216" s="2" t="inlineStr"/>
    </row>
    <row r="217" ht="15" customHeight="1">
      <c r="A217" t="inlineStr">
        <is>
          <t>A 39020-2020</t>
        </is>
      </c>
      <c r="B217" s="1" t="n">
        <v>44062</v>
      </c>
      <c r="C217" s="1" t="n">
        <v>45645</v>
      </c>
      <c r="D217" t="inlineStr">
        <is>
          <t>NORRBOTTENS LÄN</t>
        </is>
      </c>
      <c r="E217" t="inlineStr">
        <is>
          <t>PAJALA</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38878-2020</t>
        </is>
      </c>
      <c r="B218" s="1" t="n">
        <v>44062</v>
      </c>
      <c r="C218" s="1" t="n">
        <v>45645</v>
      </c>
      <c r="D218" t="inlineStr">
        <is>
          <t>NORRBOTTENS LÄN</t>
        </is>
      </c>
      <c r="E218" t="inlineStr">
        <is>
          <t>PAJALA</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39099-2020</t>
        </is>
      </c>
      <c r="B219" s="1" t="n">
        <v>44063</v>
      </c>
      <c r="C219" s="1" t="n">
        <v>45645</v>
      </c>
      <c r="D219" t="inlineStr">
        <is>
          <t>NORRBOTTENS LÄN</t>
        </is>
      </c>
      <c r="E219" t="inlineStr">
        <is>
          <t>PAJALA</t>
        </is>
      </c>
      <c r="G219" t="n">
        <v>14</v>
      </c>
      <c r="H219" t="n">
        <v>0</v>
      </c>
      <c r="I219" t="n">
        <v>0</v>
      </c>
      <c r="J219" t="n">
        <v>0</v>
      </c>
      <c r="K219" t="n">
        <v>0</v>
      </c>
      <c r="L219" t="n">
        <v>0</v>
      </c>
      <c r="M219" t="n">
        <v>0</v>
      </c>
      <c r="N219" t="n">
        <v>0</v>
      </c>
      <c r="O219" t="n">
        <v>0</v>
      </c>
      <c r="P219" t="n">
        <v>0</v>
      </c>
      <c r="Q219" t="n">
        <v>0</v>
      </c>
      <c r="R219" s="2" t="inlineStr"/>
    </row>
    <row r="220" ht="15" customHeight="1">
      <c r="A220" t="inlineStr">
        <is>
          <t>A 41796-2020</t>
        </is>
      </c>
      <c r="B220" s="1" t="n">
        <v>44071</v>
      </c>
      <c r="C220" s="1" t="n">
        <v>45645</v>
      </c>
      <c r="D220" t="inlineStr">
        <is>
          <t>NORRBOTTENS LÄN</t>
        </is>
      </c>
      <c r="E220" t="inlineStr">
        <is>
          <t>PAJALA</t>
        </is>
      </c>
      <c r="F220" t="inlineStr">
        <is>
          <t>Allmännings- och besparingsskogar</t>
        </is>
      </c>
      <c r="G220" t="n">
        <v>5</v>
      </c>
      <c r="H220" t="n">
        <v>0</v>
      </c>
      <c r="I220" t="n">
        <v>0</v>
      </c>
      <c r="J220" t="n">
        <v>0</v>
      </c>
      <c r="K220" t="n">
        <v>0</v>
      </c>
      <c r="L220" t="n">
        <v>0</v>
      </c>
      <c r="M220" t="n">
        <v>0</v>
      </c>
      <c r="N220" t="n">
        <v>0</v>
      </c>
      <c r="O220" t="n">
        <v>0</v>
      </c>
      <c r="P220" t="n">
        <v>0</v>
      </c>
      <c r="Q220" t="n">
        <v>0</v>
      </c>
      <c r="R220" s="2" t="inlineStr"/>
    </row>
    <row r="221" ht="15" customHeight="1">
      <c r="A221" t="inlineStr">
        <is>
          <t>A 41787-2020</t>
        </is>
      </c>
      <c r="B221" s="1" t="n">
        <v>44074</v>
      </c>
      <c r="C221" s="1" t="n">
        <v>45645</v>
      </c>
      <c r="D221" t="inlineStr">
        <is>
          <t>NORRBOTTENS LÄN</t>
        </is>
      </c>
      <c r="E221" t="inlineStr">
        <is>
          <t>PAJALA</t>
        </is>
      </c>
      <c r="F221" t="inlineStr">
        <is>
          <t>Sveaskog</t>
        </is>
      </c>
      <c r="G221" t="n">
        <v>0.4</v>
      </c>
      <c r="H221" t="n">
        <v>0</v>
      </c>
      <c r="I221" t="n">
        <v>0</v>
      </c>
      <c r="J221" t="n">
        <v>0</v>
      </c>
      <c r="K221" t="n">
        <v>0</v>
      </c>
      <c r="L221" t="n">
        <v>0</v>
      </c>
      <c r="M221" t="n">
        <v>0</v>
      </c>
      <c r="N221" t="n">
        <v>0</v>
      </c>
      <c r="O221" t="n">
        <v>0</v>
      </c>
      <c r="P221" t="n">
        <v>0</v>
      </c>
      <c r="Q221" t="n">
        <v>0</v>
      </c>
      <c r="R221" s="2" t="inlineStr"/>
    </row>
    <row r="222" ht="15" customHeight="1">
      <c r="A222" t="inlineStr">
        <is>
          <t>A 43121-2020</t>
        </is>
      </c>
      <c r="B222" s="1" t="n">
        <v>44079</v>
      </c>
      <c r="C222" s="1" t="n">
        <v>45645</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43125-2020</t>
        </is>
      </c>
      <c r="B223" s="1" t="n">
        <v>44079</v>
      </c>
      <c r="C223" s="1" t="n">
        <v>45645</v>
      </c>
      <c r="D223" t="inlineStr">
        <is>
          <t>NORRBOTTENS LÄN</t>
        </is>
      </c>
      <c r="E223" t="inlineStr">
        <is>
          <t>PAJALA</t>
        </is>
      </c>
      <c r="G223" t="n">
        <v>7.5</v>
      </c>
      <c r="H223" t="n">
        <v>0</v>
      </c>
      <c r="I223" t="n">
        <v>0</v>
      </c>
      <c r="J223" t="n">
        <v>0</v>
      </c>
      <c r="K223" t="n">
        <v>0</v>
      </c>
      <c r="L223" t="n">
        <v>0</v>
      </c>
      <c r="M223" t="n">
        <v>0</v>
      </c>
      <c r="N223" t="n">
        <v>0</v>
      </c>
      <c r="O223" t="n">
        <v>0</v>
      </c>
      <c r="P223" t="n">
        <v>0</v>
      </c>
      <c r="Q223" t="n">
        <v>0</v>
      </c>
      <c r="R223" s="2" t="inlineStr"/>
    </row>
    <row r="224" ht="15" customHeight="1">
      <c r="A224" t="inlineStr">
        <is>
          <t>A 43123-2020</t>
        </is>
      </c>
      <c r="B224" s="1" t="n">
        <v>44079</v>
      </c>
      <c r="C224" s="1" t="n">
        <v>45645</v>
      </c>
      <c r="D224" t="inlineStr">
        <is>
          <t>NORRBOTTENS LÄN</t>
        </is>
      </c>
      <c r="E224" t="inlineStr">
        <is>
          <t>PAJALA</t>
        </is>
      </c>
      <c r="G224" t="n">
        <v>14.3</v>
      </c>
      <c r="H224" t="n">
        <v>0</v>
      </c>
      <c r="I224" t="n">
        <v>0</v>
      </c>
      <c r="J224" t="n">
        <v>0</v>
      </c>
      <c r="K224" t="n">
        <v>0</v>
      </c>
      <c r="L224" t="n">
        <v>0</v>
      </c>
      <c r="M224" t="n">
        <v>0</v>
      </c>
      <c r="N224" t="n">
        <v>0</v>
      </c>
      <c r="O224" t="n">
        <v>0</v>
      </c>
      <c r="P224" t="n">
        <v>0</v>
      </c>
      <c r="Q224" t="n">
        <v>0</v>
      </c>
      <c r="R224" s="2" t="inlineStr"/>
    </row>
    <row r="225" ht="15" customHeight="1">
      <c r="A225" t="inlineStr">
        <is>
          <t>A 43120-2020</t>
        </is>
      </c>
      <c r="B225" s="1" t="n">
        <v>44079</v>
      </c>
      <c r="C225" s="1" t="n">
        <v>45645</v>
      </c>
      <c r="D225" t="inlineStr">
        <is>
          <t>NORRBOTTENS LÄN</t>
        </is>
      </c>
      <c r="E225" t="inlineStr">
        <is>
          <t>PAJALA</t>
        </is>
      </c>
      <c r="G225" t="n">
        <v>14.5</v>
      </c>
      <c r="H225" t="n">
        <v>0</v>
      </c>
      <c r="I225" t="n">
        <v>0</v>
      </c>
      <c r="J225" t="n">
        <v>0</v>
      </c>
      <c r="K225" t="n">
        <v>0</v>
      </c>
      <c r="L225" t="n">
        <v>0</v>
      </c>
      <c r="M225" t="n">
        <v>0</v>
      </c>
      <c r="N225" t="n">
        <v>0</v>
      </c>
      <c r="O225" t="n">
        <v>0</v>
      </c>
      <c r="P225" t="n">
        <v>0</v>
      </c>
      <c r="Q225" t="n">
        <v>0</v>
      </c>
      <c r="R225" s="2" t="inlineStr"/>
    </row>
    <row r="226" ht="15" customHeight="1">
      <c r="A226" t="inlineStr">
        <is>
          <t>A 43124-2020</t>
        </is>
      </c>
      <c r="B226" s="1" t="n">
        <v>44079</v>
      </c>
      <c r="C226" s="1" t="n">
        <v>45645</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43122-2020</t>
        </is>
      </c>
      <c r="B227" s="1" t="n">
        <v>44079</v>
      </c>
      <c r="C227" s="1" t="n">
        <v>45645</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43437-2020</t>
        </is>
      </c>
      <c r="B228" s="1" t="n">
        <v>44081</v>
      </c>
      <c r="C228" s="1" t="n">
        <v>45645</v>
      </c>
      <c r="D228" t="inlineStr">
        <is>
          <t>NORRBOTTENS LÄN</t>
        </is>
      </c>
      <c r="E228" t="inlineStr">
        <is>
          <t>PAJALA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43771-2020</t>
        </is>
      </c>
      <c r="B229" s="1" t="n">
        <v>44082</v>
      </c>
      <c r="C229" s="1" t="n">
        <v>45645</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45002-2020</t>
        </is>
      </c>
      <c r="B230" s="1" t="n">
        <v>44083</v>
      </c>
      <c r="C230" s="1" t="n">
        <v>45645</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44942-2020</t>
        </is>
      </c>
      <c r="B231" s="1" t="n">
        <v>44088</v>
      </c>
      <c r="C231" s="1" t="n">
        <v>45645</v>
      </c>
      <c r="D231" t="inlineStr">
        <is>
          <t>NORRBOTTENS LÄN</t>
        </is>
      </c>
      <c r="E231" t="inlineStr">
        <is>
          <t>PAJALA</t>
        </is>
      </c>
      <c r="G231" t="n">
        <v>21.5</v>
      </c>
      <c r="H231" t="n">
        <v>0</v>
      </c>
      <c r="I231" t="n">
        <v>0</v>
      </c>
      <c r="J231" t="n">
        <v>0</v>
      </c>
      <c r="K231" t="n">
        <v>0</v>
      </c>
      <c r="L231" t="n">
        <v>0</v>
      </c>
      <c r="M231" t="n">
        <v>0</v>
      </c>
      <c r="N231" t="n">
        <v>0</v>
      </c>
      <c r="O231" t="n">
        <v>0</v>
      </c>
      <c r="P231" t="n">
        <v>0</v>
      </c>
      <c r="Q231" t="n">
        <v>0</v>
      </c>
      <c r="R231" s="2" t="inlineStr"/>
    </row>
    <row r="232" ht="15" customHeight="1">
      <c r="A232" t="inlineStr">
        <is>
          <t>A 45860-2020</t>
        </is>
      </c>
      <c r="B232" s="1" t="n">
        <v>44091</v>
      </c>
      <c r="C232" s="1" t="n">
        <v>45645</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46781-2020</t>
        </is>
      </c>
      <c r="B233" s="1" t="n">
        <v>44096</v>
      </c>
      <c r="C233" s="1" t="n">
        <v>45645</v>
      </c>
      <c r="D233" t="inlineStr">
        <is>
          <t>NORRBOTTENS LÄN</t>
        </is>
      </c>
      <c r="E233" t="inlineStr">
        <is>
          <t>PAJALA</t>
        </is>
      </c>
      <c r="G233" t="n">
        <v>9</v>
      </c>
      <c r="H233" t="n">
        <v>0</v>
      </c>
      <c r="I233" t="n">
        <v>0</v>
      </c>
      <c r="J233" t="n">
        <v>0</v>
      </c>
      <c r="K233" t="n">
        <v>0</v>
      </c>
      <c r="L233" t="n">
        <v>0</v>
      </c>
      <c r="M233" t="n">
        <v>0</v>
      </c>
      <c r="N233" t="n">
        <v>0</v>
      </c>
      <c r="O233" t="n">
        <v>0</v>
      </c>
      <c r="P233" t="n">
        <v>0</v>
      </c>
      <c r="Q233" t="n">
        <v>0</v>
      </c>
      <c r="R233" s="2" t="inlineStr"/>
    </row>
    <row r="234" ht="15" customHeight="1">
      <c r="A234" t="inlineStr">
        <is>
          <t>A 48215-2020</t>
        </is>
      </c>
      <c r="B234" s="1" t="n">
        <v>44097</v>
      </c>
      <c r="C234" s="1" t="n">
        <v>45645</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50678-2020</t>
        </is>
      </c>
      <c r="B235" s="1" t="n">
        <v>44111</v>
      </c>
      <c r="C235" s="1" t="n">
        <v>45645</v>
      </c>
      <c r="D235" t="inlineStr">
        <is>
          <t>NORRBOTTENS LÄN</t>
        </is>
      </c>
      <c r="E235" t="inlineStr">
        <is>
          <t>PAJALA</t>
        </is>
      </c>
      <c r="G235" t="n">
        <v>6.2</v>
      </c>
      <c r="H235" t="n">
        <v>0</v>
      </c>
      <c r="I235" t="n">
        <v>0</v>
      </c>
      <c r="J235" t="n">
        <v>0</v>
      </c>
      <c r="K235" t="n">
        <v>0</v>
      </c>
      <c r="L235" t="n">
        <v>0</v>
      </c>
      <c r="M235" t="n">
        <v>0</v>
      </c>
      <c r="N235" t="n">
        <v>0</v>
      </c>
      <c r="O235" t="n">
        <v>0</v>
      </c>
      <c r="P235" t="n">
        <v>0</v>
      </c>
      <c r="Q235" t="n">
        <v>0</v>
      </c>
      <c r="R235" s="2" t="inlineStr"/>
    </row>
    <row r="236" ht="15" customHeight="1">
      <c r="A236" t="inlineStr">
        <is>
          <t>A 52728-2020</t>
        </is>
      </c>
      <c r="B236" s="1" t="n">
        <v>44117</v>
      </c>
      <c r="C236" s="1" t="n">
        <v>45645</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53699-2020</t>
        </is>
      </c>
      <c r="B237" s="1" t="n">
        <v>44123</v>
      </c>
      <c r="C237" s="1" t="n">
        <v>45645</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54177-2020</t>
        </is>
      </c>
      <c r="B238" s="1" t="n">
        <v>44125</v>
      </c>
      <c r="C238" s="1" t="n">
        <v>45645</v>
      </c>
      <c r="D238" t="inlineStr">
        <is>
          <t>NORRBOTTENS LÄN</t>
        </is>
      </c>
      <c r="E238" t="inlineStr">
        <is>
          <t>PAJALA</t>
        </is>
      </c>
      <c r="G238" t="n">
        <v>5.9</v>
      </c>
      <c r="H238" t="n">
        <v>0</v>
      </c>
      <c r="I238" t="n">
        <v>0</v>
      </c>
      <c r="J238" t="n">
        <v>0</v>
      </c>
      <c r="K238" t="n">
        <v>0</v>
      </c>
      <c r="L238" t="n">
        <v>0</v>
      </c>
      <c r="M238" t="n">
        <v>0</v>
      </c>
      <c r="N238" t="n">
        <v>0</v>
      </c>
      <c r="O238" t="n">
        <v>0</v>
      </c>
      <c r="P238" t="n">
        <v>0</v>
      </c>
      <c r="Q238" t="n">
        <v>0</v>
      </c>
      <c r="R238" s="2" t="inlineStr"/>
    </row>
    <row r="239" ht="15" customHeight="1">
      <c r="A239" t="inlineStr">
        <is>
          <t>A 54172-2020</t>
        </is>
      </c>
      <c r="B239" s="1" t="n">
        <v>44125</v>
      </c>
      <c r="C239" s="1" t="n">
        <v>45645</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54173-2020</t>
        </is>
      </c>
      <c r="B240" s="1" t="n">
        <v>44125</v>
      </c>
      <c r="C240" s="1" t="n">
        <v>45645</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54175-2020</t>
        </is>
      </c>
      <c r="B241" s="1" t="n">
        <v>44125</v>
      </c>
      <c r="C241" s="1" t="n">
        <v>45645</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54303-2020</t>
        </is>
      </c>
      <c r="B242" s="1" t="n">
        <v>44126</v>
      </c>
      <c r="C242" s="1" t="n">
        <v>45645</v>
      </c>
      <c r="D242" t="inlineStr">
        <is>
          <t>NORRBOTTENS LÄN</t>
        </is>
      </c>
      <c r="E242" t="inlineStr">
        <is>
          <t>PAJALA</t>
        </is>
      </c>
      <c r="G242" t="n">
        <v>26.2</v>
      </c>
      <c r="H242" t="n">
        <v>0</v>
      </c>
      <c r="I242" t="n">
        <v>0</v>
      </c>
      <c r="J242" t="n">
        <v>0</v>
      </c>
      <c r="K242" t="n">
        <v>0</v>
      </c>
      <c r="L242" t="n">
        <v>0</v>
      </c>
      <c r="M242" t="n">
        <v>0</v>
      </c>
      <c r="N242" t="n">
        <v>0</v>
      </c>
      <c r="O242" t="n">
        <v>0</v>
      </c>
      <c r="P242" t="n">
        <v>0</v>
      </c>
      <c r="Q242" t="n">
        <v>0</v>
      </c>
      <c r="R242" s="2" t="inlineStr"/>
    </row>
    <row r="243" ht="15" customHeight="1">
      <c r="A243" t="inlineStr">
        <is>
          <t>A 55545-2020</t>
        </is>
      </c>
      <c r="B243" s="1" t="n">
        <v>44131</v>
      </c>
      <c r="C243" s="1" t="n">
        <v>45645</v>
      </c>
      <c r="D243" t="inlineStr">
        <is>
          <t>NORRBOTTENS LÄN</t>
        </is>
      </c>
      <c r="E243" t="inlineStr">
        <is>
          <t>PAJALA</t>
        </is>
      </c>
      <c r="G243" t="n">
        <v>12.4</v>
      </c>
      <c r="H243" t="n">
        <v>0</v>
      </c>
      <c r="I243" t="n">
        <v>0</v>
      </c>
      <c r="J243" t="n">
        <v>0</v>
      </c>
      <c r="K243" t="n">
        <v>0</v>
      </c>
      <c r="L243" t="n">
        <v>0</v>
      </c>
      <c r="M243" t="n">
        <v>0</v>
      </c>
      <c r="N243" t="n">
        <v>0</v>
      </c>
      <c r="O243" t="n">
        <v>0</v>
      </c>
      <c r="P243" t="n">
        <v>0</v>
      </c>
      <c r="Q243" t="n">
        <v>0</v>
      </c>
      <c r="R243" s="2" t="inlineStr"/>
    </row>
    <row r="244" ht="15" customHeight="1">
      <c r="A244" t="inlineStr">
        <is>
          <t>A 55785-2020</t>
        </is>
      </c>
      <c r="B244" s="1" t="n">
        <v>44131</v>
      </c>
      <c r="C244" s="1" t="n">
        <v>45645</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3735-2021</t>
        </is>
      </c>
      <c r="B245" s="1" t="n">
        <v>44132</v>
      </c>
      <c r="C245" s="1" t="n">
        <v>45645</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59122-2020</t>
        </is>
      </c>
      <c r="B246" s="1" t="n">
        <v>44147</v>
      </c>
      <c r="C246" s="1" t="n">
        <v>45645</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59128-2020</t>
        </is>
      </c>
      <c r="B247" s="1" t="n">
        <v>44147</v>
      </c>
      <c r="C247" s="1" t="n">
        <v>45645</v>
      </c>
      <c r="D247" t="inlineStr">
        <is>
          <t>NORRBOTTENS LÄN</t>
        </is>
      </c>
      <c r="E247" t="inlineStr">
        <is>
          <t>PAJALA</t>
        </is>
      </c>
      <c r="G247" t="n">
        <v>8.4</v>
      </c>
      <c r="H247" t="n">
        <v>0</v>
      </c>
      <c r="I247" t="n">
        <v>0</v>
      </c>
      <c r="J247" t="n">
        <v>0</v>
      </c>
      <c r="K247" t="n">
        <v>0</v>
      </c>
      <c r="L247" t="n">
        <v>0</v>
      </c>
      <c r="M247" t="n">
        <v>0</v>
      </c>
      <c r="N247" t="n">
        <v>0</v>
      </c>
      <c r="O247" t="n">
        <v>0</v>
      </c>
      <c r="P247" t="n">
        <v>0</v>
      </c>
      <c r="Q247" t="n">
        <v>0</v>
      </c>
      <c r="R247" s="2" t="inlineStr"/>
    </row>
    <row r="248" ht="15" customHeight="1">
      <c r="A248" t="inlineStr">
        <is>
          <t>A 59126-2020</t>
        </is>
      </c>
      <c r="B248" s="1" t="n">
        <v>44147</v>
      </c>
      <c r="C248" s="1" t="n">
        <v>45645</v>
      </c>
      <c r="D248" t="inlineStr">
        <is>
          <t>NORRBOTTENS LÄN</t>
        </is>
      </c>
      <c r="E248" t="inlineStr">
        <is>
          <t>PAJALA</t>
        </is>
      </c>
      <c r="G248" t="n">
        <v>5.7</v>
      </c>
      <c r="H248" t="n">
        <v>0</v>
      </c>
      <c r="I248" t="n">
        <v>0</v>
      </c>
      <c r="J248" t="n">
        <v>0</v>
      </c>
      <c r="K248" t="n">
        <v>0</v>
      </c>
      <c r="L248" t="n">
        <v>0</v>
      </c>
      <c r="M248" t="n">
        <v>0</v>
      </c>
      <c r="N248" t="n">
        <v>0</v>
      </c>
      <c r="O248" t="n">
        <v>0</v>
      </c>
      <c r="P248" t="n">
        <v>0</v>
      </c>
      <c r="Q248" t="n">
        <v>0</v>
      </c>
      <c r="R248" s="2" t="inlineStr"/>
    </row>
    <row r="249" ht="15" customHeight="1">
      <c r="A249" t="inlineStr">
        <is>
          <t>A 59282-2020</t>
        </is>
      </c>
      <c r="B249" s="1" t="n">
        <v>44147</v>
      </c>
      <c r="C249" s="1" t="n">
        <v>45645</v>
      </c>
      <c r="D249" t="inlineStr">
        <is>
          <t>NORRBOTTENS LÄN</t>
        </is>
      </c>
      <c r="E249" t="inlineStr">
        <is>
          <t>PAJALA</t>
        </is>
      </c>
      <c r="G249" t="n">
        <v>19.1</v>
      </c>
      <c r="H249" t="n">
        <v>0</v>
      </c>
      <c r="I249" t="n">
        <v>0</v>
      </c>
      <c r="J249" t="n">
        <v>0</v>
      </c>
      <c r="K249" t="n">
        <v>0</v>
      </c>
      <c r="L249" t="n">
        <v>0</v>
      </c>
      <c r="M249" t="n">
        <v>0</v>
      </c>
      <c r="N249" t="n">
        <v>0</v>
      </c>
      <c r="O249" t="n">
        <v>0</v>
      </c>
      <c r="P249" t="n">
        <v>0</v>
      </c>
      <c r="Q249" t="n">
        <v>0</v>
      </c>
      <c r="R249" s="2" t="inlineStr"/>
    </row>
    <row r="250" ht="15" customHeight="1">
      <c r="A250" t="inlineStr">
        <is>
          <t>A 60121-2020</t>
        </is>
      </c>
      <c r="B250" s="1" t="n">
        <v>44151</v>
      </c>
      <c r="C250" s="1" t="n">
        <v>45645</v>
      </c>
      <c r="D250" t="inlineStr">
        <is>
          <t>NORRBOTTENS LÄN</t>
        </is>
      </c>
      <c r="E250" t="inlineStr">
        <is>
          <t>PAJALA</t>
        </is>
      </c>
      <c r="G250" t="n">
        <v>5.5</v>
      </c>
      <c r="H250" t="n">
        <v>0</v>
      </c>
      <c r="I250" t="n">
        <v>0</v>
      </c>
      <c r="J250" t="n">
        <v>0</v>
      </c>
      <c r="K250" t="n">
        <v>0</v>
      </c>
      <c r="L250" t="n">
        <v>0</v>
      </c>
      <c r="M250" t="n">
        <v>0</v>
      </c>
      <c r="N250" t="n">
        <v>0</v>
      </c>
      <c r="O250" t="n">
        <v>0</v>
      </c>
      <c r="P250" t="n">
        <v>0</v>
      </c>
      <c r="Q250" t="n">
        <v>0</v>
      </c>
      <c r="R250" s="2" t="inlineStr"/>
    </row>
    <row r="251" ht="15" customHeight="1">
      <c r="A251" t="inlineStr">
        <is>
          <t>A 60106-2020</t>
        </is>
      </c>
      <c r="B251" s="1" t="n">
        <v>44151</v>
      </c>
      <c r="C251" s="1" t="n">
        <v>45645</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60115-2020</t>
        </is>
      </c>
      <c r="B252" s="1" t="n">
        <v>44151</v>
      </c>
      <c r="C252" s="1" t="n">
        <v>45645</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61895-2020</t>
        </is>
      </c>
      <c r="B253" s="1" t="n">
        <v>44155</v>
      </c>
      <c r="C253" s="1" t="n">
        <v>45645</v>
      </c>
      <c r="D253" t="inlineStr">
        <is>
          <t>NORRBOTTENS LÄN</t>
        </is>
      </c>
      <c r="E253" t="inlineStr">
        <is>
          <t>PAJALA</t>
        </is>
      </c>
      <c r="G253" t="n">
        <v>20.1</v>
      </c>
      <c r="H253" t="n">
        <v>0</v>
      </c>
      <c r="I253" t="n">
        <v>0</v>
      </c>
      <c r="J253" t="n">
        <v>0</v>
      </c>
      <c r="K253" t="n">
        <v>0</v>
      </c>
      <c r="L253" t="n">
        <v>0</v>
      </c>
      <c r="M253" t="n">
        <v>0</v>
      </c>
      <c r="N253" t="n">
        <v>0</v>
      </c>
      <c r="O253" t="n">
        <v>0</v>
      </c>
      <c r="P253" t="n">
        <v>0</v>
      </c>
      <c r="Q253" t="n">
        <v>0</v>
      </c>
      <c r="R253" s="2" t="inlineStr"/>
    </row>
    <row r="254" ht="15" customHeight="1">
      <c r="A254" t="inlineStr">
        <is>
          <t>A 61831-2020</t>
        </is>
      </c>
      <c r="B254" s="1" t="n">
        <v>44158</v>
      </c>
      <c r="C254" s="1" t="n">
        <v>45645</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64639-2020</t>
        </is>
      </c>
      <c r="B255" s="1" t="n">
        <v>44169</v>
      </c>
      <c r="C255" s="1" t="n">
        <v>45645</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65543-2020</t>
        </is>
      </c>
      <c r="B256" s="1" t="n">
        <v>44172</v>
      </c>
      <c r="C256" s="1" t="n">
        <v>45645</v>
      </c>
      <c r="D256" t="inlineStr">
        <is>
          <t>NORRBOTTENS LÄN</t>
        </is>
      </c>
      <c r="E256" t="inlineStr">
        <is>
          <t>PAJALA</t>
        </is>
      </c>
      <c r="G256" t="n">
        <v>5.1</v>
      </c>
      <c r="H256" t="n">
        <v>0</v>
      </c>
      <c r="I256" t="n">
        <v>0</v>
      </c>
      <c r="J256" t="n">
        <v>0</v>
      </c>
      <c r="K256" t="n">
        <v>0</v>
      </c>
      <c r="L256" t="n">
        <v>0</v>
      </c>
      <c r="M256" t="n">
        <v>0</v>
      </c>
      <c r="N256" t="n">
        <v>0</v>
      </c>
      <c r="O256" t="n">
        <v>0</v>
      </c>
      <c r="P256" t="n">
        <v>0</v>
      </c>
      <c r="Q256" t="n">
        <v>0</v>
      </c>
      <c r="R256" s="2" t="inlineStr"/>
    </row>
    <row r="257" ht="15" customHeight="1">
      <c r="A257" t="inlineStr">
        <is>
          <t>A 65636-2020</t>
        </is>
      </c>
      <c r="B257" s="1" t="n">
        <v>44173</v>
      </c>
      <c r="C257" s="1" t="n">
        <v>45645</v>
      </c>
      <c r="D257" t="inlineStr">
        <is>
          <t>NORRBOTTENS LÄN</t>
        </is>
      </c>
      <c r="E257" t="inlineStr">
        <is>
          <t>PAJALA</t>
        </is>
      </c>
      <c r="G257" t="n">
        <v>12.3</v>
      </c>
      <c r="H257" t="n">
        <v>0</v>
      </c>
      <c r="I257" t="n">
        <v>0</v>
      </c>
      <c r="J257" t="n">
        <v>0</v>
      </c>
      <c r="K257" t="n">
        <v>0</v>
      </c>
      <c r="L257" t="n">
        <v>0</v>
      </c>
      <c r="M257" t="n">
        <v>0</v>
      </c>
      <c r="N257" t="n">
        <v>0</v>
      </c>
      <c r="O257" t="n">
        <v>0</v>
      </c>
      <c r="P257" t="n">
        <v>0</v>
      </c>
      <c r="Q257" t="n">
        <v>0</v>
      </c>
      <c r="R257" s="2" t="inlineStr"/>
    </row>
    <row r="258" ht="15" customHeight="1">
      <c r="A258" t="inlineStr">
        <is>
          <t>A 65756-2020</t>
        </is>
      </c>
      <c r="B258" s="1" t="n">
        <v>44174</v>
      </c>
      <c r="C258" s="1" t="n">
        <v>45645</v>
      </c>
      <c r="D258" t="inlineStr">
        <is>
          <t>NORRBOTTENS LÄN</t>
        </is>
      </c>
      <c r="E258" t="inlineStr">
        <is>
          <t>PAJALA</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67524-2020</t>
        </is>
      </c>
      <c r="B259" s="1" t="n">
        <v>44180</v>
      </c>
      <c r="C259" s="1" t="n">
        <v>45645</v>
      </c>
      <c r="D259" t="inlineStr">
        <is>
          <t>NORRBOTTENS LÄN</t>
        </is>
      </c>
      <c r="E259" t="inlineStr">
        <is>
          <t>PAJALA</t>
        </is>
      </c>
      <c r="G259" t="n">
        <v>13.7</v>
      </c>
      <c r="H259" t="n">
        <v>0</v>
      </c>
      <c r="I259" t="n">
        <v>0</v>
      </c>
      <c r="J259" t="n">
        <v>0</v>
      </c>
      <c r="K259" t="n">
        <v>0</v>
      </c>
      <c r="L259" t="n">
        <v>0</v>
      </c>
      <c r="M259" t="n">
        <v>0</v>
      </c>
      <c r="N259" t="n">
        <v>0</v>
      </c>
      <c r="O259" t="n">
        <v>0</v>
      </c>
      <c r="P259" t="n">
        <v>0</v>
      </c>
      <c r="Q259" t="n">
        <v>0</v>
      </c>
      <c r="R259" s="2" t="inlineStr"/>
    </row>
    <row r="260" ht="15" customHeight="1">
      <c r="A260" t="inlineStr">
        <is>
          <t>A 1925-2021</t>
        </is>
      </c>
      <c r="B260" s="1" t="n">
        <v>44210</v>
      </c>
      <c r="C260" s="1" t="n">
        <v>45645</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3584-2021</t>
        </is>
      </c>
      <c r="B261" s="1" t="n">
        <v>44218</v>
      </c>
      <c r="C261" s="1" t="n">
        <v>45645</v>
      </c>
      <c r="D261" t="inlineStr">
        <is>
          <t>NORRBOTTENS LÄN</t>
        </is>
      </c>
      <c r="E261" t="inlineStr">
        <is>
          <t>PAJALA</t>
        </is>
      </c>
      <c r="G261" t="n">
        <v>3.6</v>
      </c>
      <c r="H261" t="n">
        <v>0</v>
      </c>
      <c r="I261" t="n">
        <v>0</v>
      </c>
      <c r="J261" t="n">
        <v>0</v>
      </c>
      <c r="K261" t="n">
        <v>0</v>
      </c>
      <c r="L261" t="n">
        <v>0</v>
      </c>
      <c r="M261" t="n">
        <v>0</v>
      </c>
      <c r="N261" t="n">
        <v>0</v>
      </c>
      <c r="O261" t="n">
        <v>0</v>
      </c>
      <c r="P261" t="n">
        <v>0</v>
      </c>
      <c r="Q261" t="n">
        <v>0</v>
      </c>
      <c r="R261" s="2" t="inlineStr"/>
    </row>
    <row r="262" ht="15" customHeight="1">
      <c r="A262" t="inlineStr">
        <is>
          <t>A 4856-2021</t>
        </is>
      </c>
      <c r="B262" s="1" t="n">
        <v>44223</v>
      </c>
      <c r="C262" s="1" t="n">
        <v>45645</v>
      </c>
      <c r="D262" t="inlineStr">
        <is>
          <t>NORRBOTTENS LÄN</t>
        </is>
      </c>
      <c r="E262" t="inlineStr">
        <is>
          <t>PAJALA</t>
        </is>
      </c>
      <c r="G262" t="n">
        <v>1.7</v>
      </c>
      <c r="H262" t="n">
        <v>0</v>
      </c>
      <c r="I262" t="n">
        <v>0</v>
      </c>
      <c r="J262" t="n">
        <v>0</v>
      </c>
      <c r="K262" t="n">
        <v>0</v>
      </c>
      <c r="L262" t="n">
        <v>0</v>
      </c>
      <c r="M262" t="n">
        <v>0</v>
      </c>
      <c r="N262" t="n">
        <v>0</v>
      </c>
      <c r="O262" t="n">
        <v>0</v>
      </c>
      <c r="P262" t="n">
        <v>0</v>
      </c>
      <c r="Q262" t="n">
        <v>0</v>
      </c>
      <c r="R262" s="2" t="inlineStr"/>
    </row>
    <row r="263" ht="15" customHeight="1">
      <c r="A263" t="inlineStr">
        <is>
          <t>A 4822-2021</t>
        </is>
      </c>
      <c r="B263" s="1" t="n">
        <v>44223</v>
      </c>
      <c r="C263" s="1" t="n">
        <v>45645</v>
      </c>
      <c r="D263" t="inlineStr">
        <is>
          <t>NORRBOTTENS LÄN</t>
        </is>
      </c>
      <c r="E263" t="inlineStr">
        <is>
          <t>PAJALA</t>
        </is>
      </c>
      <c r="G263" t="n">
        <v>0.7</v>
      </c>
      <c r="H263" t="n">
        <v>0</v>
      </c>
      <c r="I263" t="n">
        <v>0</v>
      </c>
      <c r="J263" t="n">
        <v>0</v>
      </c>
      <c r="K263" t="n">
        <v>0</v>
      </c>
      <c r="L263" t="n">
        <v>0</v>
      </c>
      <c r="M263" t="n">
        <v>0</v>
      </c>
      <c r="N263" t="n">
        <v>0</v>
      </c>
      <c r="O263" t="n">
        <v>0</v>
      </c>
      <c r="P263" t="n">
        <v>0</v>
      </c>
      <c r="Q263" t="n">
        <v>0</v>
      </c>
      <c r="R263" s="2" t="inlineStr"/>
    </row>
    <row r="264" ht="15" customHeight="1">
      <c r="A264" t="inlineStr">
        <is>
          <t>A 5938-2021</t>
        </is>
      </c>
      <c r="B264" s="1" t="n">
        <v>44231</v>
      </c>
      <c r="C264" s="1" t="n">
        <v>45645</v>
      </c>
      <c r="D264" t="inlineStr">
        <is>
          <t>NORRBOTTENS LÄN</t>
        </is>
      </c>
      <c r="E264" t="inlineStr">
        <is>
          <t>PAJALA</t>
        </is>
      </c>
      <c r="G264" t="n">
        <v>24.5</v>
      </c>
      <c r="H264" t="n">
        <v>0</v>
      </c>
      <c r="I264" t="n">
        <v>0</v>
      </c>
      <c r="J264" t="n">
        <v>0</v>
      </c>
      <c r="K264" t="n">
        <v>0</v>
      </c>
      <c r="L264" t="n">
        <v>0</v>
      </c>
      <c r="M264" t="n">
        <v>0</v>
      </c>
      <c r="N264" t="n">
        <v>0</v>
      </c>
      <c r="O264" t="n">
        <v>0</v>
      </c>
      <c r="P264" t="n">
        <v>0</v>
      </c>
      <c r="Q264" t="n">
        <v>0</v>
      </c>
      <c r="R264" s="2" t="inlineStr"/>
    </row>
    <row r="265" ht="15" customHeight="1">
      <c r="A265" t="inlineStr">
        <is>
          <t>A 6657-2021</t>
        </is>
      </c>
      <c r="B265" s="1" t="n">
        <v>44236</v>
      </c>
      <c r="C265" s="1" t="n">
        <v>45645</v>
      </c>
      <c r="D265" t="inlineStr">
        <is>
          <t>NORRBOTTENS LÄN</t>
        </is>
      </c>
      <c r="E265" t="inlineStr">
        <is>
          <t>PAJALA</t>
        </is>
      </c>
      <c r="F265" t="inlineStr">
        <is>
          <t>Allmännings- och besparingsskogar</t>
        </is>
      </c>
      <c r="G265" t="n">
        <v>70.59999999999999</v>
      </c>
      <c r="H265" t="n">
        <v>0</v>
      </c>
      <c r="I265" t="n">
        <v>0</v>
      </c>
      <c r="J265" t="n">
        <v>0</v>
      </c>
      <c r="K265" t="n">
        <v>0</v>
      </c>
      <c r="L265" t="n">
        <v>0</v>
      </c>
      <c r="M265" t="n">
        <v>0</v>
      </c>
      <c r="N265" t="n">
        <v>0</v>
      </c>
      <c r="O265" t="n">
        <v>0</v>
      </c>
      <c r="P265" t="n">
        <v>0</v>
      </c>
      <c r="Q265" t="n">
        <v>0</v>
      </c>
      <c r="R265" s="2" t="inlineStr"/>
    </row>
    <row r="266" ht="15" customHeight="1">
      <c r="A266" t="inlineStr">
        <is>
          <t>A 6918-2021</t>
        </is>
      </c>
      <c r="B266" s="1" t="n">
        <v>44237</v>
      </c>
      <c r="C266" s="1" t="n">
        <v>45645</v>
      </c>
      <c r="D266" t="inlineStr">
        <is>
          <t>NORRBOTTENS LÄN</t>
        </is>
      </c>
      <c r="E266" t="inlineStr">
        <is>
          <t>PAJALA</t>
        </is>
      </c>
      <c r="F266" t="inlineStr">
        <is>
          <t>Allmännings- och besparingsskogar</t>
        </is>
      </c>
      <c r="G266" t="n">
        <v>18.1</v>
      </c>
      <c r="H266" t="n">
        <v>0</v>
      </c>
      <c r="I266" t="n">
        <v>0</v>
      </c>
      <c r="J266" t="n">
        <v>0</v>
      </c>
      <c r="K266" t="n">
        <v>0</v>
      </c>
      <c r="L266" t="n">
        <v>0</v>
      </c>
      <c r="M266" t="n">
        <v>0</v>
      </c>
      <c r="N266" t="n">
        <v>0</v>
      </c>
      <c r="O266" t="n">
        <v>0</v>
      </c>
      <c r="P266" t="n">
        <v>0</v>
      </c>
      <c r="Q266" t="n">
        <v>0</v>
      </c>
      <c r="R266" s="2" t="inlineStr"/>
    </row>
    <row r="267" ht="15" customHeight="1">
      <c r="A267" t="inlineStr">
        <is>
          <t>A 13919-2021</t>
        </is>
      </c>
      <c r="B267" s="1" t="n">
        <v>44277</v>
      </c>
      <c r="C267" s="1" t="n">
        <v>45645</v>
      </c>
      <c r="D267" t="inlineStr">
        <is>
          <t>NORRBOTTENS LÄN</t>
        </is>
      </c>
      <c r="E267" t="inlineStr">
        <is>
          <t>PAJALA</t>
        </is>
      </c>
      <c r="F267" t="inlineStr">
        <is>
          <t>Allmännings- och besparingsskogar</t>
        </is>
      </c>
      <c r="G267" t="n">
        <v>10.2</v>
      </c>
      <c r="H267" t="n">
        <v>0</v>
      </c>
      <c r="I267" t="n">
        <v>0</v>
      </c>
      <c r="J267" t="n">
        <v>0</v>
      </c>
      <c r="K267" t="n">
        <v>0</v>
      </c>
      <c r="L267" t="n">
        <v>0</v>
      </c>
      <c r="M267" t="n">
        <v>0</v>
      </c>
      <c r="N267" t="n">
        <v>0</v>
      </c>
      <c r="O267" t="n">
        <v>0</v>
      </c>
      <c r="P267" t="n">
        <v>0</v>
      </c>
      <c r="Q267" t="n">
        <v>0</v>
      </c>
      <c r="R267" s="2" t="inlineStr"/>
    </row>
    <row r="268" ht="15" customHeight="1">
      <c r="A268" t="inlineStr">
        <is>
          <t>A 14309-2021</t>
        </is>
      </c>
      <c r="B268" s="1" t="n">
        <v>44278</v>
      </c>
      <c r="C268" s="1" t="n">
        <v>45645</v>
      </c>
      <c r="D268" t="inlineStr">
        <is>
          <t>NORRBOTTENS LÄN</t>
        </is>
      </c>
      <c r="E268" t="inlineStr">
        <is>
          <t>PAJALA</t>
        </is>
      </c>
      <c r="G268" t="n">
        <v>11.2</v>
      </c>
      <c r="H268" t="n">
        <v>0</v>
      </c>
      <c r="I268" t="n">
        <v>0</v>
      </c>
      <c r="J268" t="n">
        <v>0</v>
      </c>
      <c r="K268" t="n">
        <v>0</v>
      </c>
      <c r="L268" t="n">
        <v>0</v>
      </c>
      <c r="M268" t="n">
        <v>0</v>
      </c>
      <c r="N268" t="n">
        <v>0</v>
      </c>
      <c r="O268" t="n">
        <v>0</v>
      </c>
      <c r="P268" t="n">
        <v>0</v>
      </c>
      <c r="Q268" t="n">
        <v>0</v>
      </c>
      <c r="R268" s="2" t="inlineStr"/>
    </row>
    <row r="269" ht="15" customHeight="1">
      <c r="A269" t="inlineStr">
        <is>
          <t>A 14562-2021</t>
        </is>
      </c>
      <c r="B269" s="1" t="n">
        <v>44279</v>
      </c>
      <c r="C269" s="1" t="n">
        <v>45645</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14513-2021</t>
        </is>
      </c>
      <c r="B270" s="1" t="n">
        <v>44279</v>
      </c>
      <c r="C270" s="1" t="n">
        <v>45645</v>
      </c>
      <c r="D270" t="inlineStr">
        <is>
          <t>NORRBOTTENS LÄN</t>
        </is>
      </c>
      <c r="E270" t="inlineStr">
        <is>
          <t>PAJALA</t>
        </is>
      </c>
      <c r="G270" t="n">
        <v>25.5</v>
      </c>
      <c r="H270" t="n">
        <v>0</v>
      </c>
      <c r="I270" t="n">
        <v>0</v>
      </c>
      <c r="J270" t="n">
        <v>0</v>
      </c>
      <c r="K270" t="n">
        <v>0</v>
      </c>
      <c r="L270" t="n">
        <v>0</v>
      </c>
      <c r="M270" t="n">
        <v>0</v>
      </c>
      <c r="N270" t="n">
        <v>0</v>
      </c>
      <c r="O270" t="n">
        <v>0</v>
      </c>
      <c r="P270" t="n">
        <v>0</v>
      </c>
      <c r="Q270" t="n">
        <v>0</v>
      </c>
      <c r="R270" s="2" t="inlineStr"/>
    </row>
    <row r="271" ht="15" customHeight="1">
      <c r="A271" t="inlineStr">
        <is>
          <t>A 14634-2021</t>
        </is>
      </c>
      <c r="B271" s="1" t="n">
        <v>44279</v>
      </c>
      <c r="C271" s="1" t="n">
        <v>45645</v>
      </c>
      <c r="D271" t="inlineStr">
        <is>
          <t>NORRBOTTENS LÄN</t>
        </is>
      </c>
      <c r="E271" t="inlineStr">
        <is>
          <t>PAJALA</t>
        </is>
      </c>
      <c r="G271" t="n">
        <v>3</v>
      </c>
      <c r="H271" t="n">
        <v>0</v>
      </c>
      <c r="I271" t="n">
        <v>0</v>
      </c>
      <c r="J271" t="n">
        <v>0</v>
      </c>
      <c r="K271" t="n">
        <v>0</v>
      </c>
      <c r="L271" t="n">
        <v>0</v>
      </c>
      <c r="M271" t="n">
        <v>0</v>
      </c>
      <c r="N271" t="n">
        <v>0</v>
      </c>
      <c r="O271" t="n">
        <v>0</v>
      </c>
      <c r="P271" t="n">
        <v>0</v>
      </c>
      <c r="Q271" t="n">
        <v>0</v>
      </c>
      <c r="R271" s="2" t="inlineStr"/>
    </row>
    <row r="272" ht="15" customHeight="1">
      <c r="A272" t="inlineStr">
        <is>
          <t>A 19172-2021</t>
        </is>
      </c>
      <c r="B272" s="1" t="n">
        <v>44308</v>
      </c>
      <c r="C272" s="1" t="n">
        <v>45645</v>
      </c>
      <c r="D272" t="inlineStr">
        <is>
          <t>NORRBOTTENS LÄN</t>
        </is>
      </c>
      <c r="E272" t="inlineStr">
        <is>
          <t>PAJALA</t>
        </is>
      </c>
      <c r="G272" t="n">
        <v>21.9</v>
      </c>
      <c r="H272" t="n">
        <v>0</v>
      </c>
      <c r="I272" t="n">
        <v>0</v>
      </c>
      <c r="J272" t="n">
        <v>0</v>
      </c>
      <c r="K272" t="n">
        <v>0</v>
      </c>
      <c r="L272" t="n">
        <v>0</v>
      </c>
      <c r="M272" t="n">
        <v>0</v>
      </c>
      <c r="N272" t="n">
        <v>0</v>
      </c>
      <c r="O272" t="n">
        <v>0</v>
      </c>
      <c r="P272" t="n">
        <v>0</v>
      </c>
      <c r="Q272" t="n">
        <v>0</v>
      </c>
      <c r="R272" s="2" t="inlineStr"/>
    </row>
    <row r="273" ht="15" customHeight="1">
      <c r="A273" t="inlineStr">
        <is>
          <t>A 21048-2021</t>
        </is>
      </c>
      <c r="B273" s="1" t="n">
        <v>44319</v>
      </c>
      <c r="C273" s="1" t="n">
        <v>45645</v>
      </c>
      <c r="D273" t="inlineStr">
        <is>
          <t>NORRBOTTENS LÄN</t>
        </is>
      </c>
      <c r="E273" t="inlineStr">
        <is>
          <t>PAJALA</t>
        </is>
      </c>
      <c r="F273" t="inlineStr">
        <is>
          <t>Allmännings- och besparingsskogar</t>
        </is>
      </c>
      <c r="G273" t="n">
        <v>26.5</v>
      </c>
      <c r="H273" t="n">
        <v>0</v>
      </c>
      <c r="I273" t="n">
        <v>0</v>
      </c>
      <c r="J273" t="n">
        <v>0</v>
      </c>
      <c r="K273" t="n">
        <v>0</v>
      </c>
      <c r="L273" t="n">
        <v>0</v>
      </c>
      <c r="M273" t="n">
        <v>0</v>
      </c>
      <c r="N273" t="n">
        <v>0</v>
      </c>
      <c r="O273" t="n">
        <v>0</v>
      </c>
      <c r="P273" t="n">
        <v>0</v>
      </c>
      <c r="Q273" t="n">
        <v>0</v>
      </c>
      <c r="R273" s="2" t="inlineStr"/>
    </row>
    <row r="274" ht="15" customHeight="1">
      <c r="A274" t="inlineStr">
        <is>
          <t>A 21196-2021</t>
        </is>
      </c>
      <c r="B274" s="1" t="n">
        <v>44319</v>
      </c>
      <c r="C274" s="1" t="n">
        <v>45645</v>
      </c>
      <c r="D274" t="inlineStr">
        <is>
          <t>NORRBOTTENS LÄN</t>
        </is>
      </c>
      <c r="E274" t="inlineStr">
        <is>
          <t>PAJALA</t>
        </is>
      </c>
      <c r="F274" t="inlineStr">
        <is>
          <t>Allmännings- och besparingsskogar</t>
        </is>
      </c>
      <c r="G274" t="n">
        <v>3.9</v>
      </c>
      <c r="H274" t="n">
        <v>0</v>
      </c>
      <c r="I274" t="n">
        <v>0</v>
      </c>
      <c r="J274" t="n">
        <v>0</v>
      </c>
      <c r="K274" t="n">
        <v>0</v>
      </c>
      <c r="L274" t="n">
        <v>0</v>
      </c>
      <c r="M274" t="n">
        <v>0</v>
      </c>
      <c r="N274" t="n">
        <v>0</v>
      </c>
      <c r="O274" t="n">
        <v>0</v>
      </c>
      <c r="P274" t="n">
        <v>0</v>
      </c>
      <c r="Q274" t="n">
        <v>0</v>
      </c>
      <c r="R274" s="2" t="inlineStr"/>
    </row>
    <row r="275" ht="15" customHeight="1">
      <c r="A275" t="inlineStr">
        <is>
          <t>A 21174-2021</t>
        </is>
      </c>
      <c r="B275" s="1" t="n">
        <v>44319</v>
      </c>
      <c r="C275" s="1" t="n">
        <v>45645</v>
      </c>
      <c r="D275" t="inlineStr">
        <is>
          <t>NORRBOTTENS LÄN</t>
        </is>
      </c>
      <c r="E275" t="inlineStr">
        <is>
          <t>PAJALA</t>
        </is>
      </c>
      <c r="F275" t="inlineStr">
        <is>
          <t>Allmännings- och besparingsskogar</t>
        </is>
      </c>
      <c r="G275" t="n">
        <v>32.1</v>
      </c>
      <c r="H275" t="n">
        <v>0</v>
      </c>
      <c r="I275" t="n">
        <v>0</v>
      </c>
      <c r="J275" t="n">
        <v>0</v>
      </c>
      <c r="K275" t="n">
        <v>0</v>
      </c>
      <c r="L275" t="n">
        <v>0</v>
      </c>
      <c r="M275" t="n">
        <v>0</v>
      </c>
      <c r="N275" t="n">
        <v>0</v>
      </c>
      <c r="O275" t="n">
        <v>0</v>
      </c>
      <c r="P275" t="n">
        <v>0</v>
      </c>
      <c r="Q275" t="n">
        <v>0</v>
      </c>
      <c r="R275" s="2" t="inlineStr"/>
    </row>
    <row r="276" ht="15" customHeight="1">
      <c r="A276" t="inlineStr">
        <is>
          <t>A 21230-2021</t>
        </is>
      </c>
      <c r="B276" s="1" t="n">
        <v>44320</v>
      </c>
      <c r="C276" s="1" t="n">
        <v>45645</v>
      </c>
      <c r="D276" t="inlineStr">
        <is>
          <t>NORRBOTTENS LÄN</t>
        </is>
      </c>
      <c r="E276" t="inlineStr">
        <is>
          <t>PAJALA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21226-2021</t>
        </is>
      </c>
      <c r="B277" s="1" t="n">
        <v>44320</v>
      </c>
      <c r="C277" s="1" t="n">
        <v>45645</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21657-2021</t>
        </is>
      </c>
      <c r="B278" s="1" t="n">
        <v>44322</v>
      </c>
      <c r="C278" s="1" t="n">
        <v>45645</v>
      </c>
      <c r="D278" t="inlineStr">
        <is>
          <t>NORRBOTTENS LÄN</t>
        </is>
      </c>
      <c r="E278" t="inlineStr">
        <is>
          <t>PAJALA</t>
        </is>
      </c>
      <c r="G278" t="n">
        <v>1.9</v>
      </c>
      <c r="H278" t="n">
        <v>0</v>
      </c>
      <c r="I278" t="n">
        <v>0</v>
      </c>
      <c r="J278" t="n">
        <v>0</v>
      </c>
      <c r="K278" t="n">
        <v>0</v>
      </c>
      <c r="L278" t="n">
        <v>0</v>
      </c>
      <c r="M278" t="n">
        <v>0</v>
      </c>
      <c r="N278" t="n">
        <v>0</v>
      </c>
      <c r="O278" t="n">
        <v>0</v>
      </c>
      <c r="P278" t="n">
        <v>0</v>
      </c>
      <c r="Q278" t="n">
        <v>0</v>
      </c>
      <c r="R278" s="2" t="inlineStr"/>
    </row>
    <row r="279" ht="15" customHeight="1">
      <c r="A279" t="inlineStr">
        <is>
          <t>A 23112-2021</t>
        </is>
      </c>
      <c r="B279" s="1" t="n">
        <v>44330</v>
      </c>
      <c r="C279" s="1" t="n">
        <v>45645</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28478-2021</t>
        </is>
      </c>
      <c r="B280" s="1" t="n">
        <v>44356</v>
      </c>
      <c r="C280" s="1" t="n">
        <v>45645</v>
      </c>
      <c r="D280" t="inlineStr">
        <is>
          <t>NORRBOTTENS LÄN</t>
        </is>
      </c>
      <c r="E280" t="inlineStr">
        <is>
          <t>PAJALA</t>
        </is>
      </c>
      <c r="G280" t="n">
        <v>14.8</v>
      </c>
      <c r="H280" t="n">
        <v>0</v>
      </c>
      <c r="I280" t="n">
        <v>0</v>
      </c>
      <c r="J280" t="n">
        <v>0</v>
      </c>
      <c r="K280" t="n">
        <v>0</v>
      </c>
      <c r="L280" t="n">
        <v>0</v>
      </c>
      <c r="M280" t="n">
        <v>0</v>
      </c>
      <c r="N280" t="n">
        <v>0</v>
      </c>
      <c r="O280" t="n">
        <v>0</v>
      </c>
      <c r="P280" t="n">
        <v>0</v>
      </c>
      <c r="Q280" t="n">
        <v>0</v>
      </c>
      <c r="R280" s="2" t="inlineStr"/>
    </row>
    <row r="281" ht="15" customHeight="1">
      <c r="A281" t="inlineStr">
        <is>
          <t>A 28591-2021</t>
        </is>
      </c>
      <c r="B281" s="1" t="n">
        <v>44356</v>
      </c>
      <c r="C281" s="1" t="n">
        <v>45645</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29590-2021</t>
        </is>
      </c>
      <c r="B282" s="1" t="n">
        <v>44362</v>
      </c>
      <c r="C282" s="1" t="n">
        <v>45645</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30551-2021</t>
        </is>
      </c>
      <c r="B283" s="1" t="n">
        <v>44364</v>
      </c>
      <c r="C283" s="1" t="n">
        <v>45645</v>
      </c>
      <c r="D283" t="inlineStr">
        <is>
          <t>NORRBOTTENS LÄN</t>
        </is>
      </c>
      <c r="E283" t="inlineStr">
        <is>
          <t>PAJALA</t>
        </is>
      </c>
      <c r="G283" t="n">
        <v>15.8</v>
      </c>
      <c r="H283" t="n">
        <v>0</v>
      </c>
      <c r="I283" t="n">
        <v>0</v>
      </c>
      <c r="J283" t="n">
        <v>0</v>
      </c>
      <c r="K283" t="n">
        <v>0</v>
      </c>
      <c r="L283" t="n">
        <v>0</v>
      </c>
      <c r="M283" t="n">
        <v>0</v>
      </c>
      <c r="N283" t="n">
        <v>0</v>
      </c>
      <c r="O283" t="n">
        <v>0</v>
      </c>
      <c r="P283" t="n">
        <v>0</v>
      </c>
      <c r="Q283" t="n">
        <v>0</v>
      </c>
      <c r="R283" s="2" t="inlineStr"/>
    </row>
    <row r="284" ht="15" customHeight="1">
      <c r="A284" t="inlineStr">
        <is>
          <t>A 30542-2021</t>
        </is>
      </c>
      <c r="B284" s="1" t="n">
        <v>44364</v>
      </c>
      <c r="C284" s="1" t="n">
        <v>45645</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31686-2021</t>
        </is>
      </c>
      <c r="B285" s="1" t="n">
        <v>44369</v>
      </c>
      <c r="C285" s="1" t="n">
        <v>45645</v>
      </c>
      <c r="D285" t="inlineStr">
        <is>
          <t>NORRBOTTENS LÄN</t>
        </is>
      </c>
      <c r="E285" t="inlineStr">
        <is>
          <t>PAJALA</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31703-2021</t>
        </is>
      </c>
      <c r="B286" s="1" t="n">
        <v>44369</v>
      </c>
      <c r="C286" s="1" t="n">
        <v>45645</v>
      </c>
      <c r="D286" t="inlineStr">
        <is>
          <t>NORRBOTTENS LÄN</t>
        </is>
      </c>
      <c r="E286" t="inlineStr">
        <is>
          <t>PAJALA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31812-2021</t>
        </is>
      </c>
      <c r="B287" s="1" t="n">
        <v>44370</v>
      </c>
      <c r="C287" s="1" t="n">
        <v>45645</v>
      </c>
      <c r="D287" t="inlineStr">
        <is>
          <t>NORRBOTTENS LÄN</t>
        </is>
      </c>
      <c r="E287" t="inlineStr">
        <is>
          <t>PAJALA</t>
        </is>
      </c>
      <c r="G287" t="n">
        <v>13.7</v>
      </c>
      <c r="H287" t="n">
        <v>0</v>
      </c>
      <c r="I287" t="n">
        <v>0</v>
      </c>
      <c r="J287" t="n">
        <v>0</v>
      </c>
      <c r="K287" t="n">
        <v>0</v>
      </c>
      <c r="L287" t="n">
        <v>0</v>
      </c>
      <c r="M287" t="n">
        <v>0</v>
      </c>
      <c r="N287" t="n">
        <v>0</v>
      </c>
      <c r="O287" t="n">
        <v>0</v>
      </c>
      <c r="P287" t="n">
        <v>0</v>
      </c>
      <c r="Q287" t="n">
        <v>0</v>
      </c>
      <c r="R287" s="2" t="inlineStr"/>
    </row>
    <row r="288" ht="15" customHeight="1">
      <c r="A288" t="inlineStr">
        <is>
          <t>A 33176-2021</t>
        </is>
      </c>
      <c r="B288" s="1" t="n">
        <v>44376</v>
      </c>
      <c r="C288" s="1" t="n">
        <v>45645</v>
      </c>
      <c r="D288" t="inlineStr">
        <is>
          <t>NORRBOTTENS LÄN</t>
        </is>
      </c>
      <c r="E288" t="inlineStr">
        <is>
          <t>PAJALA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34085-2021</t>
        </is>
      </c>
      <c r="B289" s="1" t="n">
        <v>44379</v>
      </c>
      <c r="C289" s="1" t="n">
        <v>45645</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34934-2021</t>
        </is>
      </c>
      <c r="B290" s="1" t="n">
        <v>44383</v>
      </c>
      <c r="C290" s="1" t="n">
        <v>45645</v>
      </c>
      <c r="D290" t="inlineStr">
        <is>
          <t>NORRBOTTENS LÄN</t>
        </is>
      </c>
      <c r="E290" t="inlineStr">
        <is>
          <t>PAJALA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34944-2021</t>
        </is>
      </c>
      <c r="B291" s="1" t="n">
        <v>44383</v>
      </c>
      <c r="C291" s="1" t="n">
        <v>45645</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34929-2021</t>
        </is>
      </c>
      <c r="B292" s="1" t="n">
        <v>44383</v>
      </c>
      <c r="C292" s="1" t="n">
        <v>45645</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34938-2021</t>
        </is>
      </c>
      <c r="B293" s="1" t="n">
        <v>44383</v>
      </c>
      <c r="C293" s="1" t="n">
        <v>45645</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34950-2021</t>
        </is>
      </c>
      <c r="B294" s="1" t="n">
        <v>44383</v>
      </c>
      <c r="C294" s="1" t="n">
        <v>45645</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35718-2021</t>
        </is>
      </c>
      <c r="B295" s="1" t="n">
        <v>44385</v>
      </c>
      <c r="C295" s="1" t="n">
        <v>45645</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35908-2021</t>
        </is>
      </c>
      <c r="B296" s="1" t="n">
        <v>44387</v>
      </c>
      <c r="C296" s="1" t="n">
        <v>45645</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36225-2021</t>
        </is>
      </c>
      <c r="B297" s="1" t="n">
        <v>44389</v>
      </c>
      <c r="C297" s="1" t="n">
        <v>45645</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36231-2021</t>
        </is>
      </c>
      <c r="B298" s="1" t="n">
        <v>44389</v>
      </c>
      <c r="C298" s="1" t="n">
        <v>45645</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36612-2021</t>
        </is>
      </c>
      <c r="B299" s="1" t="n">
        <v>44391</v>
      </c>
      <c r="C299" s="1" t="n">
        <v>45645</v>
      </c>
      <c r="D299" t="inlineStr">
        <is>
          <t>NORRBOTTENS LÄN</t>
        </is>
      </c>
      <c r="E299" t="inlineStr">
        <is>
          <t>PAJALA</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36768-2021</t>
        </is>
      </c>
      <c r="B300" s="1" t="n">
        <v>44392</v>
      </c>
      <c r="C300" s="1" t="n">
        <v>45645</v>
      </c>
      <c r="D300" t="inlineStr">
        <is>
          <t>NORRBOTTENS LÄN</t>
        </is>
      </c>
      <c r="E300" t="inlineStr">
        <is>
          <t>PAJALA</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36715-2021</t>
        </is>
      </c>
      <c r="B301" s="1" t="n">
        <v>44392</v>
      </c>
      <c r="C301" s="1" t="n">
        <v>45645</v>
      </c>
      <c r="D301" t="inlineStr">
        <is>
          <t>NORRBOTTENS LÄN</t>
        </is>
      </c>
      <c r="E301" t="inlineStr">
        <is>
          <t>PAJALA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36989-2021</t>
        </is>
      </c>
      <c r="B302" s="1" t="n">
        <v>44393</v>
      </c>
      <c r="C302" s="1" t="n">
        <v>45645</v>
      </c>
      <c r="D302" t="inlineStr">
        <is>
          <t>NORRBOTTENS LÄN</t>
        </is>
      </c>
      <c r="E302" t="inlineStr">
        <is>
          <t>PAJALA</t>
        </is>
      </c>
      <c r="F302" t="inlineStr">
        <is>
          <t>Sveaskog</t>
        </is>
      </c>
      <c r="G302" t="n">
        <v>36.5</v>
      </c>
      <c r="H302" t="n">
        <v>0</v>
      </c>
      <c r="I302" t="n">
        <v>0</v>
      </c>
      <c r="J302" t="n">
        <v>0</v>
      </c>
      <c r="K302" t="n">
        <v>0</v>
      </c>
      <c r="L302" t="n">
        <v>0</v>
      </c>
      <c r="M302" t="n">
        <v>0</v>
      </c>
      <c r="N302" t="n">
        <v>0</v>
      </c>
      <c r="O302" t="n">
        <v>0</v>
      </c>
      <c r="P302" t="n">
        <v>0</v>
      </c>
      <c r="Q302" t="n">
        <v>0</v>
      </c>
      <c r="R302" s="2" t="inlineStr"/>
    </row>
    <row r="303" ht="15" customHeight="1">
      <c r="A303" t="inlineStr">
        <is>
          <t>A 37001-2021</t>
        </is>
      </c>
      <c r="B303" s="1" t="n">
        <v>44393</v>
      </c>
      <c r="C303" s="1" t="n">
        <v>45645</v>
      </c>
      <c r="D303" t="inlineStr">
        <is>
          <t>NORRBOTTENS LÄN</t>
        </is>
      </c>
      <c r="E303" t="inlineStr">
        <is>
          <t>PAJALA</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36991-2021</t>
        </is>
      </c>
      <c r="B304" s="1" t="n">
        <v>44393</v>
      </c>
      <c r="C304" s="1" t="n">
        <v>45645</v>
      </c>
      <c r="D304" t="inlineStr">
        <is>
          <t>NORRBOTTENS LÄN</t>
        </is>
      </c>
      <c r="E304" t="inlineStr">
        <is>
          <t>PAJALA</t>
        </is>
      </c>
      <c r="F304" t="inlineStr">
        <is>
          <t>Sveaskog</t>
        </is>
      </c>
      <c r="G304" t="n">
        <v>10.2</v>
      </c>
      <c r="H304" t="n">
        <v>0</v>
      </c>
      <c r="I304" t="n">
        <v>0</v>
      </c>
      <c r="J304" t="n">
        <v>0</v>
      </c>
      <c r="K304" t="n">
        <v>0</v>
      </c>
      <c r="L304" t="n">
        <v>0</v>
      </c>
      <c r="M304" t="n">
        <v>0</v>
      </c>
      <c r="N304" t="n">
        <v>0</v>
      </c>
      <c r="O304" t="n">
        <v>0</v>
      </c>
      <c r="P304" t="n">
        <v>0</v>
      </c>
      <c r="Q304" t="n">
        <v>0</v>
      </c>
      <c r="R304" s="2" t="inlineStr"/>
    </row>
    <row r="305" ht="15" customHeight="1">
      <c r="A305" t="inlineStr">
        <is>
          <t>A 39025-2021</t>
        </is>
      </c>
      <c r="B305" s="1" t="n">
        <v>44412</v>
      </c>
      <c r="C305" s="1" t="n">
        <v>45645</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39023-2021</t>
        </is>
      </c>
      <c r="B306" s="1" t="n">
        <v>44412</v>
      </c>
      <c r="C306" s="1" t="n">
        <v>45645</v>
      </c>
      <c r="D306" t="inlineStr">
        <is>
          <t>NORRBOTTENS LÄN</t>
        </is>
      </c>
      <c r="E306" t="inlineStr">
        <is>
          <t>PAJALA</t>
        </is>
      </c>
      <c r="G306" t="n">
        <v>16.6</v>
      </c>
      <c r="H306" t="n">
        <v>0</v>
      </c>
      <c r="I306" t="n">
        <v>0</v>
      </c>
      <c r="J306" t="n">
        <v>0</v>
      </c>
      <c r="K306" t="n">
        <v>0</v>
      </c>
      <c r="L306" t="n">
        <v>0</v>
      </c>
      <c r="M306" t="n">
        <v>0</v>
      </c>
      <c r="N306" t="n">
        <v>0</v>
      </c>
      <c r="O306" t="n">
        <v>0</v>
      </c>
      <c r="P306" t="n">
        <v>0</v>
      </c>
      <c r="Q306" t="n">
        <v>0</v>
      </c>
      <c r="R306" s="2" t="inlineStr"/>
    </row>
    <row r="307" ht="15" customHeight="1">
      <c r="A307" t="inlineStr">
        <is>
          <t>A 39286-2021</t>
        </is>
      </c>
      <c r="B307" s="1" t="n">
        <v>44413</v>
      </c>
      <c r="C307" s="1" t="n">
        <v>45645</v>
      </c>
      <c r="D307" t="inlineStr">
        <is>
          <t>NORRBOTTENS LÄN</t>
        </is>
      </c>
      <c r="E307" t="inlineStr">
        <is>
          <t>PAJALA</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39658-2021</t>
        </is>
      </c>
      <c r="B308" s="1" t="n">
        <v>44417</v>
      </c>
      <c r="C308" s="1" t="n">
        <v>45645</v>
      </c>
      <c r="D308" t="inlineStr">
        <is>
          <t>NORRBOTTENS LÄN</t>
        </is>
      </c>
      <c r="E308" t="inlineStr">
        <is>
          <t>PAJALA</t>
        </is>
      </c>
      <c r="F308" t="inlineStr">
        <is>
          <t>Sveaskog</t>
        </is>
      </c>
      <c r="G308" t="n">
        <v>62.9</v>
      </c>
      <c r="H308" t="n">
        <v>0</v>
      </c>
      <c r="I308" t="n">
        <v>0</v>
      </c>
      <c r="J308" t="n">
        <v>0</v>
      </c>
      <c r="K308" t="n">
        <v>0</v>
      </c>
      <c r="L308" t="n">
        <v>0</v>
      </c>
      <c r="M308" t="n">
        <v>0</v>
      </c>
      <c r="N308" t="n">
        <v>0</v>
      </c>
      <c r="O308" t="n">
        <v>0</v>
      </c>
      <c r="P308" t="n">
        <v>0</v>
      </c>
      <c r="Q308" t="n">
        <v>0</v>
      </c>
      <c r="R308" s="2" t="inlineStr"/>
    </row>
    <row r="309" ht="15" customHeight="1">
      <c r="A309" t="inlineStr">
        <is>
          <t>A 39894-2021</t>
        </is>
      </c>
      <c r="B309" s="1" t="n">
        <v>44417</v>
      </c>
      <c r="C309" s="1" t="n">
        <v>45645</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39902-2021</t>
        </is>
      </c>
      <c r="B310" s="1" t="n">
        <v>44417</v>
      </c>
      <c r="C310" s="1" t="n">
        <v>45645</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39897-2021</t>
        </is>
      </c>
      <c r="B311" s="1" t="n">
        <v>44417</v>
      </c>
      <c r="C311" s="1" t="n">
        <v>45645</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39907-2021</t>
        </is>
      </c>
      <c r="B312" s="1" t="n">
        <v>44417</v>
      </c>
      <c r="C312" s="1" t="n">
        <v>45645</v>
      </c>
      <c r="D312" t="inlineStr">
        <is>
          <t>NORRBOTTENS LÄN</t>
        </is>
      </c>
      <c r="E312" t="inlineStr">
        <is>
          <t>PAJALA</t>
        </is>
      </c>
      <c r="G312" t="n">
        <v>20.5</v>
      </c>
      <c r="H312" t="n">
        <v>0</v>
      </c>
      <c r="I312" t="n">
        <v>0</v>
      </c>
      <c r="J312" t="n">
        <v>0</v>
      </c>
      <c r="K312" t="n">
        <v>0</v>
      </c>
      <c r="L312" t="n">
        <v>0</v>
      </c>
      <c r="M312" t="n">
        <v>0</v>
      </c>
      <c r="N312" t="n">
        <v>0</v>
      </c>
      <c r="O312" t="n">
        <v>0</v>
      </c>
      <c r="P312" t="n">
        <v>0</v>
      </c>
      <c r="Q312" t="n">
        <v>0</v>
      </c>
      <c r="R312" s="2" t="inlineStr"/>
    </row>
    <row r="313" ht="15" customHeight="1">
      <c r="A313" t="inlineStr">
        <is>
          <t>A 39901-2021</t>
        </is>
      </c>
      <c r="B313" s="1" t="n">
        <v>44417</v>
      </c>
      <c r="C313" s="1" t="n">
        <v>45645</v>
      </c>
      <c r="D313" t="inlineStr">
        <is>
          <t>NORRBOTTENS LÄN</t>
        </is>
      </c>
      <c r="E313" t="inlineStr">
        <is>
          <t>PAJALA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39905-2021</t>
        </is>
      </c>
      <c r="B314" s="1" t="n">
        <v>44417</v>
      </c>
      <c r="C314" s="1" t="n">
        <v>45645</v>
      </c>
      <c r="D314" t="inlineStr">
        <is>
          <t>NORRBOTTENS LÄN</t>
        </is>
      </c>
      <c r="E314" t="inlineStr">
        <is>
          <t>PAJALA</t>
        </is>
      </c>
      <c r="G314" t="n">
        <v>3.3</v>
      </c>
      <c r="H314" t="n">
        <v>0</v>
      </c>
      <c r="I314" t="n">
        <v>0</v>
      </c>
      <c r="J314" t="n">
        <v>0</v>
      </c>
      <c r="K314" t="n">
        <v>0</v>
      </c>
      <c r="L314" t="n">
        <v>0</v>
      </c>
      <c r="M314" t="n">
        <v>0</v>
      </c>
      <c r="N314" t="n">
        <v>0</v>
      </c>
      <c r="O314" t="n">
        <v>0</v>
      </c>
      <c r="P314" t="n">
        <v>0</v>
      </c>
      <c r="Q314" t="n">
        <v>0</v>
      </c>
      <c r="R314" s="2" t="inlineStr"/>
    </row>
    <row r="315" ht="15" customHeight="1">
      <c r="A315" t="inlineStr">
        <is>
          <t>A 39912-2021</t>
        </is>
      </c>
      <c r="B315" s="1" t="n">
        <v>44417</v>
      </c>
      <c r="C315" s="1" t="n">
        <v>45645</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39899-2021</t>
        </is>
      </c>
      <c r="B316" s="1" t="n">
        <v>44417</v>
      </c>
      <c r="C316" s="1" t="n">
        <v>45645</v>
      </c>
      <c r="D316" t="inlineStr">
        <is>
          <t>NORRBOTTENS LÄN</t>
        </is>
      </c>
      <c r="E316" t="inlineStr">
        <is>
          <t>PAJALA</t>
        </is>
      </c>
      <c r="G316" t="n">
        <v>6</v>
      </c>
      <c r="H316" t="n">
        <v>0</v>
      </c>
      <c r="I316" t="n">
        <v>0</v>
      </c>
      <c r="J316" t="n">
        <v>0</v>
      </c>
      <c r="K316" t="n">
        <v>0</v>
      </c>
      <c r="L316" t="n">
        <v>0</v>
      </c>
      <c r="M316" t="n">
        <v>0</v>
      </c>
      <c r="N316" t="n">
        <v>0</v>
      </c>
      <c r="O316" t="n">
        <v>0</v>
      </c>
      <c r="P316" t="n">
        <v>0</v>
      </c>
      <c r="Q316" t="n">
        <v>0</v>
      </c>
      <c r="R316" s="2" t="inlineStr"/>
    </row>
    <row r="317" ht="15" customHeight="1">
      <c r="A317" t="inlineStr">
        <is>
          <t>A 39904-2021</t>
        </is>
      </c>
      <c r="B317" s="1" t="n">
        <v>44417</v>
      </c>
      <c r="C317" s="1" t="n">
        <v>45645</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39908-2021</t>
        </is>
      </c>
      <c r="B318" s="1" t="n">
        <v>44417</v>
      </c>
      <c r="C318" s="1" t="n">
        <v>45645</v>
      </c>
      <c r="D318" t="inlineStr">
        <is>
          <t>NORRBOTTENS LÄN</t>
        </is>
      </c>
      <c r="E318" t="inlineStr">
        <is>
          <t>PAJALA</t>
        </is>
      </c>
      <c r="G318" t="n">
        <v>5.5</v>
      </c>
      <c r="H318" t="n">
        <v>0</v>
      </c>
      <c r="I318" t="n">
        <v>0</v>
      </c>
      <c r="J318" t="n">
        <v>0</v>
      </c>
      <c r="K318" t="n">
        <v>0</v>
      </c>
      <c r="L318" t="n">
        <v>0</v>
      </c>
      <c r="M318" t="n">
        <v>0</v>
      </c>
      <c r="N318" t="n">
        <v>0</v>
      </c>
      <c r="O318" t="n">
        <v>0</v>
      </c>
      <c r="P318" t="n">
        <v>0</v>
      </c>
      <c r="Q318" t="n">
        <v>0</v>
      </c>
      <c r="R318" s="2" t="inlineStr"/>
    </row>
    <row r="319" ht="15" customHeight="1">
      <c r="A319" t="inlineStr">
        <is>
          <t>A 40041-2021</t>
        </is>
      </c>
      <c r="B319" s="1" t="n">
        <v>44417</v>
      </c>
      <c r="C319" s="1" t="n">
        <v>45645</v>
      </c>
      <c r="D319" t="inlineStr">
        <is>
          <t>NORRBOTTENS LÄN</t>
        </is>
      </c>
      <c r="E319" t="inlineStr">
        <is>
          <t>PAJALA</t>
        </is>
      </c>
      <c r="G319" t="n">
        <v>26.1</v>
      </c>
      <c r="H319" t="n">
        <v>0</v>
      </c>
      <c r="I319" t="n">
        <v>0</v>
      </c>
      <c r="J319" t="n">
        <v>0</v>
      </c>
      <c r="K319" t="n">
        <v>0</v>
      </c>
      <c r="L319" t="n">
        <v>0</v>
      </c>
      <c r="M319" t="n">
        <v>0</v>
      </c>
      <c r="N319" t="n">
        <v>0</v>
      </c>
      <c r="O319" t="n">
        <v>0</v>
      </c>
      <c r="P319" t="n">
        <v>0</v>
      </c>
      <c r="Q319" t="n">
        <v>0</v>
      </c>
      <c r="R319" s="2" t="inlineStr"/>
    </row>
    <row r="320" ht="15" customHeight="1">
      <c r="A320" t="inlineStr">
        <is>
          <t>A 40179-2021</t>
        </is>
      </c>
      <c r="B320" s="1" t="n">
        <v>44418</v>
      </c>
      <c r="C320" s="1" t="n">
        <v>45645</v>
      </c>
      <c r="D320" t="inlineStr">
        <is>
          <t>NORRBOTTENS LÄN</t>
        </is>
      </c>
      <c r="E320" t="inlineStr">
        <is>
          <t>PAJALA</t>
        </is>
      </c>
      <c r="G320" t="n">
        <v>4.1</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v>
      </c>
      <c r="C321" s="1" t="n">
        <v>45645</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41308-2021</t>
        </is>
      </c>
      <c r="B322" s="1" t="n">
        <v>44424</v>
      </c>
      <c r="C322" s="1" t="n">
        <v>45645</v>
      </c>
      <c r="D322" t="inlineStr">
        <is>
          <t>NORRBOTTENS LÄN</t>
        </is>
      </c>
      <c r="E322" t="inlineStr">
        <is>
          <t>PAJALA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41350-2021</t>
        </is>
      </c>
      <c r="B323" s="1" t="n">
        <v>44424</v>
      </c>
      <c r="C323" s="1" t="n">
        <v>45645</v>
      </c>
      <c r="D323" t="inlineStr">
        <is>
          <t>NORRBOTTENS LÄN</t>
        </is>
      </c>
      <c r="E323" t="inlineStr">
        <is>
          <t>PAJALA</t>
        </is>
      </c>
      <c r="G323" t="n">
        <v>9.4</v>
      </c>
      <c r="H323" t="n">
        <v>0</v>
      </c>
      <c r="I323" t="n">
        <v>0</v>
      </c>
      <c r="J323" t="n">
        <v>0</v>
      </c>
      <c r="K323" t="n">
        <v>0</v>
      </c>
      <c r="L323" t="n">
        <v>0</v>
      </c>
      <c r="M323" t="n">
        <v>0</v>
      </c>
      <c r="N323" t="n">
        <v>0</v>
      </c>
      <c r="O323" t="n">
        <v>0</v>
      </c>
      <c r="P323" t="n">
        <v>0</v>
      </c>
      <c r="Q323" t="n">
        <v>0</v>
      </c>
      <c r="R323" s="2" t="inlineStr"/>
    </row>
    <row r="324" ht="15" customHeight="1">
      <c r="A324" t="inlineStr">
        <is>
          <t>A 41827-2021</t>
        </is>
      </c>
      <c r="B324" s="1" t="n">
        <v>44426</v>
      </c>
      <c r="C324" s="1" t="n">
        <v>45645</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41828-2021</t>
        </is>
      </c>
      <c r="B325" s="1" t="n">
        <v>44426</v>
      </c>
      <c r="C325" s="1" t="n">
        <v>45645</v>
      </c>
      <c r="D325" t="inlineStr">
        <is>
          <t>NORRBOTTENS LÄN</t>
        </is>
      </c>
      <c r="E325" t="inlineStr">
        <is>
          <t>PAJALA</t>
        </is>
      </c>
      <c r="G325" t="n">
        <v>3.5</v>
      </c>
      <c r="H325" t="n">
        <v>0</v>
      </c>
      <c r="I325" t="n">
        <v>0</v>
      </c>
      <c r="J325" t="n">
        <v>0</v>
      </c>
      <c r="K325" t="n">
        <v>0</v>
      </c>
      <c r="L325" t="n">
        <v>0</v>
      </c>
      <c r="M325" t="n">
        <v>0</v>
      </c>
      <c r="N325" t="n">
        <v>0</v>
      </c>
      <c r="O325" t="n">
        <v>0</v>
      </c>
      <c r="P325" t="n">
        <v>0</v>
      </c>
      <c r="Q325" t="n">
        <v>0</v>
      </c>
      <c r="R325" s="2" t="inlineStr"/>
    </row>
    <row r="326" ht="15" customHeight="1">
      <c r="A326" t="inlineStr">
        <is>
          <t>A 42288-2021</t>
        </is>
      </c>
      <c r="B326" s="1" t="n">
        <v>44427</v>
      </c>
      <c r="C326" s="1" t="n">
        <v>45645</v>
      </c>
      <c r="D326" t="inlineStr">
        <is>
          <t>NORRBOTTENS LÄN</t>
        </is>
      </c>
      <c r="E326" t="inlineStr">
        <is>
          <t>PAJALA</t>
        </is>
      </c>
      <c r="F326" t="inlineStr">
        <is>
          <t>Sveaskog</t>
        </is>
      </c>
      <c r="G326" t="n">
        <v>37.3</v>
      </c>
      <c r="H326" t="n">
        <v>0</v>
      </c>
      <c r="I326" t="n">
        <v>0</v>
      </c>
      <c r="J326" t="n">
        <v>0</v>
      </c>
      <c r="K326" t="n">
        <v>0</v>
      </c>
      <c r="L326" t="n">
        <v>0</v>
      </c>
      <c r="M326" t="n">
        <v>0</v>
      </c>
      <c r="N326" t="n">
        <v>0</v>
      </c>
      <c r="O326" t="n">
        <v>0</v>
      </c>
      <c r="P326" t="n">
        <v>0</v>
      </c>
      <c r="Q326" t="n">
        <v>0</v>
      </c>
      <c r="R326" s="2" t="inlineStr"/>
    </row>
    <row r="327" ht="15" customHeight="1">
      <c r="A327" t="inlineStr">
        <is>
          <t>A 42320-2021</t>
        </is>
      </c>
      <c r="B327" s="1" t="n">
        <v>44427</v>
      </c>
      <c r="C327" s="1" t="n">
        <v>45645</v>
      </c>
      <c r="D327" t="inlineStr">
        <is>
          <t>NORRBOTTENS LÄN</t>
        </is>
      </c>
      <c r="E327" t="inlineStr">
        <is>
          <t>PAJALA</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42335-2021</t>
        </is>
      </c>
      <c r="B328" s="1" t="n">
        <v>44427</v>
      </c>
      <c r="C328" s="1" t="n">
        <v>45645</v>
      </c>
      <c r="D328" t="inlineStr">
        <is>
          <t>NORRBOTTENS LÄN</t>
        </is>
      </c>
      <c r="E328" t="inlineStr">
        <is>
          <t>PAJALA</t>
        </is>
      </c>
      <c r="G328" t="n">
        <v>9.5</v>
      </c>
      <c r="H328" t="n">
        <v>0</v>
      </c>
      <c r="I328" t="n">
        <v>0</v>
      </c>
      <c r="J328" t="n">
        <v>0</v>
      </c>
      <c r="K328" t="n">
        <v>0</v>
      </c>
      <c r="L328" t="n">
        <v>0</v>
      </c>
      <c r="M328" t="n">
        <v>0</v>
      </c>
      <c r="N328" t="n">
        <v>0</v>
      </c>
      <c r="O328" t="n">
        <v>0</v>
      </c>
      <c r="P328" t="n">
        <v>0</v>
      </c>
      <c r="Q328" t="n">
        <v>0</v>
      </c>
      <c r="R328" s="2" t="inlineStr"/>
    </row>
    <row r="329" ht="15" customHeight="1">
      <c r="A329" t="inlineStr">
        <is>
          <t>A 45018-2021</t>
        </is>
      </c>
      <c r="B329" s="1" t="n">
        <v>44438</v>
      </c>
      <c r="C329" s="1" t="n">
        <v>45645</v>
      </c>
      <c r="D329" t="inlineStr">
        <is>
          <t>NORRBOTTENS LÄN</t>
        </is>
      </c>
      <c r="E329" t="inlineStr">
        <is>
          <t>PAJALA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45966-2021</t>
        </is>
      </c>
      <c r="B330" s="1" t="n">
        <v>44441</v>
      </c>
      <c r="C330" s="1" t="n">
        <v>45645</v>
      </c>
      <c r="D330" t="inlineStr">
        <is>
          <t>NORRBOTTENS LÄN</t>
        </is>
      </c>
      <c r="E330" t="inlineStr">
        <is>
          <t>PAJALA</t>
        </is>
      </c>
      <c r="G330" t="n">
        <v>18.6</v>
      </c>
      <c r="H330" t="n">
        <v>0</v>
      </c>
      <c r="I330" t="n">
        <v>0</v>
      </c>
      <c r="J330" t="n">
        <v>0</v>
      </c>
      <c r="K330" t="n">
        <v>0</v>
      </c>
      <c r="L330" t="n">
        <v>0</v>
      </c>
      <c r="M330" t="n">
        <v>0</v>
      </c>
      <c r="N330" t="n">
        <v>0</v>
      </c>
      <c r="O330" t="n">
        <v>0</v>
      </c>
      <c r="P330" t="n">
        <v>0</v>
      </c>
      <c r="Q330" t="n">
        <v>0</v>
      </c>
      <c r="R330" s="2" t="inlineStr"/>
    </row>
    <row r="331" ht="15" customHeight="1">
      <c r="A331" t="inlineStr">
        <is>
          <t>A 46259-2021</t>
        </is>
      </c>
      <c r="B331" s="1" t="n">
        <v>44442</v>
      </c>
      <c r="C331" s="1" t="n">
        <v>45645</v>
      </c>
      <c r="D331" t="inlineStr">
        <is>
          <t>NORRBOTTENS LÄN</t>
        </is>
      </c>
      <c r="E331" t="inlineStr">
        <is>
          <t>PAJALA</t>
        </is>
      </c>
      <c r="G331" t="n">
        <v>15.3</v>
      </c>
      <c r="H331" t="n">
        <v>0</v>
      </c>
      <c r="I331" t="n">
        <v>0</v>
      </c>
      <c r="J331" t="n">
        <v>0</v>
      </c>
      <c r="K331" t="n">
        <v>0</v>
      </c>
      <c r="L331" t="n">
        <v>0</v>
      </c>
      <c r="M331" t="n">
        <v>0</v>
      </c>
      <c r="N331" t="n">
        <v>0</v>
      </c>
      <c r="O331" t="n">
        <v>0</v>
      </c>
      <c r="P331" t="n">
        <v>0</v>
      </c>
      <c r="Q331" t="n">
        <v>0</v>
      </c>
      <c r="R331" s="2" t="inlineStr"/>
    </row>
    <row r="332" ht="15" customHeight="1">
      <c r="A332" t="inlineStr">
        <is>
          <t>A 48211-2021</t>
        </is>
      </c>
      <c r="B332" s="1" t="n">
        <v>44449</v>
      </c>
      <c r="C332" s="1" t="n">
        <v>45645</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48335-2021</t>
        </is>
      </c>
      <c r="B333" s="1" t="n">
        <v>44451</v>
      </c>
      <c r="C333" s="1" t="n">
        <v>45645</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48366-2021</t>
        </is>
      </c>
      <c r="B334" s="1" t="n">
        <v>44451</v>
      </c>
      <c r="C334" s="1" t="n">
        <v>45645</v>
      </c>
      <c r="D334" t="inlineStr">
        <is>
          <t>NORRBOTTENS LÄN</t>
        </is>
      </c>
      <c r="E334" t="inlineStr">
        <is>
          <t>PAJALA</t>
        </is>
      </c>
      <c r="G334" t="n">
        <v>14.3</v>
      </c>
      <c r="H334" t="n">
        <v>0</v>
      </c>
      <c r="I334" t="n">
        <v>0</v>
      </c>
      <c r="J334" t="n">
        <v>0</v>
      </c>
      <c r="K334" t="n">
        <v>0</v>
      </c>
      <c r="L334" t="n">
        <v>0</v>
      </c>
      <c r="M334" t="n">
        <v>0</v>
      </c>
      <c r="N334" t="n">
        <v>0</v>
      </c>
      <c r="O334" t="n">
        <v>0</v>
      </c>
      <c r="P334" t="n">
        <v>0</v>
      </c>
      <c r="Q334" t="n">
        <v>0</v>
      </c>
      <c r="R334" s="2" t="inlineStr"/>
    </row>
    <row r="335" ht="15" customHeight="1">
      <c r="A335" t="inlineStr">
        <is>
          <t>A 48370-2021</t>
        </is>
      </c>
      <c r="B335" s="1" t="n">
        <v>44451</v>
      </c>
      <c r="C335" s="1" t="n">
        <v>45645</v>
      </c>
      <c r="D335" t="inlineStr">
        <is>
          <t>NORRBOTTENS LÄN</t>
        </is>
      </c>
      <c r="E335" t="inlineStr">
        <is>
          <t>PAJALA</t>
        </is>
      </c>
      <c r="G335" t="n">
        <v>26.6</v>
      </c>
      <c r="H335" t="n">
        <v>0</v>
      </c>
      <c r="I335" t="n">
        <v>0</v>
      </c>
      <c r="J335" t="n">
        <v>0</v>
      </c>
      <c r="K335" t="n">
        <v>0</v>
      </c>
      <c r="L335" t="n">
        <v>0</v>
      </c>
      <c r="M335" t="n">
        <v>0</v>
      </c>
      <c r="N335" t="n">
        <v>0</v>
      </c>
      <c r="O335" t="n">
        <v>0</v>
      </c>
      <c r="P335" t="n">
        <v>0</v>
      </c>
      <c r="Q335" t="n">
        <v>0</v>
      </c>
      <c r="R335" s="2" t="inlineStr"/>
    </row>
    <row r="336" ht="15" customHeight="1">
      <c r="A336" t="inlineStr">
        <is>
          <t>A 48369-2021</t>
        </is>
      </c>
      <c r="B336" s="1" t="n">
        <v>44451</v>
      </c>
      <c r="C336" s="1" t="n">
        <v>45645</v>
      </c>
      <c r="D336" t="inlineStr">
        <is>
          <t>NORRBOTTENS LÄN</t>
        </is>
      </c>
      <c r="E336" t="inlineStr">
        <is>
          <t>PAJALA</t>
        </is>
      </c>
      <c r="G336" t="n">
        <v>5.3</v>
      </c>
      <c r="H336" t="n">
        <v>0</v>
      </c>
      <c r="I336" t="n">
        <v>0</v>
      </c>
      <c r="J336" t="n">
        <v>0</v>
      </c>
      <c r="K336" t="n">
        <v>0</v>
      </c>
      <c r="L336" t="n">
        <v>0</v>
      </c>
      <c r="M336" t="n">
        <v>0</v>
      </c>
      <c r="N336" t="n">
        <v>0</v>
      </c>
      <c r="O336" t="n">
        <v>0</v>
      </c>
      <c r="P336" t="n">
        <v>0</v>
      </c>
      <c r="Q336" t="n">
        <v>0</v>
      </c>
      <c r="R336" s="2" t="inlineStr"/>
    </row>
    <row r="337" ht="15" customHeight="1">
      <c r="A337" t="inlineStr">
        <is>
          <t>A 48364-2021</t>
        </is>
      </c>
      <c r="B337" s="1" t="n">
        <v>44451</v>
      </c>
      <c r="C337" s="1" t="n">
        <v>45645</v>
      </c>
      <c r="D337" t="inlineStr">
        <is>
          <t>NORRBOTTENS LÄN</t>
        </is>
      </c>
      <c r="E337" t="inlineStr">
        <is>
          <t>PAJALA</t>
        </is>
      </c>
      <c r="G337" t="n">
        <v>7.8</v>
      </c>
      <c r="H337" t="n">
        <v>0</v>
      </c>
      <c r="I337" t="n">
        <v>0</v>
      </c>
      <c r="J337" t="n">
        <v>0</v>
      </c>
      <c r="K337" t="n">
        <v>0</v>
      </c>
      <c r="L337" t="n">
        <v>0</v>
      </c>
      <c r="M337" t="n">
        <v>0</v>
      </c>
      <c r="N337" t="n">
        <v>0</v>
      </c>
      <c r="O337" t="n">
        <v>0</v>
      </c>
      <c r="P337" t="n">
        <v>0</v>
      </c>
      <c r="Q337" t="n">
        <v>0</v>
      </c>
      <c r="R337" s="2" t="inlineStr"/>
    </row>
    <row r="338" ht="15" customHeight="1">
      <c r="A338" t="inlineStr">
        <is>
          <t>A 48368-2021</t>
        </is>
      </c>
      <c r="B338" s="1" t="n">
        <v>44451</v>
      </c>
      <c r="C338" s="1" t="n">
        <v>45645</v>
      </c>
      <c r="D338" t="inlineStr">
        <is>
          <t>NORRBOTTENS LÄN</t>
        </is>
      </c>
      <c r="E338" t="inlineStr">
        <is>
          <t>PAJALA</t>
        </is>
      </c>
      <c r="G338" t="n">
        <v>4.2</v>
      </c>
      <c r="H338" t="n">
        <v>0</v>
      </c>
      <c r="I338" t="n">
        <v>0</v>
      </c>
      <c r="J338" t="n">
        <v>0</v>
      </c>
      <c r="K338" t="n">
        <v>0</v>
      </c>
      <c r="L338" t="n">
        <v>0</v>
      </c>
      <c r="M338" t="n">
        <v>0</v>
      </c>
      <c r="N338" t="n">
        <v>0</v>
      </c>
      <c r="O338" t="n">
        <v>0</v>
      </c>
      <c r="P338" t="n">
        <v>0</v>
      </c>
      <c r="Q338" t="n">
        <v>0</v>
      </c>
      <c r="R338" s="2" t="inlineStr"/>
    </row>
    <row r="339" ht="15" customHeight="1">
      <c r="A339" t="inlineStr">
        <is>
          <t>A 48367-2021</t>
        </is>
      </c>
      <c r="B339" s="1" t="n">
        <v>44451</v>
      </c>
      <c r="C339" s="1" t="n">
        <v>45645</v>
      </c>
      <c r="D339" t="inlineStr">
        <is>
          <t>NORRBOTTENS LÄN</t>
        </is>
      </c>
      <c r="E339" t="inlineStr">
        <is>
          <t>PAJALA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48372-2021</t>
        </is>
      </c>
      <c r="B340" s="1" t="n">
        <v>44451</v>
      </c>
      <c r="C340" s="1" t="n">
        <v>45645</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49042-2021</t>
        </is>
      </c>
      <c r="B341" s="1" t="n">
        <v>44453</v>
      </c>
      <c r="C341" s="1" t="n">
        <v>45645</v>
      </c>
      <c r="D341" t="inlineStr">
        <is>
          <t>NORRBOTTENS LÄN</t>
        </is>
      </c>
      <c r="E341" t="inlineStr">
        <is>
          <t>PAJALA</t>
        </is>
      </c>
      <c r="G341" t="n">
        <v>117.4</v>
      </c>
      <c r="H341" t="n">
        <v>0</v>
      </c>
      <c r="I341" t="n">
        <v>0</v>
      </c>
      <c r="J341" t="n">
        <v>0</v>
      </c>
      <c r="K341" t="n">
        <v>0</v>
      </c>
      <c r="L341" t="n">
        <v>0</v>
      </c>
      <c r="M341" t="n">
        <v>0</v>
      </c>
      <c r="N341" t="n">
        <v>0</v>
      </c>
      <c r="O341" t="n">
        <v>0</v>
      </c>
      <c r="P341" t="n">
        <v>0</v>
      </c>
      <c r="Q341" t="n">
        <v>0</v>
      </c>
      <c r="R341" s="2" t="inlineStr"/>
    </row>
    <row r="342" ht="15" customHeight="1">
      <c r="A342" t="inlineStr">
        <is>
          <t>A 50304-2021</t>
        </is>
      </c>
      <c r="B342" s="1" t="n">
        <v>44455</v>
      </c>
      <c r="C342" s="1" t="n">
        <v>45645</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50537-2021</t>
        </is>
      </c>
      <c r="B343" s="1" t="n">
        <v>44459</v>
      </c>
      <c r="C343" s="1" t="n">
        <v>45645</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50861-2021</t>
        </is>
      </c>
      <c r="B344" s="1" t="n">
        <v>44459</v>
      </c>
      <c r="C344" s="1" t="n">
        <v>45645</v>
      </c>
      <c r="D344" t="inlineStr">
        <is>
          <t>NORRBOTTENS LÄN</t>
        </is>
      </c>
      <c r="E344" t="inlineStr">
        <is>
          <t>PAJALA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52147-2021</t>
        </is>
      </c>
      <c r="B345" s="1" t="n">
        <v>44462</v>
      </c>
      <c r="C345" s="1" t="n">
        <v>45645</v>
      </c>
      <c r="D345" t="inlineStr">
        <is>
          <t>NORRBOTTENS LÄN</t>
        </is>
      </c>
      <c r="E345" t="inlineStr">
        <is>
          <t>PAJALA</t>
        </is>
      </c>
      <c r="G345" t="n">
        <v>0.7</v>
      </c>
      <c r="H345" t="n">
        <v>0</v>
      </c>
      <c r="I345" t="n">
        <v>0</v>
      </c>
      <c r="J345" t="n">
        <v>0</v>
      </c>
      <c r="K345" t="n">
        <v>0</v>
      </c>
      <c r="L345" t="n">
        <v>0</v>
      </c>
      <c r="M345" t="n">
        <v>0</v>
      </c>
      <c r="N345" t="n">
        <v>0</v>
      </c>
      <c r="O345" t="n">
        <v>0</v>
      </c>
      <c r="P345" t="n">
        <v>0</v>
      </c>
      <c r="Q345" t="n">
        <v>0</v>
      </c>
      <c r="R345" s="2" t="inlineStr"/>
    </row>
    <row r="346" ht="15" customHeight="1">
      <c r="A346" t="inlineStr">
        <is>
          <t>A 52337-2021</t>
        </is>
      </c>
      <c r="B346" s="1" t="n">
        <v>44464</v>
      </c>
      <c r="C346" s="1" t="n">
        <v>45645</v>
      </c>
      <c r="D346" t="inlineStr">
        <is>
          <t>NORRBOTTENS LÄN</t>
        </is>
      </c>
      <c r="E346" t="inlineStr">
        <is>
          <t>PAJALA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52338-2021</t>
        </is>
      </c>
      <c r="B347" s="1" t="n">
        <v>44464</v>
      </c>
      <c r="C347" s="1" t="n">
        <v>45645</v>
      </c>
      <c r="D347" t="inlineStr">
        <is>
          <t>NORRBOTTENS LÄN</t>
        </is>
      </c>
      <c r="E347" t="inlineStr">
        <is>
          <t>PAJALA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52405-2021</t>
        </is>
      </c>
      <c r="B348" s="1" t="n">
        <v>44466</v>
      </c>
      <c r="C348" s="1" t="n">
        <v>45645</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52783-2021</t>
        </is>
      </c>
      <c r="B349" s="1" t="n">
        <v>44467</v>
      </c>
      <c r="C349" s="1" t="n">
        <v>45645</v>
      </c>
      <c r="D349" t="inlineStr">
        <is>
          <t>NORRBOTTENS LÄN</t>
        </is>
      </c>
      <c r="E349" t="inlineStr">
        <is>
          <t>PAJALA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54284-2021</t>
        </is>
      </c>
      <c r="B350" s="1" t="n">
        <v>44471</v>
      </c>
      <c r="C350" s="1" t="n">
        <v>45645</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54525-2021</t>
        </is>
      </c>
      <c r="B351" s="1" t="n">
        <v>44473</v>
      </c>
      <c r="C351" s="1" t="n">
        <v>45645</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55723-2021</t>
        </is>
      </c>
      <c r="B352" s="1" t="n">
        <v>44476</v>
      </c>
      <c r="C352" s="1" t="n">
        <v>45645</v>
      </c>
      <c r="D352" t="inlineStr">
        <is>
          <t>NORRBOTTENS LÄN</t>
        </is>
      </c>
      <c r="E352" t="inlineStr">
        <is>
          <t>PAJALA</t>
        </is>
      </c>
      <c r="G352" t="n">
        <v>3.4</v>
      </c>
      <c r="H352" t="n">
        <v>0</v>
      </c>
      <c r="I352" t="n">
        <v>0</v>
      </c>
      <c r="J352" t="n">
        <v>0</v>
      </c>
      <c r="K352" t="n">
        <v>0</v>
      </c>
      <c r="L352" t="n">
        <v>0</v>
      </c>
      <c r="M352" t="n">
        <v>0</v>
      </c>
      <c r="N352" t="n">
        <v>0</v>
      </c>
      <c r="O352" t="n">
        <v>0</v>
      </c>
      <c r="P352" t="n">
        <v>0</v>
      </c>
      <c r="Q352" t="n">
        <v>0</v>
      </c>
      <c r="R352" s="2" t="inlineStr"/>
    </row>
    <row r="353" ht="15" customHeight="1">
      <c r="A353" t="inlineStr">
        <is>
          <t>A 56166-2021</t>
        </is>
      </c>
      <c r="B353" s="1" t="n">
        <v>44477</v>
      </c>
      <c r="C353" s="1" t="n">
        <v>45645</v>
      </c>
      <c r="D353" t="inlineStr">
        <is>
          <t>NORRBOTTENS LÄN</t>
        </is>
      </c>
      <c r="E353" t="inlineStr">
        <is>
          <t>PAJALA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58998-2021</t>
        </is>
      </c>
      <c r="B354" s="1" t="n">
        <v>44489</v>
      </c>
      <c r="C354" s="1" t="n">
        <v>45645</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59401-2021</t>
        </is>
      </c>
      <c r="B355" s="1" t="n">
        <v>44491</v>
      </c>
      <c r="C355" s="1" t="n">
        <v>45645</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60662-2021</t>
        </is>
      </c>
      <c r="B356" s="1" t="n">
        <v>44496</v>
      </c>
      <c r="C356" s="1" t="n">
        <v>45645</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60686-2021</t>
        </is>
      </c>
      <c r="B357" s="1" t="n">
        <v>44496</v>
      </c>
      <c r="C357" s="1" t="n">
        <v>45645</v>
      </c>
      <c r="D357" t="inlineStr">
        <is>
          <t>NORRBOTTENS LÄN</t>
        </is>
      </c>
      <c r="E357" t="inlineStr">
        <is>
          <t>PAJALA</t>
        </is>
      </c>
      <c r="G357" t="n">
        <v>13.5</v>
      </c>
      <c r="H357" t="n">
        <v>0</v>
      </c>
      <c r="I357" t="n">
        <v>0</v>
      </c>
      <c r="J357" t="n">
        <v>0</v>
      </c>
      <c r="K357" t="n">
        <v>0</v>
      </c>
      <c r="L357" t="n">
        <v>0</v>
      </c>
      <c r="M357" t="n">
        <v>0</v>
      </c>
      <c r="N357" t="n">
        <v>0</v>
      </c>
      <c r="O357" t="n">
        <v>0</v>
      </c>
      <c r="P357" t="n">
        <v>0</v>
      </c>
      <c r="Q357" t="n">
        <v>0</v>
      </c>
      <c r="R357" s="2" t="inlineStr"/>
    </row>
    <row r="358" ht="15" customHeight="1">
      <c r="A358" t="inlineStr">
        <is>
          <t>A 62792-2021</t>
        </is>
      </c>
      <c r="B358" s="1" t="n">
        <v>44504</v>
      </c>
      <c r="C358" s="1" t="n">
        <v>45645</v>
      </c>
      <c r="D358" t="inlineStr">
        <is>
          <t>NORRBOTTENS LÄN</t>
        </is>
      </c>
      <c r="E358" t="inlineStr">
        <is>
          <t>PAJALA</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62797-2021</t>
        </is>
      </c>
      <c r="B359" s="1" t="n">
        <v>44504</v>
      </c>
      <c r="C359" s="1" t="n">
        <v>45645</v>
      </c>
      <c r="D359" t="inlineStr">
        <is>
          <t>NORRBOTTENS LÄN</t>
        </is>
      </c>
      <c r="E359" t="inlineStr">
        <is>
          <t>PAJALA</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62763-2021</t>
        </is>
      </c>
      <c r="B360" s="1" t="n">
        <v>44504</v>
      </c>
      <c r="C360" s="1" t="n">
        <v>45645</v>
      </c>
      <c r="D360" t="inlineStr">
        <is>
          <t>NORRBOTTENS LÄN</t>
        </is>
      </c>
      <c r="E360" t="inlineStr">
        <is>
          <t>PAJALA</t>
        </is>
      </c>
      <c r="G360" t="n">
        <v>20.1</v>
      </c>
      <c r="H360" t="n">
        <v>0</v>
      </c>
      <c r="I360" t="n">
        <v>0</v>
      </c>
      <c r="J360" t="n">
        <v>0</v>
      </c>
      <c r="K360" t="n">
        <v>0</v>
      </c>
      <c r="L360" t="n">
        <v>0</v>
      </c>
      <c r="M360" t="n">
        <v>0</v>
      </c>
      <c r="N360" t="n">
        <v>0</v>
      </c>
      <c r="O360" t="n">
        <v>0</v>
      </c>
      <c r="P360" t="n">
        <v>0</v>
      </c>
      <c r="Q360" t="n">
        <v>0</v>
      </c>
      <c r="R360" s="2" t="inlineStr"/>
    </row>
    <row r="361" ht="15" customHeight="1">
      <c r="A361" t="inlineStr">
        <is>
          <t>A 62905-2021</t>
        </is>
      </c>
      <c r="B361" s="1" t="n">
        <v>44504</v>
      </c>
      <c r="C361" s="1" t="n">
        <v>45645</v>
      </c>
      <c r="D361" t="inlineStr">
        <is>
          <t>NORRBOTTENS LÄN</t>
        </is>
      </c>
      <c r="E361" t="inlineStr">
        <is>
          <t>PAJALA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63115-2021</t>
        </is>
      </c>
      <c r="B362" s="1" t="n">
        <v>44505</v>
      </c>
      <c r="C362" s="1" t="n">
        <v>45645</v>
      </c>
      <c r="D362" t="inlineStr">
        <is>
          <t>NORRBOTTENS LÄN</t>
        </is>
      </c>
      <c r="E362" t="inlineStr">
        <is>
          <t>PAJALA</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64979-2021</t>
        </is>
      </c>
      <c r="B363" s="1" t="n">
        <v>44513</v>
      </c>
      <c r="C363" s="1" t="n">
        <v>45645</v>
      </c>
      <c r="D363" t="inlineStr">
        <is>
          <t>NORRBOTTENS LÄN</t>
        </is>
      </c>
      <c r="E363" t="inlineStr">
        <is>
          <t>PAJALA</t>
        </is>
      </c>
      <c r="G363" t="n">
        <v>10.3</v>
      </c>
      <c r="H363" t="n">
        <v>0</v>
      </c>
      <c r="I363" t="n">
        <v>0</v>
      </c>
      <c r="J363" t="n">
        <v>0</v>
      </c>
      <c r="K363" t="n">
        <v>0</v>
      </c>
      <c r="L363" t="n">
        <v>0</v>
      </c>
      <c r="M363" t="n">
        <v>0</v>
      </c>
      <c r="N363" t="n">
        <v>0</v>
      </c>
      <c r="O363" t="n">
        <v>0</v>
      </c>
      <c r="P363" t="n">
        <v>0</v>
      </c>
      <c r="Q363" t="n">
        <v>0</v>
      </c>
      <c r="R363" s="2" t="inlineStr"/>
    </row>
    <row r="364" ht="15" customHeight="1">
      <c r="A364" t="inlineStr">
        <is>
          <t>A 65914-2021</t>
        </is>
      </c>
      <c r="B364" s="1" t="n">
        <v>44517</v>
      </c>
      <c r="C364" s="1" t="n">
        <v>45645</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65931-2021</t>
        </is>
      </c>
      <c r="B365" s="1" t="n">
        <v>44517</v>
      </c>
      <c r="C365" s="1" t="n">
        <v>45645</v>
      </c>
      <c r="D365" t="inlineStr">
        <is>
          <t>NORRBOTTENS LÄN</t>
        </is>
      </c>
      <c r="E365" t="inlineStr">
        <is>
          <t>PAJALA</t>
        </is>
      </c>
      <c r="G365" t="n">
        <v>5</v>
      </c>
      <c r="H365" t="n">
        <v>0</v>
      </c>
      <c r="I365" t="n">
        <v>0</v>
      </c>
      <c r="J365" t="n">
        <v>0</v>
      </c>
      <c r="K365" t="n">
        <v>0</v>
      </c>
      <c r="L365" t="n">
        <v>0</v>
      </c>
      <c r="M365" t="n">
        <v>0</v>
      </c>
      <c r="N365" t="n">
        <v>0</v>
      </c>
      <c r="O365" t="n">
        <v>0</v>
      </c>
      <c r="P365" t="n">
        <v>0</v>
      </c>
      <c r="Q365" t="n">
        <v>0</v>
      </c>
      <c r="R365" s="2" t="inlineStr"/>
    </row>
    <row r="366" ht="15" customHeight="1">
      <c r="A366" t="inlineStr">
        <is>
          <t>A 65976-2021</t>
        </is>
      </c>
      <c r="B366" s="1" t="n">
        <v>44517</v>
      </c>
      <c r="C366" s="1" t="n">
        <v>45645</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66326-2021</t>
        </is>
      </c>
      <c r="B367" s="1" t="n">
        <v>44518</v>
      </c>
      <c r="C367" s="1" t="n">
        <v>45645</v>
      </c>
      <c r="D367" t="inlineStr">
        <is>
          <t>NORRBOTTENS LÄN</t>
        </is>
      </c>
      <c r="E367" t="inlineStr">
        <is>
          <t>PAJALA</t>
        </is>
      </c>
      <c r="G367" t="n">
        <v>6.8</v>
      </c>
      <c r="H367" t="n">
        <v>0</v>
      </c>
      <c r="I367" t="n">
        <v>0</v>
      </c>
      <c r="J367" t="n">
        <v>0</v>
      </c>
      <c r="K367" t="n">
        <v>0</v>
      </c>
      <c r="L367" t="n">
        <v>0</v>
      </c>
      <c r="M367" t="n">
        <v>0</v>
      </c>
      <c r="N367" t="n">
        <v>0</v>
      </c>
      <c r="O367" t="n">
        <v>0</v>
      </c>
      <c r="P367" t="n">
        <v>0</v>
      </c>
      <c r="Q367" t="n">
        <v>0</v>
      </c>
      <c r="R367" s="2" t="inlineStr"/>
    </row>
    <row r="368" ht="15" customHeight="1">
      <c r="A368" t="inlineStr">
        <is>
          <t>A 66353-2021</t>
        </is>
      </c>
      <c r="B368" s="1" t="n">
        <v>44518</v>
      </c>
      <c r="C368" s="1" t="n">
        <v>45645</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66767-2021</t>
        </is>
      </c>
      <c r="B369" s="1" t="n">
        <v>44521</v>
      </c>
      <c r="C369" s="1" t="n">
        <v>45645</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66766-2021</t>
        </is>
      </c>
      <c r="B370" s="1" t="n">
        <v>44521</v>
      </c>
      <c r="C370" s="1" t="n">
        <v>45645</v>
      </c>
      <c r="D370" t="inlineStr">
        <is>
          <t>NORRBOTTENS LÄN</t>
        </is>
      </c>
      <c r="E370" t="inlineStr">
        <is>
          <t>PAJALA</t>
        </is>
      </c>
      <c r="G370" t="n">
        <v>2.3</v>
      </c>
      <c r="H370" t="n">
        <v>0</v>
      </c>
      <c r="I370" t="n">
        <v>0</v>
      </c>
      <c r="J370" t="n">
        <v>0</v>
      </c>
      <c r="K370" t="n">
        <v>0</v>
      </c>
      <c r="L370" t="n">
        <v>0</v>
      </c>
      <c r="M370" t="n">
        <v>0</v>
      </c>
      <c r="N370" t="n">
        <v>0</v>
      </c>
      <c r="O370" t="n">
        <v>0</v>
      </c>
      <c r="P370" t="n">
        <v>0</v>
      </c>
      <c r="Q370" t="n">
        <v>0</v>
      </c>
      <c r="R370" s="2" t="inlineStr"/>
    </row>
    <row r="371" ht="15" customHeight="1">
      <c r="A371" t="inlineStr">
        <is>
          <t>A 66914-2021</t>
        </is>
      </c>
      <c r="B371" s="1" t="n">
        <v>44522</v>
      </c>
      <c r="C371" s="1" t="n">
        <v>45645</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67272-2021</t>
        </is>
      </c>
      <c r="B372" s="1" t="n">
        <v>44523</v>
      </c>
      <c r="C372" s="1" t="n">
        <v>45645</v>
      </c>
      <c r="D372" t="inlineStr">
        <is>
          <t>NORRBOTTENS LÄN</t>
        </is>
      </c>
      <c r="E372" t="inlineStr">
        <is>
          <t>PAJALA</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69749-2021</t>
        </is>
      </c>
      <c r="B373" s="1" t="n">
        <v>44532</v>
      </c>
      <c r="C373" s="1" t="n">
        <v>45645</v>
      </c>
      <c r="D373" t="inlineStr">
        <is>
          <t>NORRBOTTENS LÄN</t>
        </is>
      </c>
      <c r="E373" t="inlineStr">
        <is>
          <t>PAJALA</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71904-2021</t>
        </is>
      </c>
      <c r="B374" s="1" t="n">
        <v>44539</v>
      </c>
      <c r="C374" s="1" t="n">
        <v>45645</v>
      </c>
      <c r="D374" t="inlineStr">
        <is>
          <t>NORRBOTTENS LÄN</t>
        </is>
      </c>
      <c r="E374" t="inlineStr">
        <is>
          <t>PAJALA</t>
        </is>
      </c>
      <c r="G374" t="n">
        <v>3.5</v>
      </c>
      <c r="H374" t="n">
        <v>0</v>
      </c>
      <c r="I374" t="n">
        <v>0</v>
      </c>
      <c r="J374" t="n">
        <v>0</v>
      </c>
      <c r="K374" t="n">
        <v>0</v>
      </c>
      <c r="L374" t="n">
        <v>0</v>
      </c>
      <c r="M374" t="n">
        <v>0</v>
      </c>
      <c r="N374" t="n">
        <v>0</v>
      </c>
      <c r="O374" t="n">
        <v>0</v>
      </c>
      <c r="P374" t="n">
        <v>0</v>
      </c>
      <c r="Q374" t="n">
        <v>0</v>
      </c>
      <c r="R374" s="2" t="inlineStr"/>
    </row>
    <row r="375" ht="15" customHeight="1">
      <c r="A375" t="inlineStr">
        <is>
          <t>A 73128-2021</t>
        </is>
      </c>
      <c r="B375" s="1" t="n">
        <v>44547</v>
      </c>
      <c r="C375" s="1" t="n">
        <v>45645</v>
      </c>
      <c r="D375" t="inlineStr">
        <is>
          <t>NORRBOTTENS LÄN</t>
        </is>
      </c>
      <c r="E375" t="inlineStr">
        <is>
          <t>PAJALA</t>
        </is>
      </c>
      <c r="G375" t="n">
        <v>10.6</v>
      </c>
      <c r="H375" t="n">
        <v>0</v>
      </c>
      <c r="I375" t="n">
        <v>0</v>
      </c>
      <c r="J375" t="n">
        <v>0</v>
      </c>
      <c r="K375" t="n">
        <v>0</v>
      </c>
      <c r="L375" t="n">
        <v>0</v>
      </c>
      <c r="M375" t="n">
        <v>0</v>
      </c>
      <c r="N375" t="n">
        <v>0</v>
      </c>
      <c r="O375" t="n">
        <v>0</v>
      </c>
      <c r="P375" t="n">
        <v>0</v>
      </c>
      <c r="Q375" t="n">
        <v>0</v>
      </c>
      <c r="R375" s="2" t="inlineStr"/>
    </row>
    <row r="376" ht="15" customHeight="1">
      <c r="A376" t="inlineStr">
        <is>
          <t>A 73180-2021</t>
        </is>
      </c>
      <c r="B376" s="1" t="n">
        <v>44550</v>
      </c>
      <c r="C376" s="1" t="n">
        <v>45645</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73713-2021</t>
        </is>
      </c>
      <c r="B377" s="1" t="n">
        <v>44552</v>
      </c>
      <c r="C377" s="1" t="n">
        <v>45645</v>
      </c>
      <c r="D377" t="inlineStr">
        <is>
          <t>NORRBOTTENS LÄN</t>
        </is>
      </c>
      <c r="E377" t="inlineStr">
        <is>
          <t>PAJALA</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73716-2021</t>
        </is>
      </c>
      <c r="B378" s="1" t="n">
        <v>44552</v>
      </c>
      <c r="C378" s="1" t="n">
        <v>45645</v>
      </c>
      <c r="D378" t="inlineStr">
        <is>
          <t>NORRBOTTENS LÄN</t>
        </is>
      </c>
      <c r="E378" t="inlineStr">
        <is>
          <t>PAJALA</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45645</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684-2022</t>
        </is>
      </c>
      <c r="B380" s="1" t="n">
        <v>44568</v>
      </c>
      <c r="C380" s="1" t="n">
        <v>45645</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1770-2022</t>
        </is>
      </c>
      <c r="B381" s="1" t="n">
        <v>44574</v>
      </c>
      <c r="C381" s="1" t="n">
        <v>45645</v>
      </c>
      <c r="D381" t="inlineStr">
        <is>
          <t>NORRBOTTENS LÄN</t>
        </is>
      </c>
      <c r="E381" t="inlineStr">
        <is>
          <t>PAJALA</t>
        </is>
      </c>
      <c r="G381" t="n">
        <v>1.7</v>
      </c>
      <c r="H381" t="n">
        <v>0</v>
      </c>
      <c r="I381" t="n">
        <v>0</v>
      </c>
      <c r="J381" t="n">
        <v>0</v>
      </c>
      <c r="K381" t="n">
        <v>0</v>
      </c>
      <c r="L381" t="n">
        <v>0</v>
      </c>
      <c r="M381" t="n">
        <v>0</v>
      </c>
      <c r="N381" t="n">
        <v>0</v>
      </c>
      <c r="O381" t="n">
        <v>0</v>
      </c>
      <c r="P381" t="n">
        <v>0</v>
      </c>
      <c r="Q381" t="n">
        <v>0</v>
      </c>
      <c r="R381" s="2" t="inlineStr"/>
    </row>
    <row r="382" ht="15" customHeight="1">
      <c r="A382" t="inlineStr">
        <is>
          <t>A 2175-2022</t>
        </is>
      </c>
      <c r="B382" s="1" t="n">
        <v>44578</v>
      </c>
      <c r="C382" s="1" t="n">
        <v>45645</v>
      </c>
      <c r="D382" t="inlineStr">
        <is>
          <t>NORRBOTTENS LÄN</t>
        </is>
      </c>
      <c r="E382" t="inlineStr">
        <is>
          <t>PAJALA</t>
        </is>
      </c>
      <c r="G382" t="n">
        <v>3</v>
      </c>
      <c r="H382" t="n">
        <v>0</v>
      </c>
      <c r="I382" t="n">
        <v>0</v>
      </c>
      <c r="J382" t="n">
        <v>0</v>
      </c>
      <c r="K382" t="n">
        <v>0</v>
      </c>
      <c r="L382" t="n">
        <v>0</v>
      </c>
      <c r="M382" t="n">
        <v>0</v>
      </c>
      <c r="N382" t="n">
        <v>0</v>
      </c>
      <c r="O382" t="n">
        <v>0</v>
      </c>
      <c r="P382" t="n">
        <v>0</v>
      </c>
      <c r="Q382" t="n">
        <v>0</v>
      </c>
      <c r="R382" s="2" t="inlineStr"/>
    </row>
    <row r="383" ht="15" customHeight="1">
      <c r="A383" t="inlineStr">
        <is>
          <t>A 3138-2022</t>
        </is>
      </c>
      <c r="B383" s="1" t="n">
        <v>44582</v>
      </c>
      <c r="C383" s="1" t="n">
        <v>45645</v>
      </c>
      <c r="D383" t="inlineStr">
        <is>
          <t>NORRBOTTENS LÄN</t>
        </is>
      </c>
      <c r="E383" t="inlineStr">
        <is>
          <t>PAJALA</t>
        </is>
      </c>
      <c r="G383" t="n">
        <v>7</v>
      </c>
      <c r="H383" t="n">
        <v>0</v>
      </c>
      <c r="I383" t="n">
        <v>0</v>
      </c>
      <c r="J383" t="n">
        <v>0</v>
      </c>
      <c r="K383" t="n">
        <v>0</v>
      </c>
      <c r="L383" t="n">
        <v>0</v>
      </c>
      <c r="M383" t="n">
        <v>0</v>
      </c>
      <c r="N383" t="n">
        <v>0</v>
      </c>
      <c r="O383" t="n">
        <v>0</v>
      </c>
      <c r="P383" t="n">
        <v>0</v>
      </c>
      <c r="Q383" t="n">
        <v>0</v>
      </c>
      <c r="R383" s="2" t="inlineStr"/>
    </row>
    <row r="384" ht="15" customHeight="1">
      <c r="A384" t="inlineStr">
        <is>
          <t>A 4062-2022</t>
        </is>
      </c>
      <c r="B384" s="1" t="n">
        <v>44587</v>
      </c>
      <c r="C384" s="1" t="n">
        <v>45645</v>
      </c>
      <c r="D384" t="inlineStr">
        <is>
          <t>NORRBOTTENS LÄN</t>
        </is>
      </c>
      <c r="E384" t="inlineStr">
        <is>
          <t>PAJALA</t>
        </is>
      </c>
      <c r="F384" t="inlineStr">
        <is>
          <t>Allmännings- och besparingsskogar</t>
        </is>
      </c>
      <c r="G384" t="n">
        <v>65.8</v>
      </c>
      <c r="H384" t="n">
        <v>0</v>
      </c>
      <c r="I384" t="n">
        <v>0</v>
      </c>
      <c r="J384" t="n">
        <v>0</v>
      </c>
      <c r="K384" t="n">
        <v>0</v>
      </c>
      <c r="L384" t="n">
        <v>0</v>
      </c>
      <c r="M384" t="n">
        <v>0</v>
      </c>
      <c r="N384" t="n">
        <v>0</v>
      </c>
      <c r="O384" t="n">
        <v>0</v>
      </c>
      <c r="P384" t="n">
        <v>0</v>
      </c>
      <c r="Q384" t="n">
        <v>0</v>
      </c>
      <c r="R384" s="2" t="inlineStr"/>
    </row>
    <row r="385" ht="15" customHeight="1">
      <c r="A385" t="inlineStr">
        <is>
          <t>A 4107-2022</t>
        </is>
      </c>
      <c r="B385" s="1" t="n">
        <v>44588</v>
      </c>
      <c r="C385" s="1" t="n">
        <v>45645</v>
      </c>
      <c r="D385" t="inlineStr">
        <is>
          <t>NORRBOTTENS LÄN</t>
        </is>
      </c>
      <c r="E385" t="inlineStr">
        <is>
          <t>PAJALA</t>
        </is>
      </c>
      <c r="F385" t="inlineStr">
        <is>
          <t>Allmännings- och besparingsskogar</t>
        </is>
      </c>
      <c r="G385" t="n">
        <v>15.8</v>
      </c>
      <c r="H385" t="n">
        <v>0</v>
      </c>
      <c r="I385" t="n">
        <v>0</v>
      </c>
      <c r="J385" t="n">
        <v>0</v>
      </c>
      <c r="K385" t="n">
        <v>0</v>
      </c>
      <c r="L385" t="n">
        <v>0</v>
      </c>
      <c r="M385" t="n">
        <v>0</v>
      </c>
      <c r="N385" t="n">
        <v>0</v>
      </c>
      <c r="O385" t="n">
        <v>0</v>
      </c>
      <c r="P385" t="n">
        <v>0</v>
      </c>
      <c r="Q385" t="n">
        <v>0</v>
      </c>
      <c r="R385" s="2" t="inlineStr"/>
    </row>
    <row r="386" ht="15" customHeight="1">
      <c r="A386" t="inlineStr">
        <is>
          <t>A 4847-2022</t>
        </is>
      </c>
      <c r="B386" s="1" t="n">
        <v>44592</v>
      </c>
      <c r="C386" s="1" t="n">
        <v>45645</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4848-2022</t>
        </is>
      </c>
      <c r="B387" s="1" t="n">
        <v>44592</v>
      </c>
      <c r="C387" s="1" t="n">
        <v>45645</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6913-2022</t>
        </is>
      </c>
      <c r="B388" s="1" t="n">
        <v>44602</v>
      </c>
      <c r="C388" s="1" t="n">
        <v>45645</v>
      </c>
      <c r="D388" t="inlineStr">
        <is>
          <t>NORRBOTTENS LÄN</t>
        </is>
      </c>
      <c r="E388" t="inlineStr">
        <is>
          <t>PAJALA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6914-2022</t>
        </is>
      </c>
      <c r="B389" s="1" t="n">
        <v>44602</v>
      </c>
      <c r="C389" s="1" t="n">
        <v>45645</v>
      </c>
      <c r="D389" t="inlineStr">
        <is>
          <t>NORRBOTTENS LÄN</t>
        </is>
      </c>
      <c r="E389" t="inlineStr">
        <is>
          <t>PAJALA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7673-2022</t>
        </is>
      </c>
      <c r="B390" s="1" t="n">
        <v>44607</v>
      </c>
      <c r="C390" s="1" t="n">
        <v>45645</v>
      </c>
      <c r="D390" t="inlineStr">
        <is>
          <t>NORRBOTTENS LÄN</t>
        </is>
      </c>
      <c r="E390" t="inlineStr">
        <is>
          <t>PAJALA</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7954-2022</t>
        </is>
      </c>
      <c r="B391" s="1" t="n">
        <v>44608</v>
      </c>
      <c r="C391" s="1" t="n">
        <v>45645</v>
      </c>
      <c r="D391" t="inlineStr">
        <is>
          <t>NORRBOTTENS LÄN</t>
        </is>
      </c>
      <c r="E391" t="inlineStr">
        <is>
          <t>PAJALA</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45645</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10395-2022</t>
        </is>
      </c>
      <c r="B393" s="1" t="n">
        <v>44622</v>
      </c>
      <c r="C393" s="1" t="n">
        <v>45645</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10778-2022</t>
        </is>
      </c>
      <c r="B394" s="1" t="n">
        <v>44627</v>
      </c>
      <c r="C394" s="1" t="n">
        <v>45645</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10784-2022</t>
        </is>
      </c>
      <c r="B395" s="1" t="n">
        <v>44627</v>
      </c>
      <c r="C395" s="1" t="n">
        <v>45645</v>
      </c>
      <c r="D395" t="inlineStr">
        <is>
          <t>NORRBOTTENS LÄN</t>
        </is>
      </c>
      <c r="E395" t="inlineStr">
        <is>
          <t>PAJALA</t>
        </is>
      </c>
      <c r="G395" t="n">
        <v>4.3</v>
      </c>
      <c r="H395" t="n">
        <v>0</v>
      </c>
      <c r="I395" t="n">
        <v>0</v>
      </c>
      <c r="J395" t="n">
        <v>0</v>
      </c>
      <c r="K395" t="n">
        <v>0</v>
      </c>
      <c r="L395" t="n">
        <v>0</v>
      </c>
      <c r="M395" t="n">
        <v>0</v>
      </c>
      <c r="N395" t="n">
        <v>0</v>
      </c>
      <c r="O395" t="n">
        <v>0</v>
      </c>
      <c r="P395" t="n">
        <v>0</v>
      </c>
      <c r="Q395" t="n">
        <v>0</v>
      </c>
      <c r="R395" s="2" t="inlineStr"/>
    </row>
    <row r="396" ht="15" customHeight="1">
      <c r="A396" t="inlineStr">
        <is>
          <t>A 10798-2022</t>
        </is>
      </c>
      <c r="B396" s="1" t="n">
        <v>44627</v>
      </c>
      <c r="C396" s="1" t="n">
        <v>45645</v>
      </c>
      <c r="D396" t="inlineStr">
        <is>
          <t>NORRBOTTENS LÄN</t>
        </is>
      </c>
      <c r="E396" t="inlineStr">
        <is>
          <t>PAJALA</t>
        </is>
      </c>
      <c r="G396" t="n">
        <v>18.1</v>
      </c>
      <c r="H396" t="n">
        <v>0</v>
      </c>
      <c r="I396" t="n">
        <v>0</v>
      </c>
      <c r="J396" t="n">
        <v>0</v>
      </c>
      <c r="K396" t="n">
        <v>0</v>
      </c>
      <c r="L396" t="n">
        <v>0</v>
      </c>
      <c r="M396" t="n">
        <v>0</v>
      </c>
      <c r="N396" t="n">
        <v>0</v>
      </c>
      <c r="O396" t="n">
        <v>0</v>
      </c>
      <c r="P396" t="n">
        <v>0</v>
      </c>
      <c r="Q396" t="n">
        <v>0</v>
      </c>
      <c r="R396" s="2" t="inlineStr"/>
    </row>
    <row r="397" ht="15" customHeight="1">
      <c r="A397" t="inlineStr">
        <is>
          <t>A 10788-2022</t>
        </is>
      </c>
      <c r="B397" s="1" t="n">
        <v>44627</v>
      </c>
      <c r="C397" s="1" t="n">
        <v>45645</v>
      </c>
      <c r="D397" t="inlineStr">
        <is>
          <t>NORRBOTTENS LÄN</t>
        </is>
      </c>
      <c r="E397" t="inlineStr">
        <is>
          <t>PAJALA</t>
        </is>
      </c>
      <c r="G397" t="n">
        <v>12.8</v>
      </c>
      <c r="H397" t="n">
        <v>0</v>
      </c>
      <c r="I397" t="n">
        <v>0</v>
      </c>
      <c r="J397" t="n">
        <v>0</v>
      </c>
      <c r="K397" t="n">
        <v>0</v>
      </c>
      <c r="L397" t="n">
        <v>0</v>
      </c>
      <c r="M397" t="n">
        <v>0</v>
      </c>
      <c r="N397" t="n">
        <v>0</v>
      </c>
      <c r="O397" t="n">
        <v>0</v>
      </c>
      <c r="P397" t="n">
        <v>0</v>
      </c>
      <c r="Q397" t="n">
        <v>0</v>
      </c>
      <c r="R397" s="2" t="inlineStr"/>
    </row>
    <row r="398" ht="15" customHeight="1">
      <c r="A398" t="inlineStr">
        <is>
          <t>A 11208-2022</t>
        </is>
      </c>
      <c r="B398" s="1" t="n">
        <v>44629</v>
      </c>
      <c r="C398" s="1" t="n">
        <v>45645</v>
      </c>
      <c r="D398" t="inlineStr">
        <is>
          <t>NORRBOTTENS LÄN</t>
        </is>
      </c>
      <c r="E398" t="inlineStr">
        <is>
          <t>PAJALA</t>
        </is>
      </c>
      <c r="F398" t="inlineStr">
        <is>
          <t>Allmännings- och besparingsskogar</t>
        </is>
      </c>
      <c r="G398" t="n">
        <v>2.2</v>
      </c>
      <c r="H398" t="n">
        <v>0</v>
      </c>
      <c r="I398" t="n">
        <v>0</v>
      </c>
      <c r="J398" t="n">
        <v>0</v>
      </c>
      <c r="K398" t="n">
        <v>0</v>
      </c>
      <c r="L398" t="n">
        <v>0</v>
      </c>
      <c r="M398" t="n">
        <v>0</v>
      </c>
      <c r="N398" t="n">
        <v>0</v>
      </c>
      <c r="O398" t="n">
        <v>0</v>
      </c>
      <c r="P398" t="n">
        <v>0</v>
      </c>
      <c r="Q398" t="n">
        <v>0</v>
      </c>
      <c r="R398" s="2" t="inlineStr"/>
    </row>
    <row r="399" ht="15" customHeight="1">
      <c r="A399" t="inlineStr">
        <is>
          <t>A 11717-2022</t>
        </is>
      </c>
      <c r="B399" s="1" t="n">
        <v>44634</v>
      </c>
      <c r="C399" s="1" t="n">
        <v>45645</v>
      </c>
      <c r="D399" t="inlineStr">
        <is>
          <t>NORRBOTTENS LÄN</t>
        </is>
      </c>
      <c r="E399" t="inlineStr">
        <is>
          <t>PAJALA</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12682-2022</t>
        </is>
      </c>
      <c r="B400" s="1" t="n">
        <v>44641</v>
      </c>
      <c r="C400" s="1" t="n">
        <v>45645</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12834-2022</t>
        </is>
      </c>
      <c r="B401" s="1" t="n">
        <v>44642</v>
      </c>
      <c r="C401" s="1" t="n">
        <v>45645</v>
      </c>
      <c r="D401" t="inlineStr">
        <is>
          <t>NORRBOTTENS LÄN</t>
        </is>
      </c>
      <c r="E401" t="inlineStr">
        <is>
          <t>PAJALA</t>
        </is>
      </c>
      <c r="G401" t="n">
        <v>9</v>
      </c>
      <c r="H401" t="n">
        <v>0</v>
      </c>
      <c r="I401" t="n">
        <v>0</v>
      </c>
      <c r="J401" t="n">
        <v>0</v>
      </c>
      <c r="K401" t="n">
        <v>0</v>
      </c>
      <c r="L401" t="n">
        <v>0</v>
      </c>
      <c r="M401" t="n">
        <v>0</v>
      </c>
      <c r="N401" t="n">
        <v>0</v>
      </c>
      <c r="O401" t="n">
        <v>0</v>
      </c>
      <c r="P401" t="n">
        <v>0</v>
      </c>
      <c r="Q401" t="n">
        <v>0</v>
      </c>
      <c r="R401" s="2" t="inlineStr"/>
    </row>
    <row r="402" ht="15" customHeight="1">
      <c r="A402" t="inlineStr">
        <is>
          <t>A 15796-2022</t>
        </is>
      </c>
      <c r="B402" s="1" t="n">
        <v>44663</v>
      </c>
      <c r="C402" s="1" t="n">
        <v>45645</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15798-2022</t>
        </is>
      </c>
      <c r="B403" s="1" t="n">
        <v>44663</v>
      </c>
      <c r="C403" s="1" t="n">
        <v>45645</v>
      </c>
      <c r="D403" t="inlineStr">
        <is>
          <t>NORRBOTTENS LÄN</t>
        </is>
      </c>
      <c r="E403" t="inlineStr">
        <is>
          <t>PAJALA</t>
        </is>
      </c>
      <c r="G403" t="n">
        <v>5.1</v>
      </c>
      <c r="H403" t="n">
        <v>0</v>
      </c>
      <c r="I403" t="n">
        <v>0</v>
      </c>
      <c r="J403" t="n">
        <v>0</v>
      </c>
      <c r="K403" t="n">
        <v>0</v>
      </c>
      <c r="L403" t="n">
        <v>0</v>
      </c>
      <c r="M403" t="n">
        <v>0</v>
      </c>
      <c r="N403" t="n">
        <v>0</v>
      </c>
      <c r="O403" t="n">
        <v>0</v>
      </c>
      <c r="P403" t="n">
        <v>0</v>
      </c>
      <c r="Q403" t="n">
        <v>0</v>
      </c>
      <c r="R403" s="2" t="inlineStr"/>
    </row>
    <row r="404" ht="15" customHeight="1">
      <c r="A404" t="inlineStr">
        <is>
          <t>A 15800-2022</t>
        </is>
      </c>
      <c r="B404" s="1" t="n">
        <v>44663</v>
      </c>
      <c r="C404" s="1" t="n">
        <v>45645</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18129-2022</t>
        </is>
      </c>
      <c r="B405" s="1" t="n">
        <v>44684</v>
      </c>
      <c r="C405" s="1" t="n">
        <v>45645</v>
      </c>
      <c r="D405" t="inlineStr">
        <is>
          <t>NORRBOTTENS LÄN</t>
        </is>
      </c>
      <c r="E405" t="inlineStr">
        <is>
          <t>PAJALA</t>
        </is>
      </c>
      <c r="G405" t="n">
        <v>24.3</v>
      </c>
      <c r="H405" t="n">
        <v>0</v>
      </c>
      <c r="I405" t="n">
        <v>0</v>
      </c>
      <c r="J405" t="n">
        <v>0</v>
      </c>
      <c r="K405" t="n">
        <v>0</v>
      </c>
      <c r="L405" t="n">
        <v>0</v>
      </c>
      <c r="M405" t="n">
        <v>0</v>
      </c>
      <c r="N405" t="n">
        <v>0</v>
      </c>
      <c r="O405" t="n">
        <v>0</v>
      </c>
      <c r="P405" t="n">
        <v>0</v>
      </c>
      <c r="Q405" t="n">
        <v>0</v>
      </c>
      <c r="R405" s="2" t="inlineStr"/>
    </row>
    <row r="406" ht="15" customHeight="1">
      <c r="A406" t="inlineStr">
        <is>
          <t>A 18137-2022</t>
        </is>
      </c>
      <c r="B406" s="1" t="n">
        <v>44684</v>
      </c>
      <c r="C406" s="1" t="n">
        <v>45645</v>
      </c>
      <c r="D406" t="inlineStr">
        <is>
          <t>NORRBOTTENS LÄN</t>
        </is>
      </c>
      <c r="E406" t="inlineStr">
        <is>
          <t>PAJALA</t>
        </is>
      </c>
      <c r="G406" t="n">
        <v>19.1</v>
      </c>
      <c r="H406" t="n">
        <v>0</v>
      </c>
      <c r="I406" t="n">
        <v>0</v>
      </c>
      <c r="J406" t="n">
        <v>0</v>
      </c>
      <c r="K406" t="n">
        <v>0</v>
      </c>
      <c r="L406" t="n">
        <v>0</v>
      </c>
      <c r="M406" t="n">
        <v>0</v>
      </c>
      <c r="N406" t="n">
        <v>0</v>
      </c>
      <c r="O406" t="n">
        <v>0</v>
      </c>
      <c r="P406" t="n">
        <v>0</v>
      </c>
      <c r="Q406" t="n">
        <v>0</v>
      </c>
      <c r="R406" s="2" t="inlineStr"/>
    </row>
    <row r="407" ht="15" customHeight="1">
      <c r="A407" t="inlineStr">
        <is>
          <t>A 18742-2022</t>
        </is>
      </c>
      <c r="B407" s="1" t="n">
        <v>44687</v>
      </c>
      <c r="C407" s="1" t="n">
        <v>45645</v>
      </c>
      <c r="D407" t="inlineStr">
        <is>
          <t>NORRBOTTENS LÄN</t>
        </is>
      </c>
      <c r="E407" t="inlineStr">
        <is>
          <t>PAJALA</t>
        </is>
      </c>
      <c r="F407" t="inlineStr">
        <is>
          <t>SCA</t>
        </is>
      </c>
      <c r="G407" t="n">
        <v>92.09999999999999</v>
      </c>
      <c r="H407" t="n">
        <v>0</v>
      </c>
      <c r="I407" t="n">
        <v>0</v>
      </c>
      <c r="J407" t="n">
        <v>0</v>
      </c>
      <c r="K407" t="n">
        <v>0</v>
      </c>
      <c r="L407" t="n">
        <v>0</v>
      </c>
      <c r="M407" t="n">
        <v>0</v>
      </c>
      <c r="N407" t="n">
        <v>0</v>
      </c>
      <c r="O407" t="n">
        <v>0</v>
      </c>
      <c r="P407" t="n">
        <v>0</v>
      </c>
      <c r="Q407" t="n">
        <v>0</v>
      </c>
      <c r="R407" s="2" t="inlineStr"/>
    </row>
    <row r="408" ht="15" customHeight="1">
      <c r="A408" t="inlineStr">
        <is>
          <t>A 19219-2022</t>
        </is>
      </c>
      <c r="B408" s="1" t="n">
        <v>44691</v>
      </c>
      <c r="C408" s="1" t="n">
        <v>45645</v>
      </c>
      <c r="D408" t="inlineStr">
        <is>
          <t>NORRBOTTENS LÄN</t>
        </is>
      </c>
      <c r="E408" t="inlineStr">
        <is>
          <t>PAJALA</t>
        </is>
      </c>
      <c r="G408" t="n">
        <v>1</v>
      </c>
      <c r="H408" t="n">
        <v>0</v>
      </c>
      <c r="I408" t="n">
        <v>0</v>
      </c>
      <c r="J408" t="n">
        <v>0</v>
      </c>
      <c r="K408" t="n">
        <v>0</v>
      </c>
      <c r="L408" t="n">
        <v>0</v>
      </c>
      <c r="M408" t="n">
        <v>0</v>
      </c>
      <c r="N408" t="n">
        <v>0</v>
      </c>
      <c r="O408" t="n">
        <v>0</v>
      </c>
      <c r="P408" t="n">
        <v>0</v>
      </c>
      <c r="Q408" t="n">
        <v>0</v>
      </c>
      <c r="R408" s="2" t="inlineStr"/>
    </row>
    <row r="409" ht="15" customHeight="1">
      <c r="A409" t="inlineStr">
        <is>
          <t>A 19230-2022</t>
        </is>
      </c>
      <c r="B409" s="1" t="n">
        <v>44691</v>
      </c>
      <c r="C409" s="1" t="n">
        <v>45645</v>
      </c>
      <c r="D409" t="inlineStr">
        <is>
          <t>NORRBOTTENS LÄN</t>
        </is>
      </c>
      <c r="E409" t="inlineStr">
        <is>
          <t>PAJALA</t>
        </is>
      </c>
      <c r="G409" t="n">
        <v>18.7</v>
      </c>
      <c r="H409" t="n">
        <v>0</v>
      </c>
      <c r="I409" t="n">
        <v>0</v>
      </c>
      <c r="J409" t="n">
        <v>0</v>
      </c>
      <c r="K409" t="n">
        <v>0</v>
      </c>
      <c r="L409" t="n">
        <v>0</v>
      </c>
      <c r="M409" t="n">
        <v>0</v>
      </c>
      <c r="N409" t="n">
        <v>0</v>
      </c>
      <c r="O409" t="n">
        <v>0</v>
      </c>
      <c r="P409" t="n">
        <v>0</v>
      </c>
      <c r="Q409" t="n">
        <v>0</v>
      </c>
      <c r="R409" s="2" t="inlineStr"/>
    </row>
    <row r="410" ht="15" customHeight="1">
      <c r="A410" t="inlineStr">
        <is>
          <t>A 19220-2022</t>
        </is>
      </c>
      <c r="B410" s="1" t="n">
        <v>44691</v>
      </c>
      <c r="C410" s="1" t="n">
        <v>45645</v>
      </c>
      <c r="D410" t="inlineStr">
        <is>
          <t>NORRBOTTENS LÄN</t>
        </is>
      </c>
      <c r="E410" t="inlineStr">
        <is>
          <t>PAJALA</t>
        </is>
      </c>
      <c r="G410" t="n">
        <v>12.6</v>
      </c>
      <c r="H410" t="n">
        <v>0</v>
      </c>
      <c r="I410" t="n">
        <v>0</v>
      </c>
      <c r="J410" t="n">
        <v>0</v>
      </c>
      <c r="K410" t="n">
        <v>0</v>
      </c>
      <c r="L410" t="n">
        <v>0</v>
      </c>
      <c r="M410" t="n">
        <v>0</v>
      </c>
      <c r="N410" t="n">
        <v>0</v>
      </c>
      <c r="O410" t="n">
        <v>0</v>
      </c>
      <c r="P410" t="n">
        <v>0</v>
      </c>
      <c r="Q410" t="n">
        <v>0</v>
      </c>
      <c r="R410" s="2" t="inlineStr"/>
    </row>
    <row r="411" ht="15" customHeight="1">
      <c r="A411" t="inlineStr">
        <is>
          <t>A 19234-2022</t>
        </is>
      </c>
      <c r="B411" s="1" t="n">
        <v>44691</v>
      </c>
      <c r="C411" s="1" t="n">
        <v>45645</v>
      </c>
      <c r="D411" t="inlineStr">
        <is>
          <t>NORRBOTTENS LÄN</t>
        </is>
      </c>
      <c r="E411" t="inlineStr">
        <is>
          <t>PAJALA</t>
        </is>
      </c>
      <c r="G411" t="n">
        <v>8</v>
      </c>
      <c r="H411" t="n">
        <v>0</v>
      </c>
      <c r="I411" t="n">
        <v>0</v>
      </c>
      <c r="J411" t="n">
        <v>0</v>
      </c>
      <c r="K411" t="n">
        <v>0</v>
      </c>
      <c r="L411" t="n">
        <v>0</v>
      </c>
      <c r="M411" t="n">
        <v>0</v>
      </c>
      <c r="N411" t="n">
        <v>0</v>
      </c>
      <c r="O411" t="n">
        <v>0</v>
      </c>
      <c r="P411" t="n">
        <v>0</v>
      </c>
      <c r="Q411" t="n">
        <v>0</v>
      </c>
      <c r="R411" s="2" t="inlineStr"/>
    </row>
    <row r="412" ht="15" customHeight="1">
      <c r="A412" t="inlineStr">
        <is>
          <t>A 19217-2022</t>
        </is>
      </c>
      <c r="B412" s="1" t="n">
        <v>44691</v>
      </c>
      <c r="C412" s="1" t="n">
        <v>45645</v>
      </c>
      <c r="D412" t="inlineStr">
        <is>
          <t>NORRBOTTENS LÄN</t>
        </is>
      </c>
      <c r="E412" t="inlineStr">
        <is>
          <t>PAJALA</t>
        </is>
      </c>
      <c r="G412" t="n">
        <v>2.6</v>
      </c>
      <c r="H412" t="n">
        <v>0</v>
      </c>
      <c r="I412" t="n">
        <v>0</v>
      </c>
      <c r="J412" t="n">
        <v>0</v>
      </c>
      <c r="K412" t="n">
        <v>0</v>
      </c>
      <c r="L412" t="n">
        <v>0</v>
      </c>
      <c r="M412" t="n">
        <v>0</v>
      </c>
      <c r="N412" t="n">
        <v>0</v>
      </c>
      <c r="O412" t="n">
        <v>0</v>
      </c>
      <c r="P412" t="n">
        <v>0</v>
      </c>
      <c r="Q412" t="n">
        <v>0</v>
      </c>
      <c r="R412" s="2" t="inlineStr"/>
    </row>
    <row r="413" ht="15" customHeight="1">
      <c r="A413" t="inlineStr">
        <is>
          <t>A 19227-2022</t>
        </is>
      </c>
      <c r="B413" s="1" t="n">
        <v>44691</v>
      </c>
      <c r="C413" s="1" t="n">
        <v>45645</v>
      </c>
      <c r="D413" t="inlineStr">
        <is>
          <t>NORRBOTTENS LÄN</t>
        </is>
      </c>
      <c r="E413" t="inlineStr">
        <is>
          <t>PAJALA</t>
        </is>
      </c>
      <c r="G413" t="n">
        <v>8.5</v>
      </c>
      <c r="H413" t="n">
        <v>0</v>
      </c>
      <c r="I413" t="n">
        <v>0</v>
      </c>
      <c r="J413" t="n">
        <v>0</v>
      </c>
      <c r="K413" t="n">
        <v>0</v>
      </c>
      <c r="L413" t="n">
        <v>0</v>
      </c>
      <c r="M413" t="n">
        <v>0</v>
      </c>
      <c r="N413" t="n">
        <v>0</v>
      </c>
      <c r="O413" t="n">
        <v>0</v>
      </c>
      <c r="P413" t="n">
        <v>0</v>
      </c>
      <c r="Q413" t="n">
        <v>0</v>
      </c>
      <c r="R413" s="2" t="inlineStr"/>
    </row>
    <row r="414" ht="15" customHeight="1">
      <c r="A414" t="inlineStr">
        <is>
          <t>A 19269-2022</t>
        </is>
      </c>
      <c r="B414" s="1" t="n">
        <v>44691</v>
      </c>
      <c r="C414" s="1" t="n">
        <v>45645</v>
      </c>
      <c r="D414" t="inlineStr">
        <is>
          <t>NORRBOTTENS LÄN</t>
        </is>
      </c>
      <c r="E414" t="inlineStr">
        <is>
          <t>PAJALA</t>
        </is>
      </c>
      <c r="G414" t="n">
        <v>21</v>
      </c>
      <c r="H414" t="n">
        <v>0</v>
      </c>
      <c r="I414" t="n">
        <v>0</v>
      </c>
      <c r="J414" t="n">
        <v>0</v>
      </c>
      <c r="K414" t="n">
        <v>0</v>
      </c>
      <c r="L414" t="n">
        <v>0</v>
      </c>
      <c r="M414" t="n">
        <v>0</v>
      </c>
      <c r="N414" t="n">
        <v>0</v>
      </c>
      <c r="O414" t="n">
        <v>0</v>
      </c>
      <c r="P414" t="n">
        <v>0</v>
      </c>
      <c r="Q414" t="n">
        <v>0</v>
      </c>
      <c r="R414" s="2" t="inlineStr"/>
    </row>
    <row r="415" ht="15" customHeight="1">
      <c r="A415" t="inlineStr">
        <is>
          <t>A 19215-2022</t>
        </is>
      </c>
      <c r="B415" s="1" t="n">
        <v>44691</v>
      </c>
      <c r="C415" s="1" t="n">
        <v>45645</v>
      </c>
      <c r="D415" t="inlineStr">
        <is>
          <t>NORRBOTTENS LÄN</t>
        </is>
      </c>
      <c r="E415" t="inlineStr">
        <is>
          <t>PAJALA</t>
        </is>
      </c>
      <c r="G415" t="n">
        <v>12.5</v>
      </c>
      <c r="H415" t="n">
        <v>0</v>
      </c>
      <c r="I415" t="n">
        <v>0</v>
      </c>
      <c r="J415" t="n">
        <v>0</v>
      </c>
      <c r="K415" t="n">
        <v>0</v>
      </c>
      <c r="L415" t="n">
        <v>0</v>
      </c>
      <c r="M415" t="n">
        <v>0</v>
      </c>
      <c r="N415" t="n">
        <v>0</v>
      </c>
      <c r="O415" t="n">
        <v>0</v>
      </c>
      <c r="P415" t="n">
        <v>0</v>
      </c>
      <c r="Q415" t="n">
        <v>0</v>
      </c>
      <c r="R415" s="2" t="inlineStr"/>
    </row>
    <row r="416" ht="15" customHeight="1">
      <c r="A416" t="inlineStr">
        <is>
          <t>A 19226-2022</t>
        </is>
      </c>
      <c r="B416" s="1" t="n">
        <v>44691</v>
      </c>
      <c r="C416" s="1" t="n">
        <v>45645</v>
      </c>
      <c r="D416" t="inlineStr">
        <is>
          <t>NORRBOTTENS LÄN</t>
        </is>
      </c>
      <c r="E416" t="inlineStr">
        <is>
          <t>PAJALA</t>
        </is>
      </c>
      <c r="G416" t="n">
        <v>4.8</v>
      </c>
      <c r="H416" t="n">
        <v>0</v>
      </c>
      <c r="I416" t="n">
        <v>0</v>
      </c>
      <c r="J416" t="n">
        <v>0</v>
      </c>
      <c r="K416" t="n">
        <v>0</v>
      </c>
      <c r="L416" t="n">
        <v>0</v>
      </c>
      <c r="M416" t="n">
        <v>0</v>
      </c>
      <c r="N416" t="n">
        <v>0</v>
      </c>
      <c r="O416" t="n">
        <v>0</v>
      </c>
      <c r="P416" t="n">
        <v>0</v>
      </c>
      <c r="Q416" t="n">
        <v>0</v>
      </c>
      <c r="R416" s="2" t="inlineStr"/>
    </row>
    <row r="417" ht="15" customHeight="1">
      <c r="A417" t="inlineStr">
        <is>
          <t>A 19259-2022</t>
        </is>
      </c>
      <c r="B417" s="1" t="n">
        <v>44691</v>
      </c>
      <c r="C417" s="1" t="n">
        <v>45645</v>
      </c>
      <c r="D417" t="inlineStr">
        <is>
          <t>NORRBOTTENS LÄN</t>
        </is>
      </c>
      <c r="E417" t="inlineStr">
        <is>
          <t>PAJALA</t>
        </is>
      </c>
      <c r="G417" t="n">
        <v>7.3</v>
      </c>
      <c r="H417" t="n">
        <v>0</v>
      </c>
      <c r="I417" t="n">
        <v>0</v>
      </c>
      <c r="J417" t="n">
        <v>0</v>
      </c>
      <c r="K417" t="n">
        <v>0</v>
      </c>
      <c r="L417" t="n">
        <v>0</v>
      </c>
      <c r="M417" t="n">
        <v>0</v>
      </c>
      <c r="N417" t="n">
        <v>0</v>
      </c>
      <c r="O417" t="n">
        <v>0</v>
      </c>
      <c r="P417" t="n">
        <v>0</v>
      </c>
      <c r="Q417" t="n">
        <v>0</v>
      </c>
      <c r="R417" s="2" t="inlineStr"/>
    </row>
    <row r="418" ht="15" customHeight="1">
      <c r="A418" t="inlineStr">
        <is>
          <t>A 20585-2022</t>
        </is>
      </c>
      <c r="B418" s="1" t="n">
        <v>44700</v>
      </c>
      <c r="C418" s="1" t="n">
        <v>45645</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20695-2022</t>
        </is>
      </c>
      <c r="B419" s="1" t="n">
        <v>44700</v>
      </c>
      <c r="C419" s="1" t="n">
        <v>45645</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22957-2022</t>
        </is>
      </c>
      <c r="B420" s="1" t="n">
        <v>44716</v>
      </c>
      <c r="C420" s="1" t="n">
        <v>45645</v>
      </c>
      <c r="D420" t="inlineStr">
        <is>
          <t>NORRBOTTENS LÄN</t>
        </is>
      </c>
      <c r="E420" t="inlineStr">
        <is>
          <t>PAJALA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24519-2022</t>
        </is>
      </c>
      <c r="B421" s="1" t="n">
        <v>44727</v>
      </c>
      <c r="C421" s="1" t="n">
        <v>45645</v>
      </c>
      <c r="D421" t="inlineStr">
        <is>
          <t>NORRBOTTENS LÄN</t>
        </is>
      </c>
      <c r="E421" t="inlineStr">
        <is>
          <t>PAJALA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24521-2022</t>
        </is>
      </c>
      <c r="B422" s="1" t="n">
        <v>44727</v>
      </c>
      <c r="C422" s="1" t="n">
        <v>45645</v>
      </c>
      <c r="D422" t="inlineStr">
        <is>
          <t>NORRBOTTENS LÄN</t>
        </is>
      </c>
      <c r="E422" t="inlineStr">
        <is>
          <t>PAJALA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24520-2022</t>
        </is>
      </c>
      <c r="B423" s="1" t="n">
        <v>44727</v>
      </c>
      <c r="C423" s="1" t="n">
        <v>45645</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24841-2022</t>
        </is>
      </c>
      <c r="B424" s="1" t="n">
        <v>44728</v>
      </c>
      <c r="C424" s="1" t="n">
        <v>45645</v>
      </c>
      <c r="D424" t="inlineStr">
        <is>
          <t>NORRBOTTENS LÄN</t>
        </is>
      </c>
      <c r="E424" t="inlineStr">
        <is>
          <t>PAJALA</t>
        </is>
      </c>
      <c r="F424" t="inlineStr">
        <is>
          <t>Allmännings- och besparingsskogar</t>
        </is>
      </c>
      <c r="G424" t="n">
        <v>33.8</v>
      </c>
      <c r="H424" t="n">
        <v>0</v>
      </c>
      <c r="I424" t="n">
        <v>0</v>
      </c>
      <c r="J424" t="n">
        <v>0</v>
      </c>
      <c r="K424" t="n">
        <v>0</v>
      </c>
      <c r="L424" t="n">
        <v>0</v>
      </c>
      <c r="M424" t="n">
        <v>0</v>
      </c>
      <c r="N424" t="n">
        <v>0</v>
      </c>
      <c r="O424" t="n">
        <v>0</v>
      </c>
      <c r="P424" t="n">
        <v>0</v>
      </c>
      <c r="Q424" t="n">
        <v>0</v>
      </c>
      <c r="R424" s="2" t="inlineStr"/>
    </row>
    <row r="425" ht="15" customHeight="1">
      <c r="A425" t="inlineStr">
        <is>
          <t>A 26791-2022</t>
        </is>
      </c>
      <c r="B425" s="1" t="n">
        <v>44740</v>
      </c>
      <c r="C425" s="1" t="n">
        <v>45645</v>
      </c>
      <c r="D425" t="inlineStr">
        <is>
          <t>NORRBOTTENS LÄN</t>
        </is>
      </c>
      <c r="E425" t="inlineStr">
        <is>
          <t>PAJALA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27184-2022</t>
        </is>
      </c>
      <c r="B426" s="1" t="n">
        <v>44741</v>
      </c>
      <c r="C426" s="1" t="n">
        <v>45645</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27853-2022</t>
        </is>
      </c>
      <c r="B427" s="1" t="n">
        <v>44743</v>
      </c>
      <c r="C427" s="1" t="n">
        <v>45645</v>
      </c>
      <c r="D427" t="inlineStr">
        <is>
          <t>NORRBOTTENS LÄN</t>
        </is>
      </c>
      <c r="E427" t="inlineStr">
        <is>
          <t>PAJALA</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27709-2022</t>
        </is>
      </c>
      <c r="B428" s="1" t="n">
        <v>44743</v>
      </c>
      <c r="C428" s="1" t="n">
        <v>45645</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28789-2022</t>
        </is>
      </c>
      <c r="B429" s="1" t="n">
        <v>44749</v>
      </c>
      <c r="C429" s="1" t="n">
        <v>45645</v>
      </c>
      <c r="D429" t="inlineStr">
        <is>
          <t>NORRBOTTENS LÄN</t>
        </is>
      </c>
      <c r="E429" t="inlineStr">
        <is>
          <t>PAJALA</t>
        </is>
      </c>
      <c r="G429" t="n">
        <v>0.9</v>
      </c>
      <c r="H429" t="n">
        <v>0</v>
      </c>
      <c r="I429" t="n">
        <v>0</v>
      </c>
      <c r="J429" t="n">
        <v>0</v>
      </c>
      <c r="K429" t="n">
        <v>0</v>
      </c>
      <c r="L429" t="n">
        <v>0</v>
      </c>
      <c r="M429" t="n">
        <v>0</v>
      </c>
      <c r="N429" t="n">
        <v>0</v>
      </c>
      <c r="O429" t="n">
        <v>0</v>
      </c>
      <c r="P429" t="n">
        <v>0</v>
      </c>
      <c r="Q429" t="n">
        <v>0</v>
      </c>
      <c r="R429" s="2" t="inlineStr"/>
    </row>
    <row r="430" ht="15" customHeight="1">
      <c r="A430" t="inlineStr">
        <is>
          <t>A 29708-2022</t>
        </is>
      </c>
      <c r="B430" s="1" t="n">
        <v>44755</v>
      </c>
      <c r="C430" s="1" t="n">
        <v>45645</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29729-2022</t>
        </is>
      </c>
      <c r="B431" s="1" t="n">
        <v>44755</v>
      </c>
      <c r="C431" s="1" t="n">
        <v>45645</v>
      </c>
      <c r="D431" t="inlineStr">
        <is>
          <t>NORRBOTTENS LÄN</t>
        </is>
      </c>
      <c r="E431" t="inlineStr">
        <is>
          <t>PAJALA</t>
        </is>
      </c>
      <c r="G431" t="n">
        <v>5.1</v>
      </c>
      <c r="H431" t="n">
        <v>0</v>
      </c>
      <c r="I431" t="n">
        <v>0</v>
      </c>
      <c r="J431" t="n">
        <v>0</v>
      </c>
      <c r="K431" t="n">
        <v>0</v>
      </c>
      <c r="L431" t="n">
        <v>0</v>
      </c>
      <c r="M431" t="n">
        <v>0</v>
      </c>
      <c r="N431" t="n">
        <v>0</v>
      </c>
      <c r="O431" t="n">
        <v>0</v>
      </c>
      <c r="P431" t="n">
        <v>0</v>
      </c>
      <c r="Q431" t="n">
        <v>0</v>
      </c>
      <c r="R431" s="2" t="inlineStr"/>
    </row>
    <row r="432" ht="15" customHeight="1">
      <c r="A432" t="inlineStr">
        <is>
          <t>A 29769-2022</t>
        </is>
      </c>
      <c r="B432" s="1" t="n">
        <v>44755</v>
      </c>
      <c r="C432" s="1" t="n">
        <v>45645</v>
      </c>
      <c r="D432" t="inlineStr">
        <is>
          <t>NORRBOTTENS LÄN</t>
        </is>
      </c>
      <c r="E432" t="inlineStr">
        <is>
          <t>PAJALA</t>
        </is>
      </c>
      <c r="G432" t="n">
        <v>3.7</v>
      </c>
      <c r="H432" t="n">
        <v>0</v>
      </c>
      <c r="I432" t="n">
        <v>0</v>
      </c>
      <c r="J432" t="n">
        <v>0</v>
      </c>
      <c r="K432" t="n">
        <v>0</v>
      </c>
      <c r="L432" t="n">
        <v>0</v>
      </c>
      <c r="M432" t="n">
        <v>0</v>
      </c>
      <c r="N432" t="n">
        <v>0</v>
      </c>
      <c r="O432" t="n">
        <v>0</v>
      </c>
      <c r="P432" t="n">
        <v>0</v>
      </c>
      <c r="Q432" t="n">
        <v>0</v>
      </c>
      <c r="R432" s="2" t="inlineStr"/>
    </row>
    <row r="433" ht="15" customHeight="1">
      <c r="A433" t="inlineStr">
        <is>
          <t>A 29756-2022</t>
        </is>
      </c>
      <c r="B433" s="1" t="n">
        <v>44755</v>
      </c>
      <c r="C433" s="1" t="n">
        <v>45645</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29793-2022</t>
        </is>
      </c>
      <c r="B434" s="1" t="n">
        <v>44755</v>
      </c>
      <c r="C434" s="1" t="n">
        <v>45645</v>
      </c>
      <c r="D434" t="inlineStr">
        <is>
          <t>NORRBOTTENS LÄN</t>
        </is>
      </c>
      <c r="E434" t="inlineStr">
        <is>
          <t>PAJALA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29747-2022</t>
        </is>
      </c>
      <c r="B435" s="1" t="n">
        <v>44755</v>
      </c>
      <c r="C435" s="1" t="n">
        <v>45645</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29881-2022</t>
        </is>
      </c>
      <c r="B436" s="1" t="n">
        <v>44755</v>
      </c>
      <c r="C436" s="1" t="n">
        <v>45645</v>
      </c>
      <c r="D436" t="inlineStr">
        <is>
          <t>NORRBOTTENS LÄN</t>
        </is>
      </c>
      <c r="E436" t="inlineStr">
        <is>
          <t>PAJALA</t>
        </is>
      </c>
      <c r="G436" t="n">
        <v>10.1</v>
      </c>
      <c r="H436" t="n">
        <v>0</v>
      </c>
      <c r="I436" t="n">
        <v>0</v>
      </c>
      <c r="J436" t="n">
        <v>0</v>
      </c>
      <c r="K436" t="n">
        <v>0</v>
      </c>
      <c r="L436" t="n">
        <v>0</v>
      </c>
      <c r="M436" t="n">
        <v>0</v>
      </c>
      <c r="N436" t="n">
        <v>0</v>
      </c>
      <c r="O436" t="n">
        <v>0</v>
      </c>
      <c r="P436" t="n">
        <v>0</v>
      </c>
      <c r="Q436" t="n">
        <v>0</v>
      </c>
      <c r="R436" s="2" t="inlineStr"/>
    </row>
    <row r="437" ht="15" customHeight="1">
      <c r="A437" t="inlineStr">
        <is>
          <t>A 29877-2022</t>
        </is>
      </c>
      <c r="B437" s="1" t="n">
        <v>44756</v>
      </c>
      <c r="C437" s="1" t="n">
        <v>45645</v>
      </c>
      <c r="D437" t="inlineStr">
        <is>
          <t>NORRBOTTENS LÄN</t>
        </is>
      </c>
      <c r="E437" t="inlineStr">
        <is>
          <t>PAJALA</t>
        </is>
      </c>
      <c r="G437" t="n">
        <v>1</v>
      </c>
      <c r="H437" t="n">
        <v>0</v>
      </c>
      <c r="I437" t="n">
        <v>0</v>
      </c>
      <c r="J437" t="n">
        <v>0</v>
      </c>
      <c r="K437" t="n">
        <v>0</v>
      </c>
      <c r="L437" t="n">
        <v>0</v>
      </c>
      <c r="M437" t="n">
        <v>0</v>
      </c>
      <c r="N437" t="n">
        <v>0</v>
      </c>
      <c r="O437" t="n">
        <v>0</v>
      </c>
      <c r="P437" t="n">
        <v>0</v>
      </c>
      <c r="Q437" t="n">
        <v>0</v>
      </c>
      <c r="R437" s="2" t="inlineStr"/>
    </row>
    <row r="438" ht="15" customHeight="1">
      <c r="A438" t="inlineStr">
        <is>
          <t>A 29866-2022</t>
        </is>
      </c>
      <c r="B438" s="1" t="n">
        <v>44756</v>
      </c>
      <c r="C438" s="1" t="n">
        <v>45645</v>
      </c>
      <c r="D438" t="inlineStr">
        <is>
          <t>NORRBOTTENS LÄN</t>
        </is>
      </c>
      <c r="E438" t="inlineStr">
        <is>
          <t>PAJALA</t>
        </is>
      </c>
      <c r="F438" t="inlineStr">
        <is>
          <t>Allmännings- och besparingsskogar</t>
        </is>
      </c>
      <c r="G438" t="n">
        <v>16.7</v>
      </c>
      <c r="H438" t="n">
        <v>0</v>
      </c>
      <c r="I438" t="n">
        <v>0</v>
      </c>
      <c r="J438" t="n">
        <v>0</v>
      </c>
      <c r="K438" t="n">
        <v>0</v>
      </c>
      <c r="L438" t="n">
        <v>0</v>
      </c>
      <c r="M438" t="n">
        <v>0</v>
      </c>
      <c r="N438" t="n">
        <v>0</v>
      </c>
      <c r="O438" t="n">
        <v>0</v>
      </c>
      <c r="P438" t="n">
        <v>0</v>
      </c>
      <c r="Q438" t="n">
        <v>0</v>
      </c>
      <c r="R438" s="2" t="inlineStr"/>
    </row>
    <row r="439" ht="15" customHeight="1">
      <c r="A439" t="inlineStr">
        <is>
          <t>A 29939-2022</t>
        </is>
      </c>
      <c r="B439" s="1" t="n">
        <v>44756</v>
      </c>
      <c r="C439" s="1" t="n">
        <v>45645</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32010-2022</t>
        </is>
      </c>
      <c r="B440" s="1" t="n">
        <v>44778</v>
      </c>
      <c r="C440" s="1" t="n">
        <v>45645</v>
      </c>
      <c r="D440" t="inlineStr">
        <is>
          <t>NORRBOTTENS LÄN</t>
        </is>
      </c>
      <c r="E440" t="inlineStr">
        <is>
          <t>PAJALA</t>
        </is>
      </c>
      <c r="G440" t="n">
        <v>3.6</v>
      </c>
      <c r="H440" t="n">
        <v>0</v>
      </c>
      <c r="I440" t="n">
        <v>0</v>
      </c>
      <c r="J440" t="n">
        <v>0</v>
      </c>
      <c r="K440" t="n">
        <v>0</v>
      </c>
      <c r="L440" t="n">
        <v>0</v>
      </c>
      <c r="M440" t="n">
        <v>0</v>
      </c>
      <c r="N440" t="n">
        <v>0</v>
      </c>
      <c r="O440" t="n">
        <v>0</v>
      </c>
      <c r="P440" t="n">
        <v>0</v>
      </c>
      <c r="Q440" t="n">
        <v>0</v>
      </c>
      <c r="R440" s="2" t="inlineStr"/>
    </row>
    <row r="441" ht="15" customHeight="1">
      <c r="A441" t="inlineStr">
        <is>
          <t>A 32917-2022</t>
        </is>
      </c>
      <c r="B441" s="1" t="n">
        <v>44784</v>
      </c>
      <c r="C441" s="1" t="n">
        <v>45645</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33868-2022</t>
        </is>
      </c>
      <c r="B442" s="1" t="n">
        <v>44790</v>
      </c>
      <c r="C442" s="1" t="n">
        <v>45645</v>
      </c>
      <c r="D442" t="inlineStr">
        <is>
          <t>NORRBOTTENS LÄN</t>
        </is>
      </c>
      <c r="E442" t="inlineStr">
        <is>
          <t>PAJALA</t>
        </is>
      </c>
      <c r="G442" t="n">
        <v>19.3</v>
      </c>
      <c r="H442" t="n">
        <v>0</v>
      </c>
      <c r="I442" t="n">
        <v>0</v>
      </c>
      <c r="J442" t="n">
        <v>0</v>
      </c>
      <c r="K442" t="n">
        <v>0</v>
      </c>
      <c r="L442" t="n">
        <v>0</v>
      </c>
      <c r="M442" t="n">
        <v>0</v>
      </c>
      <c r="N442" t="n">
        <v>0</v>
      </c>
      <c r="O442" t="n">
        <v>0</v>
      </c>
      <c r="P442" t="n">
        <v>0</v>
      </c>
      <c r="Q442" t="n">
        <v>0</v>
      </c>
      <c r="R442" s="2" t="inlineStr"/>
    </row>
    <row r="443" ht="15" customHeight="1">
      <c r="A443" t="inlineStr">
        <is>
          <t>A 33932-2022</t>
        </is>
      </c>
      <c r="B443" s="1" t="n">
        <v>44790</v>
      </c>
      <c r="C443" s="1" t="n">
        <v>45645</v>
      </c>
      <c r="D443" t="inlineStr">
        <is>
          <t>NORRBOTTENS LÄN</t>
        </is>
      </c>
      <c r="E443" t="inlineStr">
        <is>
          <t>PAJALA</t>
        </is>
      </c>
      <c r="G443" t="n">
        <v>4.5</v>
      </c>
      <c r="H443" t="n">
        <v>0</v>
      </c>
      <c r="I443" t="n">
        <v>0</v>
      </c>
      <c r="J443" t="n">
        <v>0</v>
      </c>
      <c r="K443" t="n">
        <v>0</v>
      </c>
      <c r="L443" t="n">
        <v>0</v>
      </c>
      <c r="M443" t="n">
        <v>0</v>
      </c>
      <c r="N443" t="n">
        <v>0</v>
      </c>
      <c r="O443" t="n">
        <v>0</v>
      </c>
      <c r="P443" t="n">
        <v>0</v>
      </c>
      <c r="Q443" t="n">
        <v>0</v>
      </c>
      <c r="R443" s="2" t="inlineStr"/>
    </row>
    <row r="444" ht="15" customHeight="1">
      <c r="A444" t="inlineStr">
        <is>
          <t>A 34074-2022</t>
        </is>
      </c>
      <c r="B444" s="1" t="n">
        <v>44791</v>
      </c>
      <c r="C444" s="1" t="n">
        <v>45645</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34894-2022</t>
        </is>
      </c>
      <c r="B445" s="1" t="n">
        <v>44796</v>
      </c>
      <c r="C445" s="1" t="n">
        <v>45645</v>
      </c>
      <c r="D445" t="inlineStr">
        <is>
          <t>NORRBOTTENS LÄN</t>
        </is>
      </c>
      <c r="E445" t="inlineStr">
        <is>
          <t>PAJALA</t>
        </is>
      </c>
      <c r="F445" t="inlineStr">
        <is>
          <t>Sveaskog</t>
        </is>
      </c>
      <c r="G445" t="n">
        <v>13.1</v>
      </c>
      <c r="H445" t="n">
        <v>0</v>
      </c>
      <c r="I445" t="n">
        <v>0</v>
      </c>
      <c r="J445" t="n">
        <v>0</v>
      </c>
      <c r="K445" t="n">
        <v>0</v>
      </c>
      <c r="L445" t="n">
        <v>0</v>
      </c>
      <c r="M445" t="n">
        <v>0</v>
      </c>
      <c r="N445" t="n">
        <v>0</v>
      </c>
      <c r="O445" t="n">
        <v>0</v>
      </c>
      <c r="P445" t="n">
        <v>0</v>
      </c>
      <c r="Q445" t="n">
        <v>0</v>
      </c>
      <c r="R445" s="2" t="inlineStr"/>
    </row>
    <row r="446" ht="15" customHeight="1">
      <c r="A446" t="inlineStr">
        <is>
          <t>A 36178-2022</t>
        </is>
      </c>
      <c r="B446" s="1" t="n">
        <v>44803</v>
      </c>
      <c r="C446" s="1" t="n">
        <v>45645</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45645</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39564-2022</t>
        </is>
      </c>
      <c r="B448" s="1" t="n">
        <v>44818</v>
      </c>
      <c r="C448" s="1" t="n">
        <v>45645</v>
      </c>
      <c r="D448" t="inlineStr">
        <is>
          <t>NORRBOTTENS LÄN</t>
        </is>
      </c>
      <c r="E448" t="inlineStr">
        <is>
          <t>PAJALA</t>
        </is>
      </c>
      <c r="G448" t="n">
        <v>1.6</v>
      </c>
      <c r="H448" t="n">
        <v>0</v>
      </c>
      <c r="I448" t="n">
        <v>0</v>
      </c>
      <c r="J448" t="n">
        <v>0</v>
      </c>
      <c r="K448" t="n">
        <v>0</v>
      </c>
      <c r="L448" t="n">
        <v>0</v>
      </c>
      <c r="M448" t="n">
        <v>0</v>
      </c>
      <c r="N448" t="n">
        <v>0</v>
      </c>
      <c r="O448" t="n">
        <v>0</v>
      </c>
      <c r="P448" t="n">
        <v>0</v>
      </c>
      <c r="Q448" t="n">
        <v>0</v>
      </c>
      <c r="R448" s="2" t="inlineStr"/>
    </row>
    <row r="449" ht="15" customHeight="1">
      <c r="A449" t="inlineStr">
        <is>
          <t>A 41504-2022</t>
        </is>
      </c>
      <c r="B449" s="1" t="n">
        <v>44824</v>
      </c>
      <c r="C449" s="1" t="n">
        <v>45645</v>
      </c>
      <c r="D449" t="inlineStr">
        <is>
          <t>NORRBOTTENS LÄN</t>
        </is>
      </c>
      <c r="E449" t="inlineStr">
        <is>
          <t>PAJALA</t>
        </is>
      </c>
      <c r="G449" t="n">
        <v>15.4</v>
      </c>
      <c r="H449" t="n">
        <v>0</v>
      </c>
      <c r="I449" t="n">
        <v>0</v>
      </c>
      <c r="J449" t="n">
        <v>0</v>
      </c>
      <c r="K449" t="n">
        <v>0</v>
      </c>
      <c r="L449" t="n">
        <v>0</v>
      </c>
      <c r="M449" t="n">
        <v>0</v>
      </c>
      <c r="N449" t="n">
        <v>0</v>
      </c>
      <c r="O449" t="n">
        <v>0</v>
      </c>
      <c r="P449" t="n">
        <v>0</v>
      </c>
      <c r="Q449" t="n">
        <v>0</v>
      </c>
      <c r="R449" s="2" t="inlineStr"/>
    </row>
    <row r="450" ht="15" customHeight="1">
      <c r="A450" t="inlineStr">
        <is>
          <t>A 41762-2022</t>
        </is>
      </c>
      <c r="B450" s="1" t="n">
        <v>44827</v>
      </c>
      <c r="C450" s="1" t="n">
        <v>45645</v>
      </c>
      <c r="D450" t="inlineStr">
        <is>
          <t>NORRBOTTENS LÄN</t>
        </is>
      </c>
      <c r="E450" t="inlineStr">
        <is>
          <t>PAJALA</t>
        </is>
      </c>
      <c r="F450" t="inlineStr">
        <is>
          <t>Sveaskog</t>
        </is>
      </c>
      <c r="G450" t="n">
        <v>21.1</v>
      </c>
      <c r="H450" t="n">
        <v>0</v>
      </c>
      <c r="I450" t="n">
        <v>0</v>
      </c>
      <c r="J450" t="n">
        <v>0</v>
      </c>
      <c r="K450" t="n">
        <v>0</v>
      </c>
      <c r="L450" t="n">
        <v>0</v>
      </c>
      <c r="M450" t="n">
        <v>0</v>
      </c>
      <c r="N450" t="n">
        <v>0</v>
      </c>
      <c r="O450" t="n">
        <v>0</v>
      </c>
      <c r="P450" t="n">
        <v>0</v>
      </c>
      <c r="Q450" t="n">
        <v>0</v>
      </c>
      <c r="R450" s="2" t="inlineStr"/>
    </row>
    <row r="451" ht="15" customHeight="1">
      <c r="A451" t="inlineStr">
        <is>
          <t>A 42796-2022</t>
        </is>
      </c>
      <c r="B451" s="1" t="n">
        <v>44832</v>
      </c>
      <c r="C451" s="1" t="n">
        <v>45645</v>
      </c>
      <c r="D451" t="inlineStr">
        <is>
          <t>NORRBOTTENS LÄN</t>
        </is>
      </c>
      <c r="E451" t="inlineStr">
        <is>
          <t>PAJALA</t>
        </is>
      </c>
      <c r="G451" t="n">
        <v>31.1</v>
      </c>
      <c r="H451" t="n">
        <v>0</v>
      </c>
      <c r="I451" t="n">
        <v>0</v>
      </c>
      <c r="J451" t="n">
        <v>0</v>
      </c>
      <c r="K451" t="n">
        <v>0</v>
      </c>
      <c r="L451" t="n">
        <v>0</v>
      </c>
      <c r="M451" t="n">
        <v>0</v>
      </c>
      <c r="N451" t="n">
        <v>0</v>
      </c>
      <c r="O451" t="n">
        <v>0</v>
      </c>
      <c r="P451" t="n">
        <v>0</v>
      </c>
      <c r="Q451" t="n">
        <v>0</v>
      </c>
      <c r="R451" s="2" t="inlineStr"/>
    </row>
    <row r="452" ht="15" customHeight="1">
      <c r="A452" t="inlineStr">
        <is>
          <t>A 43026-2022</t>
        </is>
      </c>
      <c r="B452" s="1" t="n">
        <v>44833</v>
      </c>
      <c r="C452" s="1" t="n">
        <v>45645</v>
      </c>
      <c r="D452" t="inlineStr">
        <is>
          <t>NORRBOTTENS LÄN</t>
        </is>
      </c>
      <c r="E452" t="inlineStr">
        <is>
          <t>PAJALA</t>
        </is>
      </c>
      <c r="F452" t="inlineStr">
        <is>
          <t>Sveaskog</t>
        </is>
      </c>
      <c r="G452" t="n">
        <v>40</v>
      </c>
      <c r="H452" t="n">
        <v>0</v>
      </c>
      <c r="I452" t="n">
        <v>0</v>
      </c>
      <c r="J452" t="n">
        <v>0</v>
      </c>
      <c r="K452" t="n">
        <v>0</v>
      </c>
      <c r="L452" t="n">
        <v>0</v>
      </c>
      <c r="M452" t="n">
        <v>0</v>
      </c>
      <c r="N452" t="n">
        <v>0</v>
      </c>
      <c r="O452" t="n">
        <v>0</v>
      </c>
      <c r="P452" t="n">
        <v>0</v>
      </c>
      <c r="Q452" t="n">
        <v>0</v>
      </c>
      <c r="R452" s="2" t="inlineStr"/>
    </row>
    <row r="453" ht="15" customHeight="1">
      <c r="A453" t="inlineStr">
        <is>
          <t>A 43316-2022</t>
        </is>
      </c>
      <c r="B453" s="1" t="n">
        <v>44834</v>
      </c>
      <c r="C453" s="1" t="n">
        <v>45645</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43396-2022</t>
        </is>
      </c>
      <c r="B454" s="1" t="n">
        <v>44834</v>
      </c>
      <c r="C454" s="1" t="n">
        <v>45645</v>
      </c>
      <c r="D454" t="inlineStr">
        <is>
          <t>NORRBOTTENS LÄN</t>
        </is>
      </c>
      <c r="E454" t="inlineStr">
        <is>
          <t>PAJALA</t>
        </is>
      </c>
      <c r="G454" t="n">
        <v>11.2</v>
      </c>
      <c r="H454" t="n">
        <v>0</v>
      </c>
      <c r="I454" t="n">
        <v>0</v>
      </c>
      <c r="J454" t="n">
        <v>0</v>
      </c>
      <c r="K454" t="n">
        <v>0</v>
      </c>
      <c r="L454" t="n">
        <v>0</v>
      </c>
      <c r="M454" t="n">
        <v>0</v>
      </c>
      <c r="N454" t="n">
        <v>0</v>
      </c>
      <c r="O454" t="n">
        <v>0</v>
      </c>
      <c r="P454" t="n">
        <v>0</v>
      </c>
      <c r="Q454" t="n">
        <v>0</v>
      </c>
      <c r="R454" s="2" t="inlineStr"/>
    </row>
    <row r="455" ht="15" customHeight="1">
      <c r="A455" t="inlineStr">
        <is>
          <t>A 43749-2022</t>
        </is>
      </c>
      <c r="B455" s="1" t="n">
        <v>44837</v>
      </c>
      <c r="C455" s="1" t="n">
        <v>45645</v>
      </c>
      <c r="D455" t="inlineStr">
        <is>
          <t>NORRBOTTENS LÄN</t>
        </is>
      </c>
      <c r="E455" t="inlineStr">
        <is>
          <t>PAJALA</t>
        </is>
      </c>
      <c r="G455" t="n">
        <v>2.3</v>
      </c>
      <c r="H455" t="n">
        <v>0</v>
      </c>
      <c r="I455" t="n">
        <v>0</v>
      </c>
      <c r="J455" t="n">
        <v>0</v>
      </c>
      <c r="K455" t="n">
        <v>0</v>
      </c>
      <c r="L455" t="n">
        <v>0</v>
      </c>
      <c r="M455" t="n">
        <v>0</v>
      </c>
      <c r="N455" t="n">
        <v>0</v>
      </c>
      <c r="O455" t="n">
        <v>0</v>
      </c>
      <c r="P455" t="n">
        <v>0</v>
      </c>
      <c r="Q455" t="n">
        <v>0</v>
      </c>
      <c r="R455" s="2" t="inlineStr"/>
    </row>
    <row r="456" ht="15" customHeight="1">
      <c r="A456" t="inlineStr">
        <is>
          <t>A 43751-2022</t>
        </is>
      </c>
      <c r="B456" s="1" t="n">
        <v>44837</v>
      </c>
      <c r="C456" s="1" t="n">
        <v>45645</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43599-2022</t>
        </is>
      </c>
      <c r="B457" s="1" t="n">
        <v>44837</v>
      </c>
      <c r="C457" s="1" t="n">
        <v>45645</v>
      </c>
      <c r="D457" t="inlineStr">
        <is>
          <t>NORRBOTTENS LÄN</t>
        </is>
      </c>
      <c r="E457" t="inlineStr">
        <is>
          <t>PAJALA</t>
        </is>
      </c>
      <c r="G457" t="n">
        <v>11.1</v>
      </c>
      <c r="H457" t="n">
        <v>0</v>
      </c>
      <c r="I457" t="n">
        <v>0</v>
      </c>
      <c r="J457" t="n">
        <v>0</v>
      </c>
      <c r="K457" t="n">
        <v>0</v>
      </c>
      <c r="L457" t="n">
        <v>0</v>
      </c>
      <c r="M457" t="n">
        <v>0</v>
      </c>
      <c r="N457" t="n">
        <v>0</v>
      </c>
      <c r="O457" t="n">
        <v>0</v>
      </c>
      <c r="P457" t="n">
        <v>0</v>
      </c>
      <c r="Q457" t="n">
        <v>0</v>
      </c>
      <c r="R457" s="2" t="inlineStr"/>
    </row>
    <row r="458" ht="15" customHeight="1">
      <c r="A458" t="inlineStr">
        <is>
          <t>A 43750-2022</t>
        </is>
      </c>
      <c r="B458" s="1" t="n">
        <v>44837</v>
      </c>
      <c r="C458" s="1" t="n">
        <v>45645</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44833-2022</t>
        </is>
      </c>
      <c r="B459" s="1" t="n">
        <v>44839</v>
      </c>
      <c r="C459" s="1" t="n">
        <v>45645</v>
      </c>
      <c r="D459" t="inlineStr">
        <is>
          <t>NORRBOTTENS LÄN</t>
        </is>
      </c>
      <c r="E459" t="inlineStr">
        <is>
          <t>PAJALA</t>
        </is>
      </c>
      <c r="G459" t="n">
        <v>19.9</v>
      </c>
      <c r="H459" t="n">
        <v>0</v>
      </c>
      <c r="I459" t="n">
        <v>0</v>
      </c>
      <c r="J459" t="n">
        <v>0</v>
      </c>
      <c r="K459" t="n">
        <v>0</v>
      </c>
      <c r="L459" t="n">
        <v>0</v>
      </c>
      <c r="M459" t="n">
        <v>0</v>
      </c>
      <c r="N459" t="n">
        <v>0</v>
      </c>
      <c r="O459" t="n">
        <v>0</v>
      </c>
      <c r="P459" t="n">
        <v>0</v>
      </c>
      <c r="Q459" t="n">
        <v>0</v>
      </c>
      <c r="R459" s="2" t="inlineStr"/>
    </row>
    <row r="460" ht="15" customHeight="1">
      <c r="A460" t="inlineStr">
        <is>
          <t>A 44868-2022</t>
        </is>
      </c>
      <c r="B460" s="1" t="n">
        <v>44839</v>
      </c>
      <c r="C460" s="1" t="n">
        <v>45645</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44772-2022</t>
        </is>
      </c>
      <c r="B461" s="1" t="n">
        <v>44841</v>
      </c>
      <c r="C461" s="1" t="n">
        <v>45645</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44821-2022</t>
        </is>
      </c>
      <c r="B462" s="1" t="n">
        <v>44841</v>
      </c>
      <c r="C462" s="1" t="n">
        <v>45645</v>
      </c>
      <c r="D462" t="inlineStr">
        <is>
          <t>NORRBOTTENS LÄN</t>
        </is>
      </c>
      <c r="E462" t="inlineStr">
        <is>
          <t>PAJALA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45181-2022</t>
        </is>
      </c>
      <c r="B463" s="1" t="n">
        <v>44844</v>
      </c>
      <c r="C463" s="1" t="n">
        <v>45645</v>
      </c>
      <c r="D463" t="inlineStr">
        <is>
          <t>NORRBOTTENS LÄN</t>
        </is>
      </c>
      <c r="E463" t="inlineStr">
        <is>
          <t>PAJALA</t>
        </is>
      </c>
      <c r="G463" t="n">
        <v>5.6</v>
      </c>
      <c r="H463" t="n">
        <v>0</v>
      </c>
      <c r="I463" t="n">
        <v>0</v>
      </c>
      <c r="J463" t="n">
        <v>0</v>
      </c>
      <c r="K463" t="n">
        <v>0</v>
      </c>
      <c r="L463" t="n">
        <v>0</v>
      </c>
      <c r="M463" t="n">
        <v>0</v>
      </c>
      <c r="N463" t="n">
        <v>0</v>
      </c>
      <c r="O463" t="n">
        <v>0</v>
      </c>
      <c r="P463" t="n">
        <v>0</v>
      </c>
      <c r="Q463" t="n">
        <v>0</v>
      </c>
      <c r="R463" s="2" t="inlineStr"/>
    </row>
    <row r="464" ht="15" customHeight="1">
      <c r="A464" t="inlineStr">
        <is>
          <t>A 45480-2022</t>
        </is>
      </c>
      <c r="B464" s="1" t="n">
        <v>44845</v>
      </c>
      <c r="C464" s="1" t="n">
        <v>45645</v>
      </c>
      <c r="D464" t="inlineStr">
        <is>
          <t>NORRBOTTENS LÄN</t>
        </is>
      </c>
      <c r="E464" t="inlineStr">
        <is>
          <t>PAJALA</t>
        </is>
      </c>
      <c r="G464" t="n">
        <v>15.5</v>
      </c>
      <c r="H464" t="n">
        <v>0</v>
      </c>
      <c r="I464" t="n">
        <v>0</v>
      </c>
      <c r="J464" t="n">
        <v>0</v>
      </c>
      <c r="K464" t="n">
        <v>0</v>
      </c>
      <c r="L464" t="n">
        <v>0</v>
      </c>
      <c r="M464" t="n">
        <v>0</v>
      </c>
      <c r="N464" t="n">
        <v>0</v>
      </c>
      <c r="O464" t="n">
        <v>0</v>
      </c>
      <c r="P464" t="n">
        <v>0</v>
      </c>
      <c r="Q464" t="n">
        <v>0</v>
      </c>
      <c r="R464" s="2" t="inlineStr"/>
    </row>
    <row r="465" ht="15" customHeight="1">
      <c r="A465" t="inlineStr">
        <is>
          <t>A 46100-2022</t>
        </is>
      </c>
      <c r="B465" s="1" t="n">
        <v>44845</v>
      </c>
      <c r="C465" s="1" t="n">
        <v>45645</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46120-2022</t>
        </is>
      </c>
      <c r="B466" s="1" t="n">
        <v>44845</v>
      </c>
      <c r="C466" s="1" t="n">
        <v>45645</v>
      </c>
      <c r="D466" t="inlineStr">
        <is>
          <t>NORRBOTTENS LÄN</t>
        </is>
      </c>
      <c r="E466" t="inlineStr">
        <is>
          <t>PAJALA</t>
        </is>
      </c>
      <c r="G466" t="n">
        <v>2.2</v>
      </c>
      <c r="H466" t="n">
        <v>0</v>
      </c>
      <c r="I466" t="n">
        <v>0</v>
      </c>
      <c r="J466" t="n">
        <v>0</v>
      </c>
      <c r="K466" t="n">
        <v>0</v>
      </c>
      <c r="L466" t="n">
        <v>0</v>
      </c>
      <c r="M466" t="n">
        <v>0</v>
      </c>
      <c r="N466" t="n">
        <v>0</v>
      </c>
      <c r="O466" t="n">
        <v>0</v>
      </c>
      <c r="P466" t="n">
        <v>0</v>
      </c>
      <c r="Q466" t="n">
        <v>0</v>
      </c>
      <c r="R466" s="2" t="inlineStr"/>
    </row>
    <row r="467" ht="15" customHeight="1">
      <c r="A467" t="inlineStr">
        <is>
          <t>A 45722-2022</t>
        </is>
      </c>
      <c r="B467" s="1" t="n">
        <v>44846</v>
      </c>
      <c r="C467" s="1" t="n">
        <v>45645</v>
      </c>
      <c r="D467" t="inlineStr">
        <is>
          <t>NORRBOTTENS LÄN</t>
        </is>
      </c>
      <c r="E467" t="inlineStr">
        <is>
          <t>PAJALA</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46557-2022</t>
        </is>
      </c>
      <c r="B468" s="1" t="n">
        <v>44848</v>
      </c>
      <c r="C468" s="1" t="n">
        <v>45645</v>
      </c>
      <c r="D468" t="inlineStr">
        <is>
          <t>NORRBOTTENS LÄN</t>
        </is>
      </c>
      <c r="E468" t="inlineStr">
        <is>
          <t>PAJALA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46554-2022</t>
        </is>
      </c>
      <c r="B469" s="1" t="n">
        <v>44848</v>
      </c>
      <c r="C469" s="1" t="n">
        <v>45645</v>
      </c>
      <c r="D469" t="inlineStr">
        <is>
          <t>NORRBOTTENS LÄN</t>
        </is>
      </c>
      <c r="E469" t="inlineStr">
        <is>
          <t>PAJALA</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48170-2022</t>
        </is>
      </c>
      <c r="B470" s="1" t="n">
        <v>44853</v>
      </c>
      <c r="C470" s="1" t="n">
        <v>45645</v>
      </c>
      <c r="D470" t="inlineStr">
        <is>
          <t>NORRBOTTENS LÄN</t>
        </is>
      </c>
      <c r="E470" t="inlineStr">
        <is>
          <t>PAJALA</t>
        </is>
      </c>
      <c r="F470" t="inlineStr">
        <is>
          <t>Allmännings- och besparingsskogar</t>
        </is>
      </c>
      <c r="G470" t="n">
        <v>26.3</v>
      </c>
      <c r="H470" t="n">
        <v>0</v>
      </c>
      <c r="I470" t="n">
        <v>0</v>
      </c>
      <c r="J470" t="n">
        <v>0</v>
      </c>
      <c r="K470" t="n">
        <v>0</v>
      </c>
      <c r="L470" t="n">
        <v>0</v>
      </c>
      <c r="M470" t="n">
        <v>0</v>
      </c>
      <c r="N470" t="n">
        <v>0</v>
      </c>
      <c r="O470" t="n">
        <v>0</v>
      </c>
      <c r="P470" t="n">
        <v>0</v>
      </c>
      <c r="Q470" t="n">
        <v>0</v>
      </c>
      <c r="R470" s="2" t="inlineStr"/>
    </row>
    <row r="471" ht="15" customHeight="1">
      <c r="A471" t="inlineStr">
        <is>
          <t>A 47701-2022</t>
        </is>
      </c>
      <c r="B471" s="1" t="n">
        <v>44854</v>
      </c>
      <c r="C471" s="1" t="n">
        <v>45645</v>
      </c>
      <c r="D471" t="inlineStr">
        <is>
          <t>NORRBOTTENS LÄN</t>
        </is>
      </c>
      <c r="E471" t="inlineStr">
        <is>
          <t>PAJALA</t>
        </is>
      </c>
      <c r="F471" t="inlineStr">
        <is>
          <t>Sveaskog</t>
        </is>
      </c>
      <c r="G471" t="n">
        <v>4.3</v>
      </c>
      <c r="H471" t="n">
        <v>0</v>
      </c>
      <c r="I471" t="n">
        <v>0</v>
      </c>
      <c r="J471" t="n">
        <v>0</v>
      </c>
      <c r="K471" t="n">
        <v>0</v>
      </c>
      <c r="L471" t="n">
        <v>0</v>
      </c>
      <c r="M471" t="n">
        <v>0</v>
      </c>
      <c r="N471" t="n">
        <v>0</v>
      </c>
      <c r="O471" t="n">
        <v>0</v>
      </c>
      <c r="P471" t="n">
        <v>0</v>
      </c>
      <c r="Q471" t="n">
        <v>0</v>
      </c>
      <c r="R471" s="2" t="inlineStr"/>
    </row>
    <row r="472" ht="15" customHeight="1">
      <c r="A472" t="inlineStr">
        <is>
          <t>A 47703-2022</t>
        </is>
      </c>
      <c r="B472" s="1" t="n">
        <v>44854</v>
      </c>
      <c r="C472" s="1" t="n">
        <v>45645</v>
      </c>
      <c r="D472" t="inlineStr">
        <is>
          <t>NORRBOTTENS LÄN</t>
        </is>
      </c>
      <c r="E472" t="inlineStr">
        <is>
          <t>PAJALA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48680-2022</t>
        </is>
      </c>
      <c r="B473" s="1" t="n">
        <v>44859</v>
      </c>
      <c r="C473" s="1" t="n">
        <v>45645</v>
      </c>
      <c r="D473" t="inlineStr">
        <is>
          <t>NORRBOTTENS LÄN</t>
        </is>
      </c>
      <c r="E473" t="inlineStr">
        <is>
          <t>PAJALA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48906-2022</t>
        </is>
      </c>
      <c r="B474" s="1" t="n">
        <v>44859</v>
      </c>
      <c r="C474" s="1" t="n">
        <v>45645</v>
      </c>
      <c r="D474" t="inlineStr">
        <is>
          <t>NORRBOTTENS LÄN</t>
        </is>
      </c>
      <c r="E474" t="inlineStr">
        <is>
          <t>PAJALA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49577-2022</t>
        </is>
      </c>
      <c r="B475" s="1" t="n">
        <v>44859</v>
      </c>
      <c r="C475" s="1" t="n">
        <v>45645</v>
      </c>
      <c r="D475" t="inlineStr">
        <is>
          <t>NORRBOTTENS LÄN</t>
        </is>
      </c>
      <c r="E475" t="inlineStr">
        <is>
          <t>PAJALA</t>
        </is>
      </c>
      <c r="F475" t="inlineStr">
        <is>
          <t>Allmännings- och besparingsskogar</t>
        </is>
      </c>
      <c r="G475" t="n">
        <v>20.4</v>
      </c>
      <c r="H475" t="n">
        <v>0</v>
      </c>
      <c r="I475" t="n">
        <v>0</v>
      </c>
      <c r="J475" t="n">
        <v>0</v>
      </c>
      <c r="K475" t="n">
        <v>0</v>
      </c>
      <c r="L475" t="n">
        <v>0</v>
      </c>
      <c r="M475" t="n">
        <v>0</v>
      </c>
      <c r="N475" t="n">
        <v>0</v>
      </c>
      <c r="O475" t="n">
        <v>0</v>
      </c>
      <c r="P475" t="n">
        <v>0</v>
      </c>
      <c r="Q475" t="n">
        <v>0</v>
      </c>
      <c r="R475" s="2" t="inlineStr"/>
    </row>
    <row r="476" ht="15" customHeight="1">
      <c r="A476" t="inlineStr">
        <is>
          <t>A 49009-2022</t>
        </is>
      </c>
      <c r="B476" s="1" t="n">
        <v>44860</v>
      </c>
      <c r="C476" s="1" t="n">
        <v>45645</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49019-2022</t>
        </is>
      </c>
      <c r="B477" s="1" t="n">
        <v>44860</v>
      </c>
      <c r="C477" s="1" t="n">
        <v>45645</v>
      </c>
      <c r="D477" t="inlineStr">
        <is>
          <t>NORRBOTTENS LÄN</t>
        </is>
      </c>
      <c r="E477" t="inlineStr">
        <is>
          <t>PAJALA</t>
        </is>
      </c>
      <c r="G477" t="n">
        <v>6.5</v>
      </c>
      <c r="H477" t="n">
        <v>0</v>
      </c>
      <c r="I477" t="n">
        <v>0</v>
      </c>
      <c r="J477" t="n">
        <v>0</v>
      </c>
      <c r="K477" t="n">
        <v>0</v>
      </c>
      <c r="L477" t="n">
        <v>0</v>
      </c>
      <c r="M477" t="n">
        <v>0</v>
      </c>
      <c r="N477" t="n">
        <v>0</v>
      </c>
      <c r="O477" t="n">
        <v>0</v>
      </c>
      <c r="P477" t="n">
        <v>0</v>
      </c>
      <c r="Q477" t="n">
        <v>0</v>
      </c>
      <c r="R477" s="2" t="inlineStr"/>
    </row>
    <row r="478" ht="15" customHeight="1">
      <c r="A478" t="inlineStr">
        <is>
          <t>A 49008-2022</t>
        </is>
      </c>
      <c r="B478" s="1" t="n">
        <v>44860</v>
      </c>
      <c r="C478" s="1" t="n">
        <v>45645</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49057-2022</t>
        </is>
      </c>
      <c r="B479" s="1" t="n">
        <v>44860</v>
      </c>
      <c r="C479" s="1" t="n">
        <v>45645</v>
      </c>
      <c r="D479" t="inlineStr">
        <is>
          <t>NORRBOTTENS LÄN</t>
        </is>
      </c>
      <c r="E479" t="inlineStr">
        <is>
          <t>PAJALA</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49994-2022</t>
        </is>
      </c>
      <c r="B480" s="1" t="n">
        <v>44860</v>
      </c>
      <c r="C480" s="1" t="n">
        <v>45645</v>
      </c>
      <c r="D480" t="inlineStr">
        <is>
          <t>NORRBOTTENS LÄN</t>
        </is>
      </c>
      <c r="E480" t="inlineStr">
        <is>
          <t>PAJALA</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50361-2022</t>
        </is>
      </c>
      <c r="B481" s="1" t="n">
        <v>44860</v>
      </c>
      <c r="C481" s="1" t="n">
        <v>45645</v>
      </c>
      <c r="D481" t="inlineStr">
        <is>
          <t>NORRBOTTENS LÄN</t>
        </is>
      </c>
      <c r="E481" t="inlineStr">
        <is>
          <t>PAJALA</t>
        </is>
      </c>
      <c r="G481" t="n">
        <v>33.4</v>
      </c>
      <c r="H481" t="n">
        <v>0</v>
      </c>
      <c r="I481" t="n">
        <v>0</v>
      </c>
      <c r="J481" t="n">
        <v>0</v>
      </c>
      <c r="K481" t="n">
        <v>0</v>
      </c>
      <c r="L481" t="n">
        <v>0</v>
      </c>
      <c r="M481" t="n">
        <v>0</v>
      </c>
      <c r="N481" t="n">
        <v>0</v>
      </c>
      <c r="O481" t="n">
        <v>0</v>
      </c>
      <c r="P481" t="n">
        <v>0</v>
      </c>
      <c r="Q481" t="n">
        <v>0</v>
      </c>
      <c r="R481" s="2" t="inlineStr"/>
    </row>
    <row r="482" ht="15" customHeight="1">
      <c r="A482" t="inlineStr">
        <is>
          <t>A 50389-2022</t>
        </is>
      </c>
      <c r="B482" s="1" t="n">
        <v>44861</v>
      </c>
      <c r="C482" s="1" t="n">
        <v>45645</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50396-2022</t>
        </is>
      </c>
      <c r="B483" s="1" t="n">
        <v>44861</v>
      </c>
      <c r="C483" s="1" t="n">
        <v>45645</v>
      </c>
      <c r="D483" t="inlineStr">
        <is>
          <t>NORRBOTTENS LÄN</t>
        </is>
      </c>
      <c r="E483" t="inlineStr">
        <is>
          <t>PAJALA</t>
        </is>
      </c>
      <c r="F483" t="inlineStr">
        <is>
          <t>Allmännings- och besparingsskogar</t>
        </is>
      </c>
      <c r="G483" t="n">
        <v>1.4</v>
      </c>
      <c r="H483" t="n">
        <v>0</v>
      </c>
      <c r="I483" t="n">
        <v>0</v>
      </c>
      <c r="J483" t="n">
        <v>0</v>
      </c>
      <c r="K483" t="n">
        <v>0</v>
      </c>
      <c r="L483" t="n">
        <v>0</v>
      </c>
      <c r="M483" t="n">
        <v>0</v>
      </c>
      <c r="N483" t="n">
        <v>0</v>
      </c>
      <c r="O483" t="n">
        <v>0</v>
      </c>
      <c r="P483" t="n">
        <v>0</v>
      </c>
      <c r="Q483" t="n">
        <v>0</v>
      </c>
      <c r="R483" s="2" t="inlineStr"/>
    </row>
    <row r="484" ht="15" customHeight="1">
      <c r="A484" t="inlineStr">
        <is>
          <t>A 50725-2022</t>
        </is>
      </c>
      <c r="B484" s="1" t="n">
        <v>44862</v>
      </c>
      <c r="C484" s="1" t="n">
        <v>45645</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51745-2022</t>
        </is>
      </c>
      <c r="B485" s="1" t="n">
        <v>44867</v>
      </c>
      <c r="C485" s="1" t="n">
        <v>45645</v>
      </c>
      <c r="D485" t="inlineStr">
        <is>
          <t>NORRBOTTENS LÄN</t>
        </is>
      </c>
      <c r="E485" t="inlineStr">
        <is>
          <t>PAJALA</t>
        </is>
      </c>
      <c r="F485" t="inlineStr">
        <is>
          <t>Allmännings- och besparingsskogar</t>
        </is>
      </c>
      <c r="G485" t="n">
        <v>33.4</v>
      </c>
      <c r="H485" t="n">
        <v>0</v>
      </c>
      <c r="I485" t="n">
        <v>0</v>
      </c>
      <c r="J485" t="n">
        <v>0</v>
      </c>
      <c r="K485" t="n">
        <v>0</v>
      </c>
      <c r="L485" t="n">
        <v>0</v>
      </c>
      <c r="M485" t="n">
        <v>0</v>
      </c>
      <c r="N485" t="n">
        <v>0</v>
      </c>
      <c r="O485" t="n">
        <v>0</v>
      </c>
      <c r="P485" t="n">
        <v>0</v>
      </c>
      <c r="Q485" t="n">
        <v>0</v>
      </c>
      <c r="R485" s="2" t="inlineStr"/>
    </row>
    <row r="486" ht="15" customHeight="1">
      <c r="A486" t="inlineStr">
        <is>
          <t>A 51391-2022</t>
        </is>
      </c>
      <c r="B486" s="1" t="n">
        <v>44869</v>
      </c>
      <c r="C486" s="1" t="n">
        <v>45645</v>
      </c>
      <c r="D486" t="inlineStr">
        <is>
          <t>NORRBOTTENS LÄN</t>
        </is>
      </c>
      <c r="E486" t="inlineStr">
        <is>
          <t>PAJALA</t>
        </is>
      </c>
      <c r="G486" t="n">
        <v>0</v>
      </c>
      <c r="H486" t="n">
        <v>0</v>
      </c>
      <c r="I486" t="n">
        <v>0</v>
      </c>
      <c r="J486" t="n">
        <v>0</v>
      </c>
      <c r="K486" t="n">
        <v>0</v>
      </c>
      <c r="L486" t="n">
        <v>0</v>
      </c>
      <c r="M486" t="n">
        <v>0</v>
      </c>
      <c r="N486" t="n">
        <v>0</v>
      </c>
      <c r="O486" t="n">
        <v>0</v>
      </c>
      <c r="P486" t="n">
        <v>0</v>
      </c>
      <c r="Q486" t="n">
        <v>0</v>
      </c>
      <c r="R486" s="2" t="inlineStr"/>
    </row>
    <row r="487" ht="15" customHeight="1">
      <c r="A487" t="inlineStr">
        <is>
          <t>A 52340-2022</t>
        </is>
      </c>
      <c r="B487" s="1" t="n">
        <v>44873</v>
      </c>
      <c r="C487" s="1" t="n">
        <v>45645</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52332-2022</t>
        </is>
      </c>
      <c r="B488" s="1" t="n">
        <v>44873</v>
      </c>
      <c r="C488" s="1" t="n">
        <v>45645</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52336-2022</t>
        </is>
      </c>
      <c r="B489" s="1" t="n">
        <v>44873</v>
      </c>
      <c r="C489" s="1" t="n">
        <v>45645</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52333-2022</t>
        </is>
      </c>
      <c r="B490" s="1" t="n">
        <v>44873</v>
      </c>
      <c r="C490" s="1" t="n">
        <v>45645</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52354-2022</t>
        </is>
      </c>
      <c r="B491" s="1" t="n">
        <v>44874</v>
      </c>
      <c r="C491" s="1" t="n">
        <v>45645</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52625-2022</t>
        </is>
      </c>
      <c r="B492" s="1" t="n">
        <v>44874</v>
      </c>
      <c r="C492" s="1" t="n">
        <v>45645</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53423-2022</t>
        </is>
      </c>
      <c r="B493" s="1" t="n">
        <v>44874</v>
      </c>
      <c r="C493" s="1" t="n">
        <v>45645</v>
      </c>
      <c r="D493" t="inlineStr">
        <is>
          <t>NORRBOTTENS LÄN</t>
        </is>
      </c>
      <c r="E493" t="inlineStr">
        <is>
          <t>PAJALA</t>
        </is>
      </c>
      <c r="G493" t="n">
        <v>6.9</v>
      </c>
      <c r="H493" t="n">
        <v>0</v>
      </c>
      <c r="I493" t="n">
        <v>0</v>
      </c>
      <c r="J493" t="n">
        <v>0</v>
      </c>
      <c r="K493" t="n">
        <v>0</v>
      </c>
      <c r="L493" t="n">
        <v>0</v>
      </c>
      <c r="M493" t="n">
        <v>0</v>
      </c>
      <c r="N493" t="n">
        <v>0</v>
      </c>
      <c r="O493" t="n">
        <v>0</v>
      </c>
      <c r="P493" t="n">
        <v>0</v>
      </c>
      <c r="Q493" t="n">
        <v>0</v>
      </c>
      <c r="R493" s="2" t="inlineStr"/>
    </row>
    <row r="494" ht="15" customHeight="1">
      <c r="A494" t="inlineStr">
        <is>
          <t>A 52751-2022</t>
        </is>
      </c>
      <c r="B494" s="1" t="n">
        <v>44875</v>
      </c>
      <c r="C494" s="1" t="n">
        <v>45645</v>
      </c>
      <c r="D494" t="inlineStr">
        <is>
          <t>NORRBOTTENS LÄN</t>
        </is>
      </c>
      <c r="E494" t="inlineStr">
        <is>
          <t>PAJALA</t>
        </is>
      </c>
      <c r="G494" t="n">
        <v>11.9</v>
      </c>
      <c r="H494" t="n">
        <v>0</v>
      </c>
      <c r="I494" t="n">
        <v>0</v>
      </c>
      <c r="J494" t="n">
        <v>0</v>
      </c>
      <c r="K494" t="n">
        <v>0</v>
      </c>
      <c r="L494" t="n">
        <v>0</v>
      </c>
      <c r="M494" t="n">
        <v>0</v>
      </c>
      <c r="N494" t="n">
        <v>0</v>
      </c>
      <c r="O494" t="n">
        <v>0</v>
      </c>
      <c r="P494" t="n">
        <v>0</v>
      </c>
      <c r="Q494" t="n">
        <v>0</v>
      </c>
      <c r="R494" s="2" t="inlineStr"/>
    </row>
    <row r="495" ht="15" customHeight="1">
      <c r="A495" t="inlineStr">
        <is>
          <t>A 54359-2022</t>
        </is>
      </c>
      <c r="B495" s="1" t="n">
        <v>44879</v>
      </c>
      <c r="C495" s="1" t="n">
        <v>45645</v>
      </c>
      <c r="D495" t="inlineStr">
        <is>
          <t>NORRBOTTENS LÄN</t>
        </is>
      </c>
      <c r="E495" t="inlineStr">
        <is>
          <t>PAJALA</t>
        </is>
      </c>
      <c r="G495" t="n">
        <v>40.7</v>
      </c>
      <c r="H495" t="n">
        <v>0</v>
      </c>
      <c r="I495" t="n">
        <v>0</v>
      </c>
      <c r="J495" t="n">
        <v>0</v>
      </c>
      <c r="K495" t="n">
        <v>0</v>
      </c>
      <c r="L495" t="n">
        <v>0</v>
      </c>
      <c r="M495" t="n">
        <v>0</v>
      </c>
      <c r="N495" t="n">
        <v>0</v>
      </c>
      <c r="O495" t="n">
        <v>0</v>
      </c>
      <c r="P495" t="n">
        <v>0</v>
      </c>
      <c r="Q495" t="n">
        <v>0</v>
      </c>
      <c r="R495" s="2" t="inlineStr"/>
    </row>
    <row r="496" ht="15" customHeight="1">
      <c r="A496" t="inlineStr">
        <is>
          <t>A 54322-2022</t>
        </is>
      </c>
      <c r="B496" s="1" t="n">
        <v>44882</v>
      </c>
      <c r="C496" s="1" t="n">
        <v>45645</v>
      </c>
      <c r="D496" t="inlineStr">
        <is>
          <t>NORRBOTTENS LÄN</t>
        </is>
      </c>
      <c r="E496" t="inlineStr">
        <is>
          <t>PAJALA</t>
        </is>
      </c>
      <c r="G496" t="n">
        <v>10.8</v>
      </c>
      <c r="H496" t="n">
        <v>0</v>
      </c>
      <c r="I496" t="n">
        <v>0</v>
      </c>
      <c r="J496" t="n">
        <v>0</v>
      </c>
      <c r="K496" t="n">
        <v>0</v>
      </c>
      <c r="L496" t="n">
        <v>0</v>
      </c>
      <c r="M496" t="n">
        <v>0</v>
      </c>
      <c r="N496" t="n">
        <v>0</v>
      </c>
      <c r="O496" t="n">
        <v>0</v>
      </c>
      <c r="P496" t="n">
        <v>0</v>
      </c>
      <c r="Q496" t="n">
        <v>0</v>
      </c>
      <c r="R496" s="2" t="inlineStr"/>
    </row>
    <row r="497" ht="15" customHeight="1">
      <c r="A497" t="inlineStr">
        <is>
          <t>A 54863-2022</t>
        </is>
      </c>
      <c r="B497" s="1" t="n">
        <v>44884</v>
      </c>
      <c r="C497" s="1" t="n">
        <v>45645</v>
      </c>
      <c r="D497" t="inlineStr">
        <is>
          <t>NORRBOTTENS LÄN</t>
        </is>
      </c>
      <c r="E497" t="inlineStr">
        <is>
          <t>PAJALA</t>
        </is>
      </c>
      <c r="G497" t="n">
        <v>3.7</v>
      </c>
      <c r="H497" t="n">
        <v>0</v>
      </c>
      <c r="I497" t="n">
        <v>0</v>
      </c>
      <c r="J497" t="n">
        <v>0</v>
      </c>
      <c r="K497" t="n">
        <v>0</v>
      </c>
      <c r="L497" t="n">
        <v>0</v>
      </c>
      <c r="M497" t="n">
        <v>0</v>
      </c>
      <c r="N497" t="n">
        <v>0</v>
      </c>
      <c r="O497" t="n">
        <v>0</v>
      </c>
      <c r="P497" t="n">
        <v>0</v>
      </c>
      <c r="Q497" t="n">
        <v>0</v>
      </c>
      <c r="R497" s="2" t="inlineStr"/>
    </row>
    <row r="498" ht="15" customHeight="1">
      <c r="A498" t="inlineStr">
        <is>
          <t>A 54862-2022</t>
        </is>
      </c>
      <c r="B498" s="1" t="n">
        <v>44884</v>
      </c>
      <c r="C498" s="1" t="n">
        <v>45645</v>
      </c>
      <c r="D498" t="inlineStr">
        <is>
          <t>NORRBOTTENS LÄN</t>
        </is>
      </c>
      <c r="E498" t="inlineStr">
        <is>
          <t>PAJALA</t>
        </is>
      </c>
      <c r="G498" t="n">
        <v>4.1</v>
      </c>
      <c r="H498" t="n">
        <v>0</v>
      </c>
      <c r="I498" t="n">
        <v>0</v>
      </c>
      <c r="J498" t="n">
        <v>0</v>
      </c>
      <c r="K498" t="n">
        <v>0</v>
      </c>
      <c r="L498" t="n">
        <v>0</v>
      </c>
      <c r="M498" t="n">
        <v>0</v>
      </c>
      <c r="N498" t="n">
        <v>0</v>
      </c>
      <c r="O498" t="n">
        <v>0</v>
      </c>
      <c r="P498" t="n">
        <v>0</v>
      </c>
      <c r="Q498" t="n">
        <v>0</v>
      </c>
      <c r="R498" s="2" t="inlineStr"/>
    </row>
    <row r="499" ht="15" customHeight="1">
      <c r="A499" t="inlineStr">
        <is>
          <t>A 54861-2022</t>
        </is>
      </c>
      <c r="B499" s="1" t="n">
        <v>44884</v>
      </c>
      <c r="C499" s="1" t="n">
        <v>45645</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55462-2022</t>
        </is>
      </c>
      <c r="B500" s="1" t="n">
        <v>44887</v>
      </c>
      <c r="C500" s="1" t="n">
        <v>45645</v>
      </c>
      <c r="D500" t="inlineStr">
        <is>
          <t>NORRBOTTENS LÄN</t>
        </is>
      </c>
      <c r="E500" t="inlineStr">
        <is>
          <t>PAJALA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56087-2022</t>
        </is>
      </c>
      <c r="B501" s="1" t="n">
        <v>44889</v>
      </c>
      <c r="C501" s="1" t="n">
        <v>45645</v>
      </c>
      <c r="D501" t="inlineStr">
        <is>
          <t>NORRBOTTENS LÄN</t>
        </is>
      </c>
      <c r="E501" t="inlineStr">
        <is>
          <t>PAJALA</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57323-2022</t>
        </is>
      </c>
      <c r="B502" s="1" t="n">
        <v>44889</v>
      </c>
      <c r="C502" s="1" t="n">
        <v>45645</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57331-2022</t>
        </is>
      </c>
      <c r="B503" s="1" t="n">
        <v>44889</v>
      </c>
      <c r="C503" s="1" t="n">
        <v>45645</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56445-2022</t>
        </is>
      </c>
      <c r="B504" s="1" t="n">
        <v>44892</v>
      </c>
      <c r="C504" s="1" t="n">
        <v>45645</v>
      </c>
      <c r="D504" t="inlineStr">
        <is>
          <t>NORRBOTTENS LÄN</t>
        </is>
      </c>
      <c r="E504" t="inlineStr">
        <is>
          <t>PAJALA</t>
        </is>
      </c>
      <c r="G504" t="n">
        <v>15.6</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45645</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56446-2022</t>
        </is>
      </c>
      <c r="B506" s="1" t="n">
        <v>44892</v>
      </c>
      <c r="C506" s="1" t="n">
        <v>45645</v>
      </c>
      <c r="D506" t="inlineStr">
        <is>
          <t>NORRBOTTENS LÄN</t>
        </is>
      </c>
      <c r="E506" t="inlineStr">
        <is>
          <t>PAJALA</t>
        </is>
      </c>
      <c r="G506" t="n">
        <v>3.2</v>
      </c>
      <c r="H506" t="n">
        <v>0</v>
      </c>
      <c r="I506" t="n">
        <v>0</v>
      </c>
      <c r="J506" t="n">
        <v>0</v>
      </c>
      <c r="K506" t="n">
        <v>0</v>
      </c>
      <c r="L506" t="n">
        <v>0</v>
      </c>
      <c r="M506" t="n">
        <v>0</v>
      </c>
      <c r="N506" t="n">
        <v>0</v>
      </c>
      <c r="O506" t="n">
        <v>0</v>
      </c>
      <c r="P506" t="n">
        <v>0</v>
      </c>
      <c r="Q506" t="n">
        <v>0</v>
      </c>
      <c r="R506" s="2" t="inlineStr"/>
    </row>
    <row r="507" ht="15" customHeight="1">
      <c r="A507" t="inlineStr">
        <is>
          <t>A 56448-2022</t>
        </is>
      </c>
      <c r="B507" s="1" t="n">
        <v>44892</v>
      </c>
      <c r="C507" s="1" t="n">
        <v>45645</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56994-2022</t>
        </is>
      </c>
      <c r="B508" s="1" t="n">
        <v>44894</v>
      </c>
      <c r="C508" s="1" t="n">
        <v>45645</v>
      </c>
      <c r="D508" t="inlineStr">
        <is>
          <t>NORRBOTTENS LÄN</t>
        </is>
      </c>
      <c r="E508" t="inlineStr">
        <is>
          <t>PAJALA</t>
        </is>
      </c>
      <c r="G508" t="n">
        <v>0.8</v>
      </c>
      <c r="H508" t="n">
        <v>0</v>
      </c>
      <c r="I508" t="n">
        <v>0</v>
      </c>
      <c r="J508" t="n">
        <v>0</v>
      </c>
      <c r="K508" t="n">
        <v>0</v>
      </c>
      <c r="L508" t="n">
        <v>0</v>
      </c>
      <c r="M508" t="n">
        <v>0</v>
      </c>
      <c r="N508" t="n">
        <v>0</v>
      </c>
      <c r="O508" t="n">
        <v>0</v>
      </c>
      <c r="P508" t="n">
        <v>0</v>
      </c>
      <c r="Q508" t="n">
        <v>0</v>
      </c>
      <c r="R508" s="2" t="inlineStr"/>
    </row>
    <row r="509" ht="15" customHeight="1">
      <c r="A509" t="inlineStr">
        <is>
          <t>A 58609-2022</t>
        </is>
      </c>
      <c r="B509" s="1" t="n">
        <v>44895</v>
      </c>
      <c r="C509" s="1" t="n">
        <v>45645</v>
      </c>
      <c r="D509" t="inlineStr">
        <is>
          <t>NORRBOTTENS LÄN</t>
        </is>
      </c>
      <c r="E509" t="inlineStr">
        <is>
          <t>PAJALA</t>
        </is>
      </c>
      <c r="G509" t="n">
        <v>2</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45645</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60948-2022</t>
        </is>
      </c>
      <c r="B511" s="1" t="n">
        <v>44908</v>
      </c>
      <c r="C511" s="1" t="n">
        <v>45645</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60961-2022</t>
        </is>
      </c>
      <c r="B512" s="1" t="n">
        <v>44908</v>
      </c>
      <c r="C512" s="1" t="n">
        <v>45645</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60951-2022</t>
        </is>
      </c>
      <c r="B513" s="1" t="n">
        <v>44908</v>
      </c>
      <c r="C513" s="1" t="n">
        <v>45645</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45645</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60520-2022</t>
        </is>
      </c>
      <c r="B515" s="1" t="n">
        <v>44911</v>
      </c>
      <c r="C515" s="1" t="n">
        <v>45645</v>
      </c>
      <c r="D515" t="inlineStr">
        <is>
          <t>NORRBOTTENS LÄN</t>
        </is>
      </c>
      <c r="E515" t="inlineStr">
        <is>
          <t>PAJALA</t>
        </is>
      </c>
      <c r="F515" t="inlineStr">
        <is>
          <t>Kyrkan</t>
        </is>
      </c>
      <c r="G515" t="n">
        <v>20.1</v>
      </c>
      <c r="H515" t="n">
        <v>0</v>
      </c>
      <c r="I515" t="n">
        <v>0</v>
      </c>
      <c r="J515" t="n">
        <v>0</v>
      </c>
      <c r="K515" t="n">
        <v>0</v>
      </c>
      <c r="L515" t="n">
        <v>0</v>
      </c>
      <c r="M515" t="n">
        <v>0</v>
      </c>
      <c r="N515" t="n">
        <v>0</v>
      </c>
      <c r="O515" t="n">
        <v>0</v>
      </c>
      <c r="P515" t="n">
        <v>0</v>
      </c>
      <c r="Q515" t="n">
        <v>0</v>
      </c>
      <c r="R515" s="2" t="inlineStr"/>
    </row>
    <row r="516" ht="15" customHeight="1">
      <c r="A516" t="inlineStr">
        <is>
          <t>A 61613-2022</t>
        </is>
      </c>
      <c r="B516" s="1" t="n">
        <v>44916</v>
      </c>
      <c r="C516" s="1" t="n">
        <v>45645</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62298-2022</t>
        </is>
      </c>
      <c r="B517" s="1" t="n">
        <v>44923</v>
      </c>
      <c r="C517" s="1" t="n">
        <v>45645</v>
      </c>
      <c r="D517" t="inlineStr">
        <is>
          <t>NORRBOTTENS LÄN</t>
        </is>
      </c>
      <c r="E517" t="inlineStr">
        <is>
          <t>PAJALA</t>
        </is>
      </c>
      <c r="G517" t="n">
        <v>38.8</v>
      </c>
      <c r="H517" t="n">
        <v>0</v>
      </c>
      <c r="I517" t="n">
        <v>0</v>
      </c>
      <c r="J517" t="n">
        <v>0</v>
      </c>
      <c r="K517" t="n">
        <v>0</v>
      </c>
      <c r="L517" t="n">
        <v>0</v>
      </c>
      <c r="M517" t="n">
        <v>0</v>
      </c>
      <c r="N517" t="n">
        <v>0</v>
      </c>
      <c r="O517" t="n">
        <v>0</v>
      </c>
      <c r="P517" t="n">
        <v>0</v>
      </c>
      <c r="Q517" t="n">
        <v>0</v>
      </c>
      <c r="R517" s="2" t="inlineStr"/>
    </row>
    <row r="518" ht="15" customHeight="1">
      <c r="A518" t="inlineStr">
        <is>
          <t>A 2647-2023</t>
        </is>
      </c>
      <c r="B518" s="1" t="n">
        <v>44944</v>
      </c>
      <c r="C518" s="1" t="n">
        <v>45645</v>
      </c>
      <c r="D518" t="inlineStr">
        <is>
          <t>NORRBOTTENS LÄN</t>
        </is>
      </c>
      <c r="E518" t="inlineStr">
        <is>
          <t>PAJALA</t>
        </is>
      </c>
      <c r="G518" t="n">
        <v>18.4</v>
      </c>
      <c r="H518" t="n">
        <v>0</v>
      </c>
      <c r="I518" t="n">
        <v>0</v>
      </c>
      <c r="J518" t="n">
        <v>0</v>
      </c>
      <c r="K518" t="n">
        <v>0</v>
      </c>
      <c r="L518" t="n">
        <v>0</v>
      </c>
      <c r="M518" t="n">
        <v>0</v>
      </c>
      <c r="N518" t="n">
        <v>0</v>
      </c>
      <c r="O518" t="n">
        <v>0</v>
      </c>
      <c r="P518" t="n">
        <v>0</v>
      </c>
      <c r="Q518" t="n">
        <v>0</v>
      </c>
      <c r="R518" s="2" t="inlineStr"/>
    </row>
    <row r="519" ht="15" customHeight="1">
      <c r="A519" t="inlineStr">
        <is>
          <t>A 2651-2023</t>
        </is>
      </c>
      <c r="B519" s="1" t="n">
        <v>44944</v>
      </c>
      <c r="C519" s="1" t="n">
        <v>45645</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2928-2023</t>
        </is>
      </c>
      <c r="B520" s="1" t="n">
        <v>44944</v>
      </c>
      <c r="C520" s="1" t="n">
        <v>45645</v>
      </c>
      <c r="D520" t="inlineStr">
        <is>
          <t>NORRBOTTENS LÄN</t>
        </is>
      </c>
      <c r="E520" t="inlineStr">
        <is>
          <t>PAJALA</t>
        </is>
      </c>
      <c r="G520" t="n">
        <v>15.2</v>
      </c>
      <c r="H520" t="n">
        <v>0</v>
      </c>
      <c r="I520" t="n">
        <v>0</v>
      </c>
      <c r="J520" t="n">
        <v>0</v>
      </c>
      <c r="K520" t="n">
        <v>0</v>
      </c>
      <c r="L520" t="n">
        <v>0</v>
      </c>
      <c r="M520" t="n">
        <v>0</v>
      </c>
      <c r="N520" t="n">
        <v>0</v>
      </c>
      <c r="O520" t="n">
        <v>0</v>
      </c>
      <c r="P520" t="n">
        <v>0</v>
      </c>
      <c r="Q520" t="n">
        <v>0</v>
      </c>
      <c r="R520" s="2" t="inlineStr"/>
    </row>
    <row r="521" ht="15" customHeight="1">
      <c r="A521" t="inlineStr">
        <is>
          <t>A 2948-2023</t>
        </is>
      </c>
      <c r="B521" s="1" t="n">
        <v>44945</v>
      </c>
      <c r="C521" s="1" t="n">
        <v>45645</v>
      </c>
      <c r="D521" t="inlineStr">
        <is>
          <t>NORRBOTTENS LÄN</t>
        </is>
      </c>
      <c r="E521" t="inlineStr">
        <is>
          <t>PAJALA</t>
        </is>
      </c>
      <c r="G521" t="n">
        <v>13</v>
      </c>
      <c r="H521" t="n">
        <v>0</v>
      </c>
      <c r="I521" t="n">
        <v>0</v>
      </c>
      <c r="J521" t="n">
        <v>0</v>
      </c>
      <c r="K521" t="n">
        <v>0</v>
      </c>
      <c r="L521" t="n">
        <v>0</v>
      </c>
      <c r="M521" t="n">
        <v>0</v>
      </c>
      <c r="N521" t="n">
        <v>0</v>
      </c>
      <c r="O521" t="n">
        <v>0</v>
      </c>
      <c r="P521" t="n">
        <v>0</v>
      </c>
      <c r="Q521" t="n">
        <v>0</v>
      </c>
      <c r="R521" s="2" t="inlineStr"/>
    </row>
    <row r="522" ht="15" customHeight="1">
      <c r="A522" t="inlineStr">
        <is>
          <t>A 2925-2023</t>
        </is>
      </c>
      <c r="B522" s="1" t="n">
        <v>44945</v>
      </c>
      <c r="C522" s="1" t="n">
        <v>45645</v>
      </c>
      <c r="D522" t="inlineStr">
        <is>
          <t>NORRBOTTENS LÄN</t>
        </is>
      </c>
      <c r="E522" t="inlineStr">
        <is>
          <t>PAJALA</t>
        </is>
      </c>
      <c r="G522" t="n">
        <v>20.2</v>
      </c>
      <c r="H522" t="n">
        <v>0</v>
      </c>
      <c r="I522" t="n">
        <v>0</v>
      </c>
      <c r="J522" t="n">
        <v>0</v>
      </c>
      <c r="K522" t="n">
        <v>0</v>
      </c>
      <c r="L522" t="n">
        <v>0</v>
      </c>
      <c r="M522" t="n">
        <v>0</v>
      </c>
      <c r="N522" t="n">
        <v>0</v>
      </c>
      <c r="O522" t="n">
        <v>0</v>
      </c>
      <c r="P522" t="n">
        <v>0</v>
      </c>
      <c r="Q522" t="n">
        <v>0</v>
      </c>
      <c r="R522" s="2" t="inlineStr"/>
    </row>
    <row r="523" ht="15" customHeight="1">
      <c r="A523" t="inlineStr">
        <is>
          <t>A 2931-2023</t>
        </is>
      </c>
      <c r="B523" s="1" t="n">
        <v>44945</v>
      </c>
      <c r="C523" s="1" t="n">
        <v>45645</v>
      </c>
      <c r="D523" t="inlineStr">
        <is>
          <t>NORRBOTTENS LÄN</t>
        </is>
      </c>
      <c r="E523" t="inlineStr">
        <is>
          <t>PAJALA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4354-2023</t>
        </is>
      </c>
      <c r="B524" s="1" t="n">
        <v>44954</v>
      </c>
      <c r="C524" s="1" t="n">
        <v>45645</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45645</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5434-2023</t>
        </is>
      </c>
      <c r="B526" s="1" t="n">
        <v>44959</v>
      </c>
      <c r="C526" s="1" t="n">
        <v>45645</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5336-2023</t>
        </is>
      </c>
      <c r="B527" s="1" t="n">
        <v>44959</v>
      </c>
      <c r="C527" s="1" t="n">
        <v>45645</v>
      </c>
      <c r="D527" t="inlineStr">
        <is>
          <t>NORRBOTTENS LÄN</t>
        </is>
      </c>
      <c r="E527" t="inlineStr">
        <is>
          <t>PAJALA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5435-2023</t>
        </is>
      </c>
      <c r="B528" s="1" t="n">
        <v>44959</v>
      </c>
      <c r="C528" s="1" t="n">
        <v>45645</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5432-2023</t>
        </is>
      </c>
      <c r="B529" s="1" t="n">
        <v>44959</v>
      </c>
      <c r="C529" s="1" t="n">
        <v>45645</v>
      </c>
      <c r="D529" t="inlineStr">
        <is>
          <t>NORRBOTTENS LÄN</t>
        </is>
      </c>
      <c r="E529" t="inlineStr">
        <is>
          <t>PAJALA</t>
        </is>
      </c>
      <c r="G529" t="n">
        <v>3</v>
      </c>
      <c r="H529" t="n">
        <v>0</v>
      </c>
      <c r="I529" t="n">
        <v>0</v>
      </c>
      <c r="J529" t="n">
        <v>0</v>
      </c>
      <c r="K529" t="n">
        <v>0</v>
      </c>
      <c r="L529" t="n">
        <v>0</v>
      </c>
      <c r="M529" t="n">
        <v>0</v>
      </c>
      <c r="N529" t="n">
        <v>0</v>
      </c>
      <c r="O529" t="n">
        <v>0</v>
      </c>
      <c r="P529" t="n">
        <v>0</v>
      </c>
      <c r="Q529" t="n">
        <v>0</v>
      </c>
      <c r="R529" s="2" t="inlineStr"/>
    </row>
    <row r="530" ht="15" customHeight="1">
      <c r="A530" t="inlineStr">
        <is>
          <t>A 5706-2023</t>
        </is>
      </c>
      <c r="B530" s="1" t="n">
        <v>44960</v>
      </c>
      <c r="C530" s="1" t="n">
        <v>45645</v>
      </c>
      <c r="D530" t="inlineStr">
        <is>
          <t>NORRBOTTENS LÄN</t>
        </is>
      </c>
      <c r="E530" t="inlineStr">
        <is>
          <t>PAJALA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5693-2023</t>
        </is>
      </c>
      <c r="B531" s="1" t="n">
        <v>44960</v>
      </c>
      <c r="C531" s="1" t="n">
        <v>45645</v>
      </c>
      <c r="D531" t="inlineStr">
        <is>
          <t>NORRBOTTENS LÄN</t>
        </is>
      </c>
      <c r="E531" t="inlineStr">
        <is>
          <t>PAJALA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5707-2023</t>
        </is>
      </c>
      <c r="B532" s="1" t="n">
        <v>44960</v>
      </c>
      <c r="C532" s="1" t="n">
        <v>45645</v>
      </c>
      <c r="D532" t="inlineStr">
        <is>
          <t>NORRBOTTENS LÄN</t>
        </is>
      </c>
      <c r="E532" t="inlineStr">
        <is>
          <t>PAJALA</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5784-2023</t>
        </is>
      </c>
      <c r="B533" s="1" t="n">
        <v>44963</v>
      </c>
      <c r="C533" s="1" t="n">
        <v>45645</v>
      </c>
      <c r="D533" t="inlineStr">
        <is>
          <t>NORRBOTTENS LÄN</t>
        </is>
      </c>
      <c r="E533" t="inlineStr">
        <is>
          <t>PAJALA</t>
        </is>
      </c>
      <c r="G533" t="n">
        <v>5.2</v>
      </c>
      <c r="H533" t="n">
        <v>0</v>
      </c>
      <c r="I533" t="n">
        <v>0</v>
      </c>
      <c r="J533" t="n">
        <v>0</v>
      </c>
      <c r="K533" t="n">
        <v>0</v>
      </c>
      <c r="L533" t="n">
        <v>0</v>
      </c>
      <c r="M533" t="n">
        <v>0</v>
      </c>
      <c r="N533" t="n">
        <v>0</v>
      </c>
      <c r="O533" t="n">
        <v>0</v>
      </c>
      <c r="P533" t="n">
        <v>0</v>
      </c>
      <c r="Q533" t="n">
        <v>0</v>
      </c>
      <c r="R533" s="2" t="inlineStr"/>
    </row>
    <row r="534" ht="15" customHeight="1">
      <c r="A534" t="inlineStr">
        <is>
          <t>A 5788-2023</t>
        </is>
      </c>
      <c r="B534" s="1" t="n">
        <v>44963</v>
      </c>
      <c r="C534" s="1" t="n">
        <v>45645</v>
      </c>
      <c r="D534" t="inlineStr">
        <is>
          <t>NORRBOTTENS LÄN</t>
        </is>
      </c>
      <c r="E534" t="inlineStr">
        <is>
          <t>PAJALA</t>
        </is>
      </c>
      <c r="G534" t="n">
        <v>0.8</v>
      </c>
      <c r="H534" t="n">
        <v>0</v>
      </c>
      <c r="I534" t="n">
        <v>0</v>
      </c>
      <c r="J534" t="n">
        <v>0</v>
      </c>
      <c r="K534" t="n">
        <v>0</v>
      </c>
      <c r="L534" t="n">
        <v>0</v>
      </c>
      <c r="M534" t="n">
        <v>0</v>
      </c>
      <c r="N534" t="n">
        <v>0</v>
      </c>
      <c r="O534" t="n">
        <v>0</v>
      </c>
      <c r="P534" t="n">
        <v>0</v>
      </c>
      <c r="Q534" t="n">
        <v>0</v>
      </c>
      <c r="R534" s="2" t="inlineStr"/>
    </row>
    <row r="535" ht="15" customHeight="1">
      <c r="A535" t="inlineStr">
        <is>
          <t>A 5786-2023</t>
        </is>
      </c>
      <c r="B535" s="1" t="n">
        <v>44963</v>
      </c>
      <c r="C535" s="1" t="n">
        <v>45645</v>
      </c>
      <c r="D535" t="inlineStr">
        <is>
          <t>NORRBOTTENS LÄN</t>
        </is>
      </c>
      <c r="E535" t="inlineStr">
        <is>
          <t>PAJALA</t>
        </is>
      </c>
      <c r="G535" t="n">
        <v>4.5</v>
      </c>
      <c r="H535" t="n">
        <v>0</v>
      </c>
      <c r="I535" t="n">
        <v>0</v>
      </c>
      <c r="J535" t="n">
        <v>0</v>
      </c>
      <c r="K535" t="n">
        <v>0</v>
      </c>
      <c r="L535" t="n">
        <v>0</v>
      </c>
      <c r="M535" t="n">
        <v>0</v>
      </c>
      <c r="N535" t="n">
        <v>0</v>
      </c>
      <c r="O535" t="n">
        <v>0</v>
      </c>
      <c r="P535" t="n">
        <v>0</v>
      </c>
      <c r="Q535" t="n">
        <v>0</v>
      </c>
      <c r="R535" s="2" t="inlineStr"/>
    </row>
    <row r="536" ht="15" customHeight="1">
      <c r="A536" t="inlineStr">
        <is>
          <t>A 5791-2023</t>
        </is>
      </c>
      <c r="B536" s="1" t="n">
        <v>44963</v>
      </c>
      <c r="C536" s="1" t="n">
        <v>45645</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5780-2023</t>
        </is>
      </c>
      <c r="B537" s="1" t="n">
        <v>44963</v>
      </c>
      <c r="C537" s="1" t="n">
        <v>45645</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6973-2023</t>
        </is>
      </c>
      <c r="B538" s="1" t="n">
        <v>44964</v>
      </c>
      <c r="C538" s="1" t="n">
        <v>45645</v>
      </c>
      <c r="D538" t="inlineStr">
        <is>
          <t>NORRBOTTENS LÄN</t>
        </is>
      </c>
      <c r="E538" t="inlineStr">
        <is>
          <t>PAJALA</t>
        </is>
      </c>
      <c r="G538" t="n">
        <v>17.5</v>
      </c>
      <c r="H538" t="n">
        <v>0</v>
      </c>
      <c r="I538" t="n">
        <v>0</v>
      </c>
      <c r="J538" t="n">
        <v>0</v>
      </c>
      <c r="K538" t="n">
        <v>0</v>
      </c>
      <c r="L538" t="n">
        <v>0</v>
      </c>
      <c r="M538" t="n">
        <v>0</v>
      </c>
      <c r="N538" t="n">
        <v>0</v>
      </c>
      <c r="O538" t="n">
        <v>0</v>
      </c>
      <c r="P538" t="n">
        <v>0</v>
      </c>
      <c r="Q538" t="n">
        <v>0</v>
      </c>
      <c r="R538" s="2" t="inlineStr"/>
    </row>
    <row r="539" ht="15" customHeight="1">
      <c r="A539" t="inlineStr">
        <is>
          <t>A 7029-2023</t>
        </is>
      </c>
      <c r="B539" s="1" t="n">
        <v>44968</v>
      </c>
      <c r="C539" s="1" t="n">
        <v>45645</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7033-2023</t>
        </is>
      </c>
      <c r="B540" s="1" t="n">
        <v>44968</v>
      </c>
      <c r="C540" s="1" t="n">
        <v>45645</v>
      </c>
      <c r="D540" t="inlineStr">
        <is>
          <t>NORRBOTTENS LÄN</t>
        </is>
      </c>
      <c r="E540" t="inlineStr">
        <is>
          <t>PAJALA</t>
        </is>
      </c>
      <c r="G540" t="n">
        <v>2.9</v>
      </c>
      <c r="H540" t="n">
        <v>0</v>
      </c>
      <c r="I540" t="n">
        <v>0</v>
      </c>
      <c r="J540" t="n">
        <v>0</v>
      </c>
      <c r="K540" t="n">
        <v>0</v>
      </c>
      <c r="L540" t="n">
        <v>0</v>
      </c>
      <c r="M540" t="n">
        <v>0</v>
      </c>
      <c r="N540" t="n">
        <v>0</v>
      </c>
      <c r="O540" t="n">
        <v>0</v>
      </c>
      <c r="P540" t="n">
        <v>0</v>
      </c>
      <c r="Q540" t="n">
        <v>0</v>
      </c>
      <c r="R540" s="2" t="inlineStr"/>
    </row>
    <row r="541" ht="15" customHeight="1">
      <c r="A541" t="inlineStr">
        <is>
          <t>A 7028-2023</t>
        </is>
      </c>
      <c r="B541" s="1" t="n">
        <v>44968</v>
      </c>
      <c r="C541" s="1" t="n">
        <v>45645</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7031-2023</t>
        </is>
      </c>
      <c r="B542" s="1" t="n">
        <v>44968</v>
      </c>
      <c r="C542" s="1" t="n">
        <v>45645</v>
      </c>
      <c r="D542" t="inlineStr">
        <is>
          <t>NORRBOTTENS LÄN</t>
        </is>
      </c>
      <c r="E542" t="inlineStr">
        <is>
          <t>PAJALA</t>
        </is>
      </c>
      <c r="G542" t="n">
        <v>41.3</v>
      </c>
      <c r="H542" t="n">
        <v>0</v>
      </c>
      <c r="I542" t="n">
        <v>0</v>
      </c>
      <c r="J542" t="n">
        <v>0</v>
      </c>
      <c r="K542" t="n">
        <v>0</v>
      </c>
      <c r="L542" t="n">
        <v>0</v>
      </c>
      <c r="M542" t="n">
        <v>0</v>
      </c>
      <c r="N542" t="n">
        <v>0</v>
      </c>
      <c r="O542" t="n">
        <v>0</v>
      </c>
      <c r="P542" t="n">
        <v>0</v>
      </c>
      <c r="Q542" t="n">
        <v>0</v>
      </c>
      <c r="R542" s="2" t="inlineStr"/>
    </row>
    <row r="543" ht="15" customHeight="1">
      <c r="A543" t="inlineStr">
        <is>
          <t>A 7942-2023</t>
        </is>
      </c>
      <c r="B543" s="1" t="n">
        <v>44970</v>
      </c>
      <c r="C543" s="1" t="n">
        <v>45645</v>
      </c>
      <c r="D543" t="inlineStr">
        <is>
          <t>NORRBOTTENS LÄN</t>
        </is>
      </c>
      <c r="E543" t="inlineStr">
        <is>
          <t>PAJALA</t>
        </is>
      </c>
      <c r="G543" t="n">
        <v>7.3</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45645</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8903-2023</t>
        </is>
      </c>
      <c r="B545" s="1" t="n">
        <v>44973</v>
      </c>
      <c r="C545" s="1" t="n">
        <v>45645</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8984-2023</t>
        </is>
      </c>
      <c r="B546" s="1" t="n">
        <v>44979</v>
      </c>
      <c r="C546" s="1" t="n">
        <v>45645</v>
      </c>
      <c r="D546" t="inlineStr">
        <is>
          <t>NORRBOTTENS LÄN</t>
        </is>
      </c>
      <c r="E546" t="inlineStr">
        <is>
          <t>PAJALA</t>
        </is>
      </c>
      <c r="G546" t="n">
        <v>38.1</v>
      </c>
      <c r="H546" t="n">
        <v>0</v>
      </c>
      <c r="I546" t="n">
        <v>0</v>
      </c>
      <c r="J546" t="n">
        <v>0</v>
      </c>
      <c r="K546" t="n">
        <v>0</v>
      </c>
      <c r="L546" t="n">
        <v>0</v>
      </c>
      <c r="M546" t="n">
        <v>0</v>
      </c>
      <c r="N546" t="n">
        <v>0</v>
      </c>
      <c r="O546" t="n">
        <v>0</v>
      </c>
      <c r="P546" t="n">
        <v>0</v>
      </c>
      <c r="Q546" t="n">
        <v>0</v>
      </c>
      <c r="R546" s="2" t="inlineStr"/>
    </row>
    <row r="547" ht="15" customHeight="1">
      <c r="A547" t="inlineStr">
        <is>
          <t>A 10899-2023</t>
        </is>
      </c>
      <c r="B547" s="1" t="n">
        <v>44985</v>
      </c>
      <c r="C547" s="1" t="n">
        <v>45645</v>
      </c>
      <c r="D547" t="inlineStr">
        <is>
          <t>NORRBOTTENS LÄN</t>
        </is>
      </c>
      <c r="E547" t="inlineStr">
        <is>
          <t>PAJALA</t>
        </is>
      </c>
      <c r="G547" t="n">
        <v>9.4</v>
      </c>
      <c r="H547" t="n">
        <v>0</v>
      </c>
      <c r="I547" t="n">
        <v>0</v>
      </c>
      <c r="J547" t="n">
        <v>0</v>
      </c>
      <c r="K547" t="n">
        <v>0</v>
      </c>
      <c r="L547" t="n">
        <v>0</v>
      </c>
      <c r="M547" t="n">
        <v>0</v>
      </c>
      <c r="N547" t="n">
        <v>0</v>
      </c>
      <c r="O547" t="n">
        <v>0</v>
      </c>
      <c r="P547" t="n">
        <v>0</v>
      </c>
      <c r="Q547" t="n">
        <v>0</v>
      </c>
      <c r="R547" s="2" t="inlineStr"/>
    </row>
    <row r="548" ht="15" customHeight="1">
      <c r="A548" t="inlineStr">
        <is>
          <t>A 11197-2023</t>
        </is>
      </c>
      <c r="B548" s="1" t="n">
        <v>44988</v>
      </c>
      <c r="C548" s="1" t="n">
        <v>45645</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11207-2023</t>
        </is>
      </c>
      <c r="B549" s="1" t="n">
        <v>44988</v>
      </c>
      <c r="C549" s="1" t="n">
        <v>45645</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11200-2023</t>
        </is>
      </c>
      <c r="B550" s="1" t="n">
        <v>44988</v>
      </c>
      <c r="C550" s="1" t="n">
        <v>45645</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11203-2023</t>
        </is>
      </c>
      <c r="B551" s="1" t="n">
        <v>44988</v>
      </c>
      <c r="C551" s="1" t="n">
        <v>45645</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11512-2023</t>
        </is>
      </c>
      <c r="B552" s="1" t="n">
        <v>44988</v>
      </c>
      <c r="C552" s="1" t="n">
        <v>45645</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13197-2023</t>
        </is>
      </c>
      <c r="B553" s="1" t="n">
        <v>45002</v>
      </c>
      <c r="C553" s="1" t="n">
        <v>45645</v>
      </c>
      <c r="D553" t="inlineStr">
        <is>
          <t>NORRBOTTENS LÄN</t>
        </is>
      </c>
      <c r="E553" t="inlineStr">
        <is>
          <t>PAJALA</t>
        </is>
      </c>
      <c r="F553" t="inlineStr">
        <is>
          <t>Allmännings- och besparingsskogar</t>
        </is>
      </c>
      <c r="G553" t="n">
        <v>26.1</v>
      </c>
      <c r="H553" t="n">
        <v>0</v>
      </c>
      <c r="I553" t="n">
        <v>0</v>
      </c>
      <c r="J553" t="n">
        <v>0</v>
      </c>
      <c r="K553" t="n">
        <v>0</v>
      </c>
      <c r="L553" t="n">
        <v>0</v>
      </c>
      <c r="M553" t="n">
        <v>0</v>
      </c>
      <c r="N553" t="n">
        <v>0</v>
      </c>
      <c r="O553" t="n">
        <v>0</v>
      </c>
      <c r="P553" t="n">
        <v>0</v>
      </c>
      <c r="Q553" t="n">
        <v>0</v>
      </c>
      <c r="R553" s="2" t="inlineStr"/>
    </row>
    <row r="554" ht="15" customHeight="1">
      <c r="A554" t="inlineStr">
        <is>
          <t>A 13212-2023</t>
        </is>
      </c>
      <c r="B554" s="1" t="n">
        <v>45002</v>
      </c>
      <c r="C554" s="1" t="n">
        <v>45645</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13207-2023</t>
        </is>
      </c>
      <c r="B555" s="1" t="n">
        <v>45002</v>
      </c>
      <c r="C555" s="1" t="n">
        <v>45645</v>
      </c>
      <c r="D555" t="inlineStr">
        <is>
          <t>NORRBOTTENS LÄN</t>
        </is>
      </c>
      <c r="E555" t="inlineStr">
        <is>
          <t>PAJALA</t>
        </is>
      </c>
      <c r="F555" t="inlineStr">
        <is>
          <t>Allmännings- och besparingsskogar</t>
        </is>
      </c>
      <c r="G555" t="n">
        <v>11.2</v>
      </c>
      <c r="H555" t="n">
        <v>0</v>
      </c>
      <c r="I555" t="n">
        <v>0</v>
      </c>
      <c r="J555" t="n">
        <v>0</v>
      </c>
      <c r="K555" t="n">
        <v>0</v>
      </c>
      <c r="L555" t="n">
        <v>0</v>
      </c>
      <c r="M555" t="n">
        <v>0</v>
      </c>
      <c r="N555" t="n">
        <v>0</v>
      </c>
      <c r="O555" t="n">
        <v>0</v>
      </c>
      <c r="P555" t="n">
        <v>0</v>
      </c>
      <c r="Q555" t="n">
        <v>0</v>
      </c>
      <c r="R555" s="2" t="inlineStr"/>
    </row>
    <row r="556" ht="15" customHeight="1">
      <c r="A556" t="inlineStr">
        <is>
          <t>A 13652-2023</t>
        </is>
      </c>
      <c r="B556" s="1" t="n">
        <v>45006</v>
      </c>
      <c r="C556" s="1" t="n">
        <v>45645</v>
      </c>
      <c r="D556" t="inlineStr">
        <is>
          <t>NORRBOTTENS LÄN</t>
        </is>
      </c>
      <c r="E556" t="inlineStr">
        <is>
          <t>PAJALA</t>
        </is>
      </c>
      <c r="F556" t="inlineStr">
        <is>
          <t>Allmännings- och besparingsskogar</t>
        </is>
      </c>
      <c r="G556" t="n">
        <v>31.1</v>
      </c>
      <c r="H556" t="n">
        <v>0</v>
      </c>
      <c r="I556" t="n">
        <v>0</v>
      </c>
      <c r="J556" t="n">
        <v>0</v>
      </c>
      <c r="K556" t="n">
        <v>0</v>
      </c>
      <c r="L556" t="n">
        <v>0</v>
      </c>
      <c r="M556" t="n">
        <v>0</v>
      </c>
      <c r="N556" t="n">
        <v>0</v>
      </c>
      <c r="O556" t="n">
        <v>0</v>
      </c>
      <c r="P556" t="n">
        <v>0</v>
      </c>
      <c r="Q556" t="n">
        <v>0</v>
      </c>
      <c r="R556" s="2" t="inlineStr"/>
    </row>
    <row r="557" ht="15" customHeight="1">
      <c r="A557" t="inlineStr">
        <is>
          <t>A 13659-2023</t>
        </is>
      </c>
      <c r="B557" s="1" t="n">
        <v>45006</v>
      </c>
      <c r="C557" s="1" t="n">
        <v>45645</v>
      </c>
      <c r="D557" t="inlineStr">
        <is>
          <t>NORRBOTTENS LÄN</t>
        </is>
      </c>
      <c r="E557" t="inlineStr">
        <is>
          <t>PAJALA</t>
        </is>
      </c>
      <c r="F557" t="inlineStr">
        <is>
          <t>Allmännings- och besparingsskogar</t>
        </is>
      </c>
      <c r="G557" t="n">
        <v>10.6</v>
      </c>
      <c r="H557" t="n">
        <v>0</v>
      </c>
      <c r="I557" t="n">
        <v>0</v>
      </c>
      <c r="J557" t="n">
        <v>0</v>
      </c>
      <c r="K557" t="n">
        <v>0</v>
      </c>
      <c r="L557" t="n">
        <v>0</v>
      </c>
      <c r="M557" t="n">
        <v>0</v>
      </c>
      <c r="N557" t="n">
        <v>0</v>
      </c>
      <c r="O557" t="n">
        <v>0</v>
      </c>
      <c r="P557" t="n">
        <v>0</v>
      </c>
      <c r="Q557" t="n">
        <v>0</v>
      </c>
      <c r="R557" s="2" t="inlineStr"/>
    </row>
    <row r="558" ht="15" customHeight="1">
      <c r="A558" t="inlineStr">
        <is>
          <t>A 14445-2023</t>
        </is>
      </c>
      <c r="B558" s="1" t="n">
        <v>45012</v>
      </c>
      <c r="C558" s="1" t="n">
        <v>45645</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14405-2023</t>
        </is>
      </c>
      <c r="B559" s="1" t="n">
        <v>45012</v>
      </c>
      <c r="C559" s="1" t="n">
        <v>45645</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14409-2023</t>
        </is>
      </c>
      <c r="B560" s="1" t="n">
        <v>45012</v>
      </c>
      <c r="C560" s="1" t="n">
        <v>45645</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14573-2023</t>
        </is>
      </c>
      <c r="B561" s="1" t="n">
        <v>45012</v>
      </c>
      <c r="C561" s="1" t="n">
        <v>45645</v>
      </c>
      <c r="D561" t="inlineStr">
        <is>
          <t>NORRBOTTENS LÄN</t>
        </is>
      </c>
      <c r="E561" t="inlineStr">
        <is>
          <t>PAJALA</t>
        </is>
      </c>
      <c r="F561" t="inlineStr">
        <is>
          <t>Allmännings- och besparingsskogar</t>
        </is>
      </c>
      <c r="G561" t="n">
        <v>48.8</v>
      </c>
      <c r="H561" t="n">
        <v>0</v>
      </c>
      <c r="I561" t="n">
        <v>0</v>
      </c>
      <c r="J561" t="n">
        <v>0</v>
      </c>
      <c r="K561" t="n">
        <v>0</v>
      </c>
      <c r="L561" t="n">
        <v>0</v>
      </c>
      <c r="M561" t="n">
        <v>0</v>
      </c>
      <c r="N561" t="n">
        <v>0</v>
      </c>
      <c r="O561" t="n">
        <v>0</v>
      </c>
      <c r="P561" t="n">
        <v>0</v>
      </c>
      <c r="Q561" t="n">
        <v>0</v>
      </c>
      <c r="R561" s="2" t="inlineStr"/>
    </row>
    <row r="562" ht="15" customHeight="1">
      <c r="A562" t="inlineStr">
        <is>
          <t>A 14574-2023</t>
        </is>
      </c>
      <c r="B562" s="1" t="n">
        <v>45012</v>
      </c>
      <c r="C562" s="1" t="n">
        <v>45645</v>
      </c>
      <c r="D562" t="inlineStr">
        <is>
          <t>NORRBOTTENS LÄN</t>
        </is>
      </c>
      <c r="E562" t="inlineStr">
        <is>
          <t>PAJALA</t>
        </is>
      </c>
      <c r="F562" t="inlineStr">
        <is>
          <t>Allmännings- och besparingsskogar</t>
        </is>
      </c>
      <c r="G562" t="n">
        <v>31.2</v>
      </c>
      <c r="H562" t="n">
        <v>0</v>
      </c>
      <c r="I562" t="n">
        <v>0</v>
      </c>
      <c r="J562" t="n">
        <v>0</v>
      </c>
      <c r="K562" t="n">
        <v>0</v>
      </c>
      <c r="L562" t="n">
        <v>0</v>
      </c>
      <c r="M562" t="n">
        <v>0</v>
      </c>
      <c r="N562" t="n">
        <v>0</v>
      </c>
      <c r="O562" t="n">
        <v>0</v>
      </c>
      <c r="P562" t="n">
        <v>0</v>
      </c>
      <c r="Q562" t="n">
        <v>0</v>
      </c>
      <c r="R562" s="2" t="inlineStr"/>
    </row>
    <row r="563" ht="15" customHeight="1">
      <c r="A563" t="inlineStr">
        <is>
          <t>A 15422-2023</t>
        </is>
      </c>
      <c r="B563" s="1" t="n">
        <v>45019</v>
      </c>
      <c r="C563" s="1" t="n">
        <v>45645</v>
      </c>
      <c r="D563" t="inlineStr">
        <is>
          <t>NORRBOTTENS LÄN</t>
        </is>
      </c>
      <c r="E563" t="inlineStr">
        <is>
          <t>PAJALA</t>
        </is>
      </c>
      <c r="G563" t="n">
        <v>4.8</v>
      </c>
      <c r="H563" t="n">
        <v>0</v>
      </c>
      <c r="I563" t="n">
        <v>0</v>
      </c>
      <c r="J563" t="n">
        <v>0</v>
      </c>
      <c r="K563" t="n">
        <v>0</v>
      </c>
      <c r="L563" t="n">
        <v>0</v>
      </c>
      <c r="M563" t="n">
        <v>0</v>
      </c>
      <c r="N563" t="n">
        <v>0</v>
      </c>
      <c r="O563" t="n">
        <v>0</v>
      </c>
      <c r="P563" t="n">
        <v>0</v>
      </c>
      <c r="Q563" t="n">
        <v>0</v>
      </c>
      <c r="R563" s="2" t="inlineStr"/>
    </row>
    <row r="564" ht="15" customHeight="1">
      <c r="A564" t="inlineStr">
        <is>
          <t>A 16402-2023</t>
        </is>
      </c>
      <c r="B564" s="1" t="n">
        <v>45022</v>
      </c>
      <c r="C564" s="1" t="n">
        <v>45645</v>
      </c>
      <c r="D564" t="inlineStr">
        <is>
          <t>NORRBOTTENS LÄN</t>
        </is>
      </c>
      <c r="E564" t="inlineStr">
        <is>
          <t>PAJALA</t>
        </is>
      </c>
      <c r="F564" t="inlineStr">
        <is>
          <t>Allmännings- och besparingsskogar</t>
        </is>
      </c>
      <c r="G564" t="n">
        <v>2.5</v>
      </c>
      <c r="H564" t="n">
        <v>0</v>
      </c>
      <c r="I564" t="n">
        <v>0</v>
      </c>
      <c r="J564" t="n">
        <v>0</v>
      </c>
      <c r="K564" t="n">
        <v>0</v>
      </c>
      <c r="L564" t="n">
        <v>0</v>
      </c>
      <c r="M564" t="n">
        <v>0</v>
      </c>
      <c r="N564" t="n">
        <v>0</v>
      </c>
      <c r="O564" t="n">
        <v>0</v>
      </c>
      <c r="P564" t="n">
        <v>0</v>
      </c>
      <c r="Q564" t="n">
        <v>0</v>
      </c>
      <c r="R564" s="2" t="inlineStr"/>
    </row>
    <row r="565" ht="15" customHeight="1">
      <c r="A565" t="inlineStr">
        <is>
          <t>A 16184-2023</t>
        </is>
      </c>
      <c r="B565" s="1" t="n">
        <v>45027</v>
      </c>
      <c r="C565" s="1" t="n">
        <v>45645</v>
      </c>
      <c r="D565" t="inlineStr">
        <is>
          <t>NORRBOTTENS LÄN</t>
        </is>
      </c>
      <c r="E565" t="inlineStr">
        <is>
          <t>PAJALA</t>
        </is>
      </c>
      <c r="G565" t="n">
        <v>3.5</v>
      </c>
      <c r="H565" t="n">
        <v>0</v>
      </c>
      <c r="I565" t="n">
        <v>0</v>
      </c>
      <c r="J565" t="n">
        <v>0</v>
      </c>
      <c r="K565" t="n">
        <v>0</v>
      </c>
      <c r="L565" t="n">
        <v>0</v>
      </c>
      <c r="M565" t="n">
        <v>0</v>
      </c>
      <c r="N565" t="n">
        <v>0</v>
      </c>
      <c r="O565" t="n">
        <v>0</v>
      </c>
      <c r="P565" t="n">
        <v>0</v>
      </c>
      <c r="Q565" t="n">
        <v>0</v>
      </c>
      <c r="R565" s="2" t="inlineStr"/>
    </row>
    <row r="566" ht="15" customHeight="1">
      <c r="A566" t="inlineStr">
        <is>
          <t>A 16769-2023</t>
        </is>
      </c>
      <c r="B566" s="1" t="n">
        <v>45031</v>
      </c>
      <c r="C566" s="1" t="n">
        <v>45645</v>
      </c>
      <c r="D566" t="inlineStr">
        <is>
          <t>NORRBOTTENS LÄN</t>
        </is>
      </c>
      <c r="E566" t="inlineStr">
        <is>
          <t>PAJALA</t>
        </is>
      </c>
      <c r="G566" t="n">
        <v>35.6</v>
      </c>
      <c r="H566" t="n">
        <v>0</v>
      </c>
      <c r="I566" t="n">
        <v>0</v>
      </c>
      <c r="J566" t="n">
        <v>0</v>
      </c>
      <c r="K566" t="n">
        <v>0</v>
      </c>
      <c r="L566" t="n">
        <v>0</v>
      </c>
      <c r="M566" t="n">
        <v>0</v>
      </c>
      <c r="N566" t="n">
        <v>0</v>
      </c>
      <c r="O566" t="n">
        <v>0</v>
      </c>
      <c r="P566" t="n">
        <v>0</v>
      </c>
      <c r="Q566" t="n">
        <v>0</v>
      </c>
      <c r="R566" s="2" t="inlineStr"/>
    </row>
    <row r="567" ht="15" customHeight="1">
      <c r="A567" t="inlineStr">
        <is>
          <t>A 17000-2023</t>
        </is>
      </c>
      <c r="B567" s="1" t="n">
        <v>45033</v>
      </c>
      <c r="C567" s="1" t="n">
        <v>45645</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17491-2023</t>
        </is>
      </c>
      <c r="B568" s="1" t="n">
        <v>45036</v>
      </c>
      <c r="C568" s="1" t="n">
        <v>45645</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17498-2023</t>
        </is>
      </c>
      <c r="B569" s="1" t="n">
        <v>45036</v>
      </c>
      <c r="C569" s="1" t="n">
        <v>45645</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17823-2023</t>
        </is>
      </c>
      <c r="B570" s="1" t="n">
        <v>45036</v>
      </c>
      <c r="C570" s="1" t="n">
        <v>45645</v>
      </c>
      <c r="D570" t="inlineStr">
        <is>
          <t>NORRBOTTENS LÄN</t>
        </is>
      </c>
      <c r="E570" t="inlineStr">
        <is>
          <t>PAJALA</t>
        </is>
      </c>
      <c r="G570" t="n">
        <v>5.5</v>
      </c>
      <c r="H570" t="n">
        <v>0</v>
      </c>
      <c r="I570" t="n">
        <v>0</v>
      </c>
      <c r="J570" t="n">
        <v>0</v>
      </c>
      <c r="K570" t="n">
        <v>0</v>
      </c>
      <c r="L570" t="n">
        <v>0</v>
      </c>
      <c r="M570" t="n">
        <v>0</v>
      </c>
      <c r="N570" t="n">
        <v>0</v>
      </c>
      <c r="O570" t="n">
        <v>0</v>
      </c>
      <c r="P570" t="n">
        <v>0</v>
      </c>
      <c r="Q570" t="n">
        <v>0</v>
      </c>
      <c r="R570" s="2" t="inlineStr"/>
    </row>
    <row r="571" ht="15" customHeight="1">
      <c r="A571" t="inlineStr">
        <is>
          <t>A 17829-2023</t>
        </is>
      </c>
      <c r="B571" s="1" t="n">
        <v>45036</v>
      </c>
      <c r="C571" s="1" t="n">
        <v>45645</v>
      </c>
      <c r="D571" t="inlineStr">
        <is>
          <t>NORRBOTTENS LÄN</t>
        </is>
      </c>
      <c r="E571" t="inlineStr">
        <is>
          <t>PAJALA</t>
        </is>
      </c>
      <c r="G571" t="n">
        <v>41.2</v>
      </c>
      <c r="H571" t="n">
        <v>0</v>
      </c>
      <c r="I571" t="n">
        <v>0</v>
      </c>
      <c r="J571" t="n">
        <v>0</v>
      </c>
      <c r="K571" t="n">
        <v>0</v>
      </c>
      <c r="L571" t="n">
        <v>0</v>
      </c>
      <c r="M571" t="n">
        <v>0</v>
      </c>
      <c r="N571" t="n">
        <v>0</v>
      </c>
      <c r="O571" t="n">
        <v>0</v>
      </c>
      <c r="P571" t="n">
        <v>0</v>
      </c>
      <c r="Q571" t="n">
        <v>0</v>
      </c>
      <c r="R571" s="2" t="inlineStr"/>
    </row>
    <row r="572" ht="15" customHeight="1">
      <c r="A572" t="inlineStr">
        <is>
          <t>A 18663-2023</t>
        </is>
      </c>
      <c r="B572" s="1" t="n">
        <v>45043</v>
      </c>
      <c r="C572" s="1" t="n">
        <v>45645</v>
      </c>
      <c r="D572" t="inlineStr">
        <is>
          <t>NORRBOTTENS LÄN</t>
        </is>
      </c>
      <c r="E572" t="inlineStr">
        <is>
          <t>PAJALA</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19925-2023</t>
        </is>
      </c>
      <c r="B573" s="1" t="n">
        <v>45054</v>
      </c>
      <c r="C573" s="1" t="n">
        <v>45645</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19923-2023</t>
        </is>
      </c>
      <c r="B574" s="1" t="n">
        <v>45054</v>
      </c>
      <c r="C574" s="1" t="n">
        <v>45645</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19928-2023</t>
        </is>
      </c>
      <c r="B575" s="1" t="n">
        <v>45054</v>
      </c>
      <c r="C575" s="1" t="n">
        <v>45645</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20685-2023</t>
        </is>
      </c>
      <c r="B576" s="1" t="n">
        <v>45055</v>
      </c>
      <c r="C576" s="1" t="n">
        <v>45645</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20621-2023</t>
        </is>
      </c>
      <c r="B577" s="1" t="n">
        <v>45058</v>
      </c>
      <c r="C577" s="1" t="n">
        <v>45645</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20848-2023</t>
        </is>
      </c>
      <c r="B578" s="1" t="n">
        <v>45058</v>
      </c>
      <c r="C578" s="1" t="n">
        <v>45645</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21123-2023</t>
        </is>
      </c>
      <c r="B579" s="1" t="n">
        <v>45062</v>
      </c>
      <c r="C579" s="1" t="n">
        <v>45645</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21139-2023</t>
        </is>
      </c>
      <c r="B580" s="1" t="n">
        <v>45062</v>
      </c>
      <c r="C580" s="1" t="n">
        <v>45645</v>
      </c>
      <c r="D580" t="inlineStr">
        <is>
          <t>NORRBOTTENS LÄN</t>
        </is>
      </c>
      <c r="E580" t="inlineStr">
        <is>
          <t>PAJALA</t>
        </is>
      </c>
      <c r="G580" t="n">
        <v>8.5</v>
      </c>
      <c r="H580" t="n">
        <v>0</v>
      </c>
      <c r="I580" t="n">
        <v>0</v>
      </c>
      <c r="J580" t="n">
        <v>0</v>
      </c>
      <c r="K580" t="n">
        <v>0</v>
      </c>
      <c r="L580" t="n">
        <v>0</v>
      </c>
      <c r="M580" t="n">
        <v>0</v>
      </c>
      <c r="N580" t="n">
        <v>0</v>
      </c>
      <c r="O580" t="n">
        <v>0</v>
      </c>
      <c r="P580" t="n">
        <v>0</v>
      </c>
      <c r="Q580" t="n">
        <v>0</v>
      </c>
      <c r="R580" s="2" t="inlineStr"/>
    </row>
    <row r="581" ht="15" customHeight="1">
      <c r="A581" t="inlineStr">
        <is>
          <t>A 21651-2023</t>
        </is>
      </c>
      <c r="B581" s="1" t="n">
        <v>45063</v>
      </c>
      <c r="C581" s="1" t="n">
        <v>45645</v>
      </c>
      <c r="D581" t="inlineStr">
        <is>
          <t>NORRBOTTENS LÄN</t>
        </is>
      </c>
      <c r="E581" t="inlineStr">
        <is>
          <t>PAJALA</t>
        </is>
      </c>
      <c r="F581" t="inlineStr">
        <is>
          <t>Sveaskog</t>
        </is>
      </c>
      <c r="G581" t="n">
        <v>19.5</v>
      </c>
      <c r="H581" t="n">
        <v>0</v>
      </c>
      <c r="I581" t="n">
        <v>0</v>
      </c>
      <c r="J581" t="n">
        <v>0</v>
      </c>
      <c r="K581" t="n">
        <v>0</v>
      </c>
      <c r="L581" t="n">
        <v>0</v>
      </c>
      <c r="M581" t="n">
        <v>0</v>
      </c>
      <c r="N581" t="n">
        <v>0</v>
      </c>
      <c r="O581" t="n">
        <v>0</v>
      </c>
      <c r="P581" t="n">
        <v>0</v>
      </c>
      <c r="Q581" t="n">
        <v>0</v>
      </c>
      <c r="R581" s="2" t="inlineStr"/>
    </row>
    <row r="582" ht="15" customHeight="1">
      <c r="A582" t="inlineStr">
        <is>
          <t>A 21702-2023</t>
        </is>
      </c>
      <c r="B582" s="1" t="n">
        <v>45064</v>
      </c>
      <c r="C582" s="1" t="n">
        <v>45645</v>
      </c>
      <c r="D582" t="inlineStr">
        <is>
          <t>NORRBOTTENS LÄN</t>
        </is>
      </c>
      <c r="E582" t="inlineStr">
        <is>
          <t>PAJALA</t>
        </is>
      </c>
      <c r="G582" t="n">
        <v>3.5</v>
      </c>
      <c r="H582" t="n">
        <v>0</v>
      </c>
      <c r="I582" t="n">
        <v>0</v>
      </c>
      <c r="J582" t="n">
        <v>0</v>
      </c>
      <c r="K582" t="n">
        <v>0</v>
      </c>
      <c r="L582" t="n">
        <v>0</v>
      </c>
      <c r="M582" t="n">
        <v>0</v>
      </c>
      <c r="N582" t="n">
        <v>0</v>
      </c>
      <c r="O582" t="n">
        <v>0</v>
      </c>
      <c r="P582" t="n">
        <v>0</v>
      </c>
      <c r="Q582" t="n">
        <v>0</v>
      </c>
      <c r="R582" s="2" t="inlineStr"/>
    </row>
    <row r="583" ht="15" customHeight="1">
      <c r="A583" t="inlineStr">
        <is>
          <t>A 22909-2023</t>
        </is>
      </c>
      <c r="B583" s="1" t="n">
        <v>45072</v>
      </c>
      <c r="C583" s="1" t="n">
        <v>45645</v>
      </c>
      <c r="D583" t="inlineStr">
        <is>
          <t>NORRBOTTENS LÄN</t>
        </is>
      </c>
      <c r="E583" t="inlineStr">
        <is>
          <t>PAJALA</t>
        </is>
      </c>
      <c r="F583" t="inlineStr">
        <is>
          <t>Sveaskog</t>
        </is>
      </c>
      <c r="G583" t="n">
        <v>22.1</v>
      </c>
      <c r="H583" t="n">
        <v>0</v>
      </c>
      <c r="I583" t="n">
        <v>0</v>
      </c>
      <c r="J583" t="n">
        <v>0</v>
      </c>
      <c r="K583" t="n">
        <v>0</v>
      </c>
      <c r="L583" t="n">
        <v>0</v>
      </c>
      <c r="M583" t="n">
        <v>0</v>
      </c>
      <c r="N583" t="n">
        <v>0</v>
      </c>
      <c r="O583" t="n">
        <v>0</v>
      </c>
      <c r="P583" t="n">
        <v>0</v>
      </c>
      <c r="Q583" t="n">
        <v>0</v>
      </c>
      <c r="R583" s="2" t="inlineStr"/>
    </row>
    <row r="584" ht="15" customHeight="1">
      <c r="A584" t="inlineStr">
        <is>
          <t>A 23351-2023</t>
        </is>
      </c>
      <c r="B584" s="1" t="n">
        <v>45076</v>
      </c>
      <c r="C584" s="1" t="n">
        <v>45645</v>
      </c>
      <c r="D584" t="inlineStr">
        <is>
          <t>NORRBOTTENS LÄN</t>
        </is>
      </c>
      <c r="E584" t="inlineStr">
        <is>
          <t>PAJALA</t>
        </is>
      </c>
      <c r="F584" t="inlineStr">
        <is>
          <t>Sveaskog</t>
        </is>
      </c>
      <c r="G584" t="n">
        <v>12.7</v>
      </c>
      <c r="H584" t="n">
        <v>0</v>
      </c>
      <c r="I584" t="n">
        <v>0</v>
      </c>
      <c r="J584" t="n">
        <v>0</v>
      </c>
      <c r="K584" t="n">
        <v>0</v>
      </c>
      <c r="L584" t="n">
        <v>0</v>
      </c>
      <c r="M584" t="n">
        <v>0</v>
      </c>
      <c r="N584" t="n">
        <v>0</v>
      </c>
      <c r="O584" t="n">
        <v>0</v>
      </c>
      <c r="P584" t="n">
        <v>0</v>
      </c>
      <c r="Q584" t="n">
        <v>0</v>
      </c>
      <c r="R584" s="2" t="inlineStr"/>
    </row>
    <row r="585" ht="15" customHeight="1">
      <c r="A585" t="inlineStr">
        <is>
          <t>A 23357-2023</t>
        </is>
      </c>
      <c r="B585" s="1" t="n">
        <v>45076</v>
      </c>
      <c r="C585" s="1" t="n">
        <v>45645</v>
      </c>
      <c r="D585" t="inlineStr">
        <is>
          <t>NORRBOTTENS LÄN</t>
        </is>
      </c>
      <c r="E585" t="inlineStr">
        <is>
          <t>PAJALA</t>
        </is>
      </c>
      <c r="F585" t="inlineStr">
        <is>
          <t>Sveaskog</t>
        </is>
      </c>
      <c r="G585" t="n">
        <v>11.2</v>
      </c>
      <c r="H585" t="n">
        <v>0</v>
      </c>
      <c r="I585" t="n">
        <v>0</v>
      </c>
      <c r="J585" t="n">
        <v>0</v>
      </c>
      <c r="K585" t="n">
        <v>0</v>
      </c>
      <c r="L585" t="n">
        <v>0</v>
      </c>
      <c r="M585" t="n">
        <v>0</v>
      </c>
      <c r="N585" t="n">
        <v>0</v>
      </c>
      <c r="O585" t="n">
        <v>0</v>
      </c>
      <c r="P585" t="n">
        <v>0</v>
      </c>
      <c r="Q585" t="n">
        <v>0</v>
      </c>
      <c r="R585" s="2" t="inlineStr"/>
    </row>
    <row r="586" ht="15" customHeight="1">
      <c r="A586" t="inlineStr">
        <is>
          <t>A 23502-2023</t>
        </is>
      </c>
      <c r="B586" s="1" t="n">
        <v>45076</v>
      </c>
      <c r="C586" s="1" t="n">
        <v>45645</v>
      </c>
      <c r="D586" t="inlineStr">
        <is>
          <t>NORRBOTTENS LÄN</t>
        </is>
      </c>
      <c r="E586" t="inlineStr">
        <is>
          <t>PAJALA</t>
        </is>
      </c>
      <c r="F586" t="inlineStr">
        <is>
          <t>Sveaskog</t>
        </is>
      </c>
      <c r="G586" t="n">
        <v>30.9</v>
      </c>
      <c r="H586" t="n">
        <v>0</v>
      </c>
      <c r="I586" t="n">
        <v>0</v>
      </c>
      <c r="J586" t="n">
        <v>0</v>
      </c>
      <c r="K586" t="n">
        <v>0</v>
      </c>
      <c r="L586" t="n">
        <v>0</v>
      </c>
      <c r="M586" t="n">
        <v>0</v>
      </c>
      <c r="N586" t="n">
        <v>0</v>
      </c>
      <c r="O586" t="n">
        <v>0</v>
      </c>
      <c r="P586" t="n">
        <v>0</v>
      </c>
      <c r="Q586" t="n">
        <v>0</v>
      </c>
      <c r="R586" s="2" t="inlineStr"/>
    </row>
    <row r="587" ht="15" customHeight="1">
      <c r="A587" t="inlineStr">
        <is>
          <t>A 24269-2023</t>
        </is>
      </c>
      <c r="B587" s="1" t="n">
        <v>45079</v>
      </c>
      <c r="C587" s="1" t="n">
        <v>45645</v>
      </c>
      <c r="D587" t="inlineStr">
        <is>
          <t>NORRBOTTENS LÄN</t>
        </is>
      </c>
      <c r="E587" t="inlineStr">
        <is>
          <t>PAJALA</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24266-2023</t>
        </is>
      </c>
      <c r="B588" s="1" t="n">
        <v>45079</v>
      </c>
      <c r="C588" s="1" t="n">
        <v>45645</v>
      </c>
      <c r="D588" t="inlineStr">
        <is>
          <t>NORRBOTTENS LÄN</t>
        </is>
      </c>
      <c r="E588" t="inlineStr">
        <is>
          <t>PAJALA</t>
        </is>
      </c>
      <c r="F588" t="inlineStr">
        <is>
          <t>Sveaskog</t>
        </is>
      </c>
      <c r="G588" t="n">
        <v>15.5</v>
      </c>
      <c r="H588" t="n">
        <v>0</v>
      </c>
      <c r="I588" t="n">
        <v>0</v>
      </c>
      <c r="J588" t="n">
        <v>0</v>
      </c>
      <c r="K588" t="n">
        <v>0</v>
      </c>
      <c r="L588" t="n">
        <v>0</v>
      </c>
      <c r="M588" t="n">
        <v>0</v>
      </c>
      <c r="N588" t="n">
        <v>0</v>
      </c>
      <c r="O588" t="n">
        <v>0</v>
      </c>
      <c r="P588" t="n">
        <v>0</v>
      </c>
      <c r="Q588" t="n">
        <v>0</v>
      </c>
      <c r="R588" s="2" t="inlineStr"/>
    </row>
    <row r="589" ht="15" customHeight="1">
      <c r="A589" t="inlineStr">
        <is>
          <t>A 24860-2023</t>
        </is>
      </c>
      <c r="B589" s="1" t="n">
        <v>45085</v>
      </c>
      <c r="C589" s="1" t="n">
        <v>45645</v>
      </c>
      <c r="D589" t="inlineStr">
        <is>
          <t>NORRBOTTENS LÄN</t>
        </is>
      </c>
      <c r="E589" t="inlineStr">
        <is>
          <t>PAJALA</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25044-2023</t>
        </is>
      </c>
      <c r="B590" s="1" t="n">
        <v>45085</v>
      </c>
      <c r="C590" s="1" t="n">
        <v>45645</v>
      </c>
      <c r="D590" t="inlineStr">
        <is>
          <t>NORRBOTTENS LÄN</t>
        </is>
      </c>
      <c r="E590" t="inlineStr">
        <is>
          <t>PAJALA</t>
        </is>
      </c>
      <c r="F590" t="inlineStr">
        <is>
          <t>SCA</t>
        </is>
      </c>
      <c r="G590" t="n">
        <v>23.8</v>
      </c>
      <c r="H590" t="n">
        <v>0</v>
      </c>
      <c r="I590" t="n">
        <v>0</v>
      </c>
      <c r="J590" t="n">
        <v>0</v>
      </c>
      <c r="K590" t="n">
        <v>0</v>
      </c>
      <c r="L590" t="n">
        <v>0</v>
      </c>
      <c r="M590" t="n">
        <v>0</v>
      </c>
      <c r="N590" t="n">
        <v>0</v>
      </c>
      <c r="O590" t="n">
        <v>0</v>
      </c>
      <c r="P590" t="n">
        <v>0</v>
      </c>
      <c r="Q590" t="n">
        <v>0</v>
      </c>
      <c r="R590" s="2" t="inlineStr"/>
    </row>
    <row r="591" ht="15" customHeight="1">
      <c r="A591" t="inlineStr">
        <is>
          <t>A 25271-2023</t>
        </is>
      </c>
      <c r="B591" s="1" t="n">
        <v>45086</v>
      </c>
      <c r="C591" s="1" t="n">
        <v>45645</v>
      </c>
      <c r="D591" t="inlineStr">
        <is>
          <t>NORRBOTTENS LÄN</t>
        </is>
      </c>
      <c r="E591" t="inlineStr">
        <is>
          <t>PAJALA</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25277-2023</t>
        </is>
      </c>
      <c r="B592" s="1" t="n">
        <v>45086</v>
      </c>
      <c r="C592" s="1" t="n">
        <v>45645</v>
      </c>
      <c r="D592" t="inlineStr">
        <is>
          <t>NORRBOTTENS LÄN</t>
        </is>
      </c>
      <c r="E592" t="inlineStr">
        <is>
          <t>PAJALA</t>
        </is>
      </c>
      <c r="F592" t="inlineStr">
        <is>
          <t>Sveaskog</t>
        </is>
      </c>
      <c r="G592" t="n">
        <v>17.5</v>
      </c>
      <c r="H592" t="n">
        <v>0</v>
      </c>
      <c r="I592" t="n">
        <v>0</v>
      </c>
      <c r="J592" t="n">
        <v>0</v>
      </c>
      <c r="K592" t="n">
        <v>0</v>
      </c>
      <c r="L592" t="n">
        <v>0</v>
      </c>
      <c r="M592" t="n">
        <v>0</v>
      </c>
      <c r="N592" t="n">
        <v>0</v>
      </c>
      <c r="O592" t="n">
        <v>0</v>
      </c>
      <c r="P592" t="n">
        <v>0</v>
      </c>
      <c r="Q592" t="n">
        <v>0</v>
      </c>
      <c r="R592" s="2" t="inlineStr"/>
    </row>
    <row r="593" ht="15" customHeight="1">
      <c r="A593" t="inlineStr">
        <is>
          <t>A 27895-2023</t>
        </is>
      </c>
      <c r="B593" s="1" t="n">
        <v>45098</v>
      </c>
      <c r="C593" s="1" t="n">
        <v>45645</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27982-2023</t>
        </is>
      </c>
      <c r="B594" s="1" t="n">
        <v>45098</v>
      </c>
      <c r="C594" s="1" t="n">
        <v>45645</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28100-2023</t>
        </is>
      </c>
      <c r="B595" s="1" t="n">
        <v>45099</v>
      </c>
      <c r="C595" s="1" t="n">
        <v>45645</v>
      </c>
      <c r="D595" t="inlineStr">
        <is>
          <t>NORRBOTTENS LÄN</t>
        </is>
      </c>
      <c r="E595" t="inlineStr">
        <is>
          <t>PAJALA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28379-2023</t>
        </is>
      </c>
      <c r="B596" s="1" t="n">
        <v>45100</v>
      </c>
      <c r="C596" s="1" t="n">
        <v>45645</v>
      </c>
      <c r="D596" t="inlineStr">
        <is>
          <t>NORRBOTTENS LÄN</t>
        </is>
      </c>
      <c r="E596" t="inlineStr">
        <is>
          <t>PAJALA</t>
        </is>
      </c>
      <c r="F596" t="inlineStr">
        <is>
          <t>SCA</t>
        </is>
      </c>
      <c r="G596" t="n">
        <v>53.1</v>
      </c>
      <c r="H596" t="n">
        <v>0</v>
      </c>
      <c r="I596" t="n">
        <v>0</v>
      </c>
      <c r="J596" t="n">
        <v>0</v>
      </c>
      <c r="K596" t="n">
        <v>0</v>
      </c>
      <c r="L596" t="n">
        <v>0</v>
      </c>
      <c r="M596" t="n">
        <v>0</v>
      </c>
      <c r="N596" t="n">
        <v>0</v>
      </c>
      <c r="O596" t="n">
        <v>0</v>
      </c>
      <c r="P596" t="n">
        <v>0</v>
      </c>
      <c r="Q596" t="n">
        <v>0</v>
      </c>
      <c r="R596" s="2" t="inlineStr"/>
    </row>
    <row r="597" ht="15" customHeight="1">
      <c r="A597" t="inlineStr">
        <is>
          <t>A 30193-2023</t>
        </is>
      </c>
      <c r="B597" s="1" t="n">
        <v>45099</v>
      </c>
      <c r="C597" s="1" t="n">
        <v>45645</v>
      </c>
      <c r="D597" t="inlineStr">
        <is>
          <t>NORRBOTTENS LÄN</t>
        </is>
      </c>
      <c r="E597" t="inlineStr">
        <is>
          <t>PAJALA</t>
        </is>
      </c>
      <c r="G597" t="n">
        <v>26.1</v>
      </c>
      <c r="H597" t="n">
        <v>0</v>
      </c>
      <c r="I597" t="n">
        <v>0</v>
      </c>
      <c r="J597" t="n">
        <v>0</v>
      </c>
      <c r="K597" t="n">
        <v>0</v>
      </c>
      <c r="L597" t="n">
        <v>0</v>
      </c>
      <c r="M597" t="n">
        <v>0</v>
      </c>
      <c r="N597" t="n">
        <v>0</v>
      </c>
      <c r="O597" t="n">
        <v>0</v>
      </c>
      <c r="P597" t="n">
        <v>0</v>
      </c>
      <c r="Q597" t="n">
        <v>0</v>
      </c>
      <c r="R597" s="2" t="inlineStr"/>
    </row>
    <row r="598" ht="15" customHeight="1">
      <c r="A598" t="inlineStr">
        <is>
          <t>A 30480-2023</t>
        </is>
      </c>
      <c r="B598" s="1" t="n">
        <v>45099</v>
      </c>
      <c r="C598" s="1" t="n">
        <v>45645</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28466-2023</t>
        </is>
      </c>
      <c r="B599" s="1" t="n">
        <v>45103</v>
      </c>
      <c r="C599" s="1" t="n">
        <v>45645</v>
      </c>
      <c r="D599" t="inlineStr">
        <is>
          <t>NORRBOTTENS LÄN</t>
        </is>
      </c>
      <c r="E599" t="inlineStr">
        <is>
          <t>PAJALA</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28465-2023</t>
        </is>
      </c>
      <c r="B600" s="1" t="n">
        <v>45103</v>
      </c>
      <c r="C600" s="1" t="n">
        <v>45645</v>
      </c>
      <c r="D600" t="inlineStr">
        <is>
          <t>NORRBOTTENS LÄN</t>
        </is>
      </c>
      <c r="E600" t="inlineStr">
        <is>
          <t>PAJALA</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28691-2023</t>
        </is>
      </c>
      <c r="B601" s="1" t="n">
        <v>45103</v>
      </c>
      <c r="C601" s="1" t="n">
        <v>45645</v>
      </c>
      <c r="D601" t="inlineStr">
        <is>
          <t>NORRBOTTENS LÄN</t>
        </is>
      </c>
      <c r="E601" t="inlineStr">
        <is>
          <t>PAJALA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28692-2023</t>
        </is>
      </c>
      <c r="B602" s="1" t="n">
        <v>45103</v>
      </c>
      <c r="C602" s="1" t="n">
        <v>45645</v>
      </c>
      <c r="D602" t="inlineStr">
        <is>
          <t>NORRBOTTENS LÄN</t>
        </is>
      </c>
      <c r="E602" t="inlineStr">
        <is>
          <t>PAJALA</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28634-2023</t>
        </is>
      </c>
      <c r="B603" s="1" t="n">
        <v>45103</v>
      </c>
      <c r="C603" s="1" t="n">
        <v>45645</v>
      </c>
      <c r="D603" t="inlineStr">
        <is>
          <t>NORRBOTTENS LÄN</t>
        </is>
      </c>
      <c r="E603" t="inlineStr">
        <is>
          <t>PAJALA</t>
        </is>
      </c>
      <c r="F603" t="inlineStr">
        <is>
          <t>Sveaskog</t>
        </is>
      </c>
      <c r="G603" t="n">
        <v>20</v>
      </c>
      <c r="H603" t="n">
        <v>0</v>
      </c>
      <c r="I603" t="n">
        <v>0</v>
      </c>
      <c r="J603" t="n">
        <v>0</v>
      </c>
      <c r="K603" t="n">
        <v>0</v>
      </c>
      <c r="L603" t="n">
        <v>0</v>
      </c>
      <c r="M603" t="n">
        <v>0</v>
      </c>
      <c r="N603" t="n">
        <v>0</v>
      </c>
      <c r="O603" t="n">
        <v>0</v>
      </c>
      <c r="P603" t="n">
        <v>0</v>
      </c>
      <c r="Q603" t="n">
        <v>0</v>
      </c>
      <c r="R603" s="2" t="inlineStr"/>
    </row>
    <row r="604" ht="15" customHeight="1">
      <c r="A604" t="inlineStr">
        <is>
          <t>A 29243-2023</t>
        </is>
      </c>
      <c r="B604" s="1" t="n">
        <v>45105</v>
      </c>
      <c r="C604" s="1" t="n">
        <v>45645</v>
      </c>
      <c r="D604" t="inlineStr">
        <is>
          <t>NORRBOTTENS LÄN</t>
        </is>
      </c>
      <c r="E604" t="inlineStr">
        <is>
          <t>PAJALA</t>
        </is>
      </c>
      <c r="G604" t="n">
        <v>8.6</v>
      </c>
      <c r="H604" t="n">
        <v>0</v>
      </c>
      <c r="I604" t="n">
        <v>0</v>
      </c>
      <c r="J604" t="n">
        <v>0</v>
      </c>
      <c r="K604" t="n">
        <v>0</v>
      </c>
      <c r="L604" t="n">
        <v>0</v>
      </c>
      <c r="M604" t="n">
        <v>0</v>
      </c>
      <c r="N604" t="n">
        <v>0</v>
      </c>
      <c r="O604" t="n">
        <v>0</v>
      </c>
      <c r="P604" t="n">
        <v>0</v>
      </c>
      <c r="Q604" t="n">
        <v>0</v>
      </c>
      <c r="R604" s="2" t="inlineStr"/>
    </row>
    <row r="605" ht="15" customHeight="1">
      <c r="A605" t="inlineStr">
        <is>
          <t>A 29876-2023</t>
        </is>
      </c>
      <c r="B605" s="1" t="n">
        <v>45107</v>
      </c>
      <c r="C605" s="1" t="n">
        <v>45645</v>
      </c>
      <c r="D605" t="inlineStr">
        <is>
          <t>NORRBOTTENS LÄN</t>
        </is>
      </c>
      <c r="E605" t="inlineStr">
        <is>
          <t>PAJALA</t>
        </is>
      </c>
      <c r="F605" t="inlineStr">
        <is>
          <t>Sveaskog</t>
        </is>
      </c>
      <c r="G605" t="n">
        <v>8.6</v>
      </c>
      <c r="H605" t="n">
        <v>0</v>
      </c>
      <c r="I605" t="n">
        <v>0</v>
      </c>
      <c r="J605" t="n">
        <v>0</v>
      </c>
      <c r="K605" t="n">
        <v>0</v>
      </c>
      <c r="L605" t="n">
        <v>0</v>
      </c>
      <c r="M605" t="n">
        <v>0</v>
      </c>
      <c r="N605" t="n">
        <v>0</v>
      </c>
      <c r="O605" t="n">
        <v>0</v>
      </c>
      <c r="P605" t="n">
        <v>0</v>
      </c>
      <c r="Q605" t="n">
        <v>0</v>
      </c>
      <c r="R605" s="2" t="inlineStr"/>
    </row>
    <row r="606" ht="15" customHeight="1">
      <c r="A606" t="inlineStr">
        <is>
          <t>A 30246-2023</t>
        </is>
      </c>
      <c r="B606" s="1" t="n">
        <v>45110</v>
      </c>
      <c r="C606" s="1" t="n">
        <v>45645</v>
      </c>
      <c r="D606" t="inlineStr">
        <is>
          <t>NORRBOTTENS LÄN</t>
        </is>
      </c>
      <c r="E606" t="inlineStr">
        <is>
          <t>PAJALA</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32591-2023</t>
        </is>
      </c>
      <c r="B607" s="1" t="n">
        <v>45111</v>
      </c>
      <c r="C607" s="1" t="n">
        <v>45645</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30739-2023</t>
        </is>
      </c>
      <c r="B608" s="1" t="n">
        <v>45112</v>
      </c>
      <c r="C608" s="1" t="n">
        <v>45645</v>
      </c>
      <c r="D608" t="inlineStr">
        <is>
          <t>NORRBOTTENS LÄN</t>
        </is>
      </c>
      <c r="E608" t="inlineStr">
        <is>
          <t>PAJALA</t>
        </is>
      </c>
      <c r="F608" t="inlineStr">
        <is>
          <t>Sveaskog</t>
        </is>
      </c>
      <c r="G608" t="n">
        <v>9.9</v>
      </c>
      <c r="H608" t="n">
        <v>0</v>
      </c>
      <c r="I608" t="n">
        <v>0</v>
      </c>
      <c r="J608" t="n">
        <v>0</v>
      </c>
      <c r="K608" t="n">
        <v>0</v>
      </c>
      <c r="L608" t="n">
        <v>0</v>
      </c>
      <c r="M608" t="n">
        <v>0</v>
      </c>
      <c r="N608" t="n">
        <v>0</v>
      </c>
      <c r="O608" t="n">
        <v>0</v>
      </c>
      <c r="P608" t="n">
        <v>0</v>
      </c>
      <c r="Q608" t="n">
        <v>0</v>
      </c>
      <c r="R608" s="2" t="inlineStr"/>
    </row>
    <row r="609" ht="15" customHeight="1">
      <c r="A609" t="inlineStr">
        <is>
          <t>A 30734-2023</t>
        </is>
      </c>
      <c r="B609" s="1" t="n">
        <v>45112</v>
      </c>
      <c r="C609" s="1" t="n">
        <v>45645</v>
      </c>
      <c r="D609" t="inlineStr">
        <is>
          <t>NORRBOTTENS LÄN</t>
        </is>
      </c>
      <c r="E609" t="inlineStr">
        <is>
          <t>PAJALA</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32687-2023</t>
        </is>
      </c>
      <c r="B610" s="1" t="n">
        <v>45112</v>
      </c>
      <c r="C610" s="1" t="n">
        <v>45645</v>
      </c>
      <c r="D610" t="inlineStr">
        <is>
          <t>NORRBOTTENS LÄN</t>
        </is>
      </c>
      <c r="E610" t="inlineStr">
        <is>
          <t>PAJALA</t>
        </is>
      </c>
      <c r="G610" t="n">
        <v>5.7</v>
      </c>
      <c r="H610" t="n">
        <v>0</v>
      </c>
      <c r="I610" t="n">
        <v>0</v>
      </c>
      <c r="J610" t="n">
        <v>0</v>
      </c>
      <c r="K610" t="n">
        <v>0</v>
      </c>
      <c r="L610" t="n">
        <v>0</v>
      </c>
      <c r="M610" t="n">
        <v>0</v>
      </c>
      <c r="N610" t="n">
        <v>0</v>
      </c>
      <c r="O610" t="n">
        <v>0</v>
      </c>
      <c r="P610" t="n">
        <v>0</v>
      </c>
      <c r="Q610" t="n">
        <v>0</v>
      </c>
      <c r="R610" s="2" t="inlineStr"/>
    </row>
    <row r="611" ht="15" customHeight="1">
      <c r="A611" t="inlineStr">
        <is>
          <t>A 31055-2023</t>
        </is>
      </c>
      <c r="B611" s="1" t="n">
        <v>45113</v>
      </c>
      <c r="C611" s="1" t="n">
        <v>45645</v>
      </c>
      <c r="D611" t="inlineStr">
        <is>
          <t>NORRBOTTENS LÄN</t>
        </is>
      </c>
      <c r="E611" t="inlineStr">
        <is>
          <t>PAJALA</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31080-2023</t>
        </is>
      </c>
      <c r="B612" s="1" t="n">
        <v>45113</v>
      </c>
      <c r="C612" s="1" t="n">
        <v>45645</v>
      </c>
      <c r="D612" t="inlineStr">
        <is>
          <t>NORRBOTTENS LÄN</t>
        </is>
      </c>
      <c r="E612" t="inlineStr">
        <is>
          <t>PAJALA</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31439-2023</t>
        </is>
      </c>
      <c r="B613" s="1" t="n">
        <v>45114</v>
      </c>
      <c r="C613" s="1" t="n">
        <v>45645</v>
      </c>
      <c r="D613" t="inlineStr">
        <is>
          <t>NORRBOTTENS LÄN</t>
        </is>
      </c>
      <c r="E613" t="inlineStr">
        <is>
          <t>PAJALA</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31326-2023</t>
        </is>
      </c>
      <c r="B614" s="1" t="n">
        <v>45114</v>
      </c>
      <c r="C614" s="1" t="n">
        <v>45645</v>
      </c>
      <c r="D614" t="inlineStr">
        <is>
          <t>NORRBOTTENS LÄN</t>
        </is>
      </c>
      <c r="E614" t="inlineStr">
        <is>
          <t>PAJALA</t>
        </is>
      </c>
      <c r="G614" t="n">
        <v>3.4</v>
      </c>
      <c r="H614" t="n">
        <v>0</v>
      </c>
      <c r="I614" t="n">
        <v>0</v>
      </c>
      <c r="J614" t="n">
        <v>0</v>
      </c>
      <c r="K614" t="n">
        <v>0</v>
      </c>
      <c r="L614" t="n">
        <v>0</v>
      </c>
      <c r="M614" t="n">
        <v>0</v>
      </c>
      <c r="N614" t="n">
        <v>0</v>
      </c>
      <c r="O614" t="n">
        <v>0</v>
      </c>
      <c r="P614" t="n">
        <v>0</v>
      </c>
      <c r="Q614" t="n">
        <v>0</v>
      </c>
      <c r="R614" s="2" t="inlineStr"/>
    </row>
    <row r="615" ht="15" customHeight="1">
      <c r="A615" t="inlineStr">
        <is>
          <t>A 31660-2023</t>
        </is>
      </c>
      <c r="B615" s="1" t="n">
        <v>45117</v>
      </c>
      <c r="C615" s="1" t="n">
        <v>45645</v>
      </c>
      <c r="D615" t="inlineStr">
        <is>
          <t>NORRBOTTENS LÄN</t>
        </is>
      </c>
      <c r="E615" t="inlineStr">
        <is>
          <t>PAJALA</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31902-2023</t>
        </is>
      </c>
      <c r="B616" s="1" t="n">
        <v>45118</v>
      </c>
      <c r="C616" s="1" t="n">
        <v>45645</v>
      </c>
      <c r="D616" t="inlineStr">
        <is>
          <t>NORRBOTTENS LÄN</t>
        </is>
      </c>
      <c r="E616" t="inlineStr">
        <is>
          <t>PAJALA</t>
        </is>
      </c>
      <c r="G616" t="n">
        <v>21.5</v>
      </c>
      <c r="H616" t="n">
        <v>0</v>
      </c>
      <c r="I616" t="n">
        <v>0</v>
      </c>
      <c r="J616" t="n">
        <v>0</v>
      </c>
      <c r="K616" t="n">
        <v>0</v>
      </c>
      <c r="L616" t="n">
        <v>0</v>
      </c>
      <c r="M616" t="n">
        <v>0</v>
      </c>
      <c r="N616" t="n">
        <v>0</v>
      </c>
      <c r="O616" t="n">
        <v>0</v>
      </c>
      <c r="P616" t="n">
        <v>0</v>
      </c>
      <c r="Q616" t="n">
        <v>0</v>
      </c>
      <c r="R616" s="2" t="inlineStr"/>
    </row>
    <row r="617" ht="15" customHeight="1">
      <c r="A617" t="inlineStr">
        <is>
          <t>A 31941-2023</t>
        </is>
      </c>
      <c r="B617" s="1" t="n">
        <v>45119</v>
      </c>
      <c r="C617" s="1" t="n">
        <v>45645</v>
      </c>
      <c r="D617" t="inlineStr">
        <is>
          <t>NORRBOTTENS LÄN</t>
        </is>
      </c>
      <c r="E617" t="inlineStr">
        <is>
          <t>PAJALA</t>
        </is>
      </c>
      <c r="F617" t="inlineStr">
        <is>
          <t>Sveaskog</t>
        </is>
      </c>
      <c r="G617" t="n">
        <v>32.6</v>
      </c>
      <c r="H617" t="n">
        <v>0</v>
      </c>
      <c r="I617" t="n">
        <v>0</v>
      </c>
      <c r="J617" t="n">
        <v>0</v>
      </c>
      <c r="K617" t="n">
        <v>0</v>
      </c>
      <c r="L617" t="n">
        <v>0</v>
      </c>
      <c r="M617" t="n">
        <v>0</v>
      </c>
      <c r="N617" t="n">
        <v>0</v>
      </c>
      <c r="O617" t="n">
        <v>0</v>
      </c>
      <c r="P617" t="n">
        <v>0</v>
      </c>
      <c r="Q617" t="n">
        <v>0</v>
      </c>
      <c r="R617" s="2" t="inlineStr"/>
    </row>
    <row r="618" ht="15" customHeight="1">
      <c r="A618" t="inlineStr">
        <is>
          <t>A 32457-2023</t>
        </is>
      </c>
      <c r="B618" s="1" t="n">
        <v>45120</v>
      </c>
      <c r="C618" s="1" t="n">
        <v>45645</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v>
      </c>
      <c r="C619" s="1" t="n">
        <v>45645</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32578-2023</t>
        </is>
      </c>
      <c r="B620" s="1" t="n">
        <v>45121</v>
      </c>
      <c r="C620" s="1" t="n">
        <v>45645</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32608-2023</t>
        </is>
      </c>
      <c r="B621" s="1" t="n">
        <v>45121</v>
      </c>
      <c r="C621" s="1" t="n">
        <v>45645</v>
      </c>
      <c r="D621" t="inlineStr">
        <is>
          <t>NORRBOTTENS LÄN</t>
        </is>
      </c>
      <c r="E621" t="inlineStr">
        <is>
          <t>PAJALA</t>
        </is>
      </c>
      <c r="G621" t="n">
        <v>6.9</v>
      </c>
      <c r="H621" t="n">
        <v>0</v>
      </c>
      <c r="I621" t="n">
        <v>0</v>
      </c>
      <c r="J621" t="n">
        <v>0</v>
      </c>
      <c r="K621" t="n">
        <v>0</v>
      </c>
      <c r="L621" t="n">
        <v>0</v>
      </c>
      <c r="M621" t="n">
        <v>0</v>
      </c>
      <c r="N621" t="n">
        <v>0</v>
      </c>
      <c r="O621" t="n">
        <v>0</v>
      </c>
      <c r="P621" t="n">
        <v>0</v>
      </c>
      <c r="Q621" t="n">
        <v>0</v>
      </c>
      <c r="R621" s="2" t="inlineStr"/>
    </row>
    <row r="622" ht="15" customHeight="1">
      <c r="A622" t="inlineStr">
        <is>
          <t>A 32767-2023</t>
        </is>
      </c>
      <c r="B622" s="1" t="n">
        <v>45123</v>
      </c>
      <c r="C622" s="1" t="n">
        <v>45645</v>
      </c>
      <c r="D622" t="inlineStr">
        <is>
          <t>NORRBOTTENS LÄN</t>
        </is>
      </c>
      <c r="E622" t="inlineStr">
        <is>
          <t>PAJALA</t>
        </is>
      </c>
      <c r="G622" t="n">
        <v>10.8</v>
      </c>
      <c r="H622" t="n">
        <v>0</v>
      </c>
      <c r="I622" t="n">
        <v>0</v>
      </c>
      <c r="J622" t="n">
        <v>0</v>
      </c>
      <c r="K622" t="n">
        <v>0</v>
      </c>
      <c r="L622" t="n">
        <v>0</v>
      </c>
      <c r="M622" t="n">
        <v>0</v>
      </c>
      <c r="N622" t="n">
        <v>0</v>
      </c>
      <c r="O622" t="n">
        <v>0</v>
      </c>
      <c r="P622" t="n">
        <v>0</v>
      </c>
      <c r="Q622" t="n">
        <v>0</v>
      </c>
      <c r="R622" s="2" t="inlineStr"/>
    </row>
    <row r="623" ht="15" customHeight="1">
      <c r="A623" t="inlineStr">
        <is>
          <t>A 33386-2023</t>
        </is>
      </c>
      <c r="B623" s="1" t="n">
        <v>45128</v>
      </c>
      <c r="C623" s="1" t="n">
        <v>45645</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33387-2023</t>
        </is>
      </c>
      <c r="B624" s="1" t="n">
        <v>45128</v>
      </c>
      <c r="C624" s="1" t="n">
        <v>45645</v>
      </c>
      <c r="D624" t="inlineStr">
        <is>
          <t>NORRBOTTENS LÄN</t>
        </is>
      </c>
      <c r="E624" t="inlineStr">
        <is>
          <t>PAJALA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45645</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34152-2023</t>
        </is>
      </c>
      <c r="B626" s="1" t="n">
        <v>45136</v>
      </c>
      <c r="C626" s="1" t="n">
        <v>45645</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34150-2023</t>
        </is>
      </c>
      <c r="B627" s="1" t="n">
        <v>45136</v>
      </c>
      <c r="C627" s="1" t="n">
        <v>45645</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34151-2023</t>
        </is>
      </c>
      <c r="B628" s="1" t="n">
        <v>45136</v>
      </c>
      <c r="C628" s="1" t="n">
        <v>45645</v>
      </c>
      <c r="D628" t="inlineStr">
        <is>
          <t>NORRBOTTENS LÄN</t>
        </is>
      </c>
      <c r="E628" t="inlineStr">
        <is>
          <t>PAJALA</t>
        </is>
      </c>
      <c r="G628" t="n">
        <v>21.7</v>
      </c>
      <c r="H628" t="n">
        <v>0</v>
      </c>
      <c r="I628" t="n">
        <v>0</v>
      </c>
      <c r="J628" t="n">
        <v>0</v>
      </c>
      <c r="K628" t="n">
        <v>0</v>
      </c>
      <c r="L628" t="n">
        <v>0</v>
      </c>
      <c r="M628" t="n">
        <v>0</v>
      </c>
      <c r="N628" t="n">
        <v>0</v>
      </c>
      <c r="O628" t="n">
        <v>0</v>
      </c>
      <c r="P628" t="n">
        <v>0</v>
      </c>
      <c r="Q628" t="n">
        <v>0</v>
      </c>
      <c r="R628" s="2" t="inlineStr"/>
    </row>
    <row r="629" ht="15" customHeight="1">
      <c r="A629" t="inlineStr">
        <is>
          <t>A 34295-2023</t>
        </is>
      </c>
      <c r="B629" s="1" t="n">
        <v>45138</v>
      </c>
      <c r="C629" s="1" t="n">
        <v>45645</v>
      </c>
      <c r="D629" t="inlineStr">
        <is>
          <t>NORRBOTTENS LÄN</t>
        </is>
      </c>
      <c r="E629" t="inlineStr">
        <is>
          <t>PAJALA</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35687-2023</t>
        </is>
      </c>
      <c r="B630" s="1" t="n">
        <v>45147</v>
      </c>
      <c r="C630" s="1" t="n">
        <v>45645</v>
      </c>
      <c r="D630" t="inlineStr">
        <is>
          <t>NORRBOTTENS LÄN</t>
        </is>
      </c>
      <c r="E630" t="inlineStr">
        <is>
          <t>PAJALA</t>
        </is>
      </c>
      <c r="G630" t="n">
        <v>2.5</v>
      </c>
      <c r="H630" t="n">
        <v>0</v>
      </c>
      <c r="I630" t="n">
        <v>0</v>
      </c>
      <c r="J630" t="n">
        <v>0</v>
      </c>
      <c r="K630" t="n">
        <v>0</v>
      </c>
      <c r="L630" t="n">
        <v>0</v>
      </c>
      <c r="M630" t="n">
        <v>0</v>
      </c>
      <c r="N630" t="n">
        <v>0</v>
      </c>
      <c r="O630" t="n">
        <v>0</v>
      </c>
      <c r="P630" t="n">
        <v>0</v>
      </c>
      <c r="Q630" t="n">
        <v>0</v>
      </c>
      <c r="R630" s="2" t="inlineStr"/>
    </row>
    <row r="631" ht="15" customHeight="1">
      <c r="A631" t="inlineStr">
        <is>
          <t>A 35627-2023</t>
        </is>
      </c>
      <c r="B631" s="1" t="n">
        <v>45147</v>
      </c>
      <c r="C631" s="1" t="n">
        <v>45645</v>
      </c>
      <c r="D631" t="inlineStr">
        <is>
          <t>NORRBOTTENS LÄN</t>
        </is>
      </c>
      <c r="E631" t="inlineStr">
        <is>
          <t>PAJALA</t>
        </is>
      </c>
      <c r="G631" t="n">
        <v>11.2</v>
      </c>
      <c r="H631" t="n">
        <v>0</v>
      </c>
      <c r="I631" t="n">
        <v>0</v>
      </c>
      <c r="J631" t="n">
        <v>0</v>
      </c>
      <c r="K631" t="n">
        <v>0</v>
      </c>
      <c r="L631" t="n">
        <v>0</v>
      </c>
      <c r="M631" t="n">
        <v>0</v>
      </c>
      <c r="N631" t="n">
        <v>0</v>
      </c>
      <c r="O631" t="n">
        <v>0</v>
      </c>
      <c r="P631" t="n">
        <v>0</v>
      </c>
      <c r="Q631" t="n">
        <v>0</v>
      </c>
      <c r="R631" s="2" t="inlineStr"/>
    </row>
    <row r="632" ht="15" customHeight="1">
      <c r="A632" t="inlineStr">
        <is>
          <t>A 36391-2023</t>
        </is>
      </c>
      <c r="B632" s="1" t="n">
        <v>45152</v>
      </c>
      <c r="C632" s="1" t="n">
        <v>45645</v>
      </c>
      <c r="D632" t="inlineStr">
        <is>
          <t>NORRBOTTENS LÄN</t>
        </is>
      </c>
      <c r="E632" t="inlineStr">
        <is>
          <t>PAJALA</t>
        </is>
      </c>
      <c r="G632" t="n">
        <v>10.5</v>
      </c>
      <c r="H632" t="n">
        <v>0</v>
      </c>
      <c r="I632" t="n">
        <v>0</v>
      </c>
      <c r="J632" t="n">
        <v>0</v>
      </c>
      <c r="K632" t="n">
        <v>0</v>
      </c>
      <c r="L632" t="n">
        <v>0</v>
      </c>
      <c r="M632" t="n">
        <v>0</v>
      </c>
      <c r="N632" t="n">
        <v>0</v>
      </c>
      <c r="O632" t="n">
        <v>0</v>
      </c>
      <c r="P632" t="n">
        <v>0</v>
      </c>
      <c r="Q632" t="n">
        <v>0</v>
      </c>
      <c r="R632" s="2" t="inlineStr"/>
    </row>
    <row r="633" ht="15" customHeight="1">
      <c r="A633" t="inlineStr">
        <is>
          <t>A 36498-2023</t>
        </is>
      </c>
      <c r="B633" s="1" t="n">
        <v>45153</v>
      </c>
      <c r="C633" s="1" t="n">
        <v>45645</v>
      </c>
      <c r="D633" t="inlineStr">
        <is>
          <t>NORRBOTTENS LÄN</t>
        </is>
      </c>
      <c r="E633" t="inlineStr">
        <is>
          <t>PAJALA</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36459-2023</t>
        </is>
      </c>
      <c r="B634" s="1" t="n">
        <v>45152</v>
      </c>
      <c r="C634" s="1" t="n">
        <v>45645</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36928-2023</t>
        </is>
      </c>
      <c r="B635" s="1" t="n">
        <v>45153</v>
      </c>
      <c r="C635" s="1" t="n">
        <v>45645</v>
      </c>
      <c r="D635" t="inlineStr">
        <is>
          <t>NORRBOTTENS LÄN</t>
        </is>
      </c>
      <c r="E635" t="inlineStr">
        <is>
          <t>PAJALA</t>
        </is>
      </c>
      <c r="G635" t="n">
        <v>9.1</v>
      </c>
      <c r="H635" t="n">
        <v>0</v>
      </c>
      <c r="I635" t="n">
        <v>0</v>
      </c>
      <c r="J635" t="n">
        <v>0</v>
      </c>
      <c r="K635" t="n">
        <v>0</v>
      </c>
      <c r="L635" t="n">
        <v>0</v>
      </c>
      <c r="M635" t="n">
        <v>0</v>
      </c>
      <c r="N635" t="n">
        <v>0</v>
      </c>
      <c r="O635" t="n">
        <v>0</v>
      </c>
      <c r="P635" t="n">
        <v>0</v>
      </c>
      <c r="Q635" t="n">
        <v>0</v>
      </c>
      <c r="R635" s="2" t="inlineStr"/>
    </row>
    <row r="636" ht="15" customHeight="1">
      <c r="A636" t="inlineStr">
        <is>
          <t>A 36894-2023</t>
        </is>
      </c>
      <c r="B636" s="1" t="n">
        <v>45154</v>
      </c>
      <c r="C636" s="1" t="n">
        <v>45645</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36933-2023</t>
        </is>
      </c>
      <c r="B637" s="1" t="n">
        <v>45154</v>
      </c>
      <c r="C637" s="1" t="n">
        <v>45645</v>
      </c>
      <c r="D637" t="inlineStr">
        <is>
          <t>NORRBOTTENS LÄN</t>
        </is>
      </c>
      <c r="E637" t="inlineStr">
        <is>
          <t>PAJALA</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36856-2023</t>
        </is>
      </c>
      <c r="B638" s="1" t="n">
        <v>45154</v>
      </c>
      <c r="C638" s="1" t="n">
        <v>45645</v>
      </c>
      <c r="D638" t="inlineStr">
        <is>
          <t>NORRBOTTENS LÄN</t>
        </is>
      </c>
      <c r="E638" t="inlineStr">
        <is>
          <t>PAJALA</t>
        </is>
      </c>
      <c r="G638" t="n">
        <v>9.4</v>
      </c>
      <c r="H638" t="n">
        <v>0</v>
      </c>
      <c r="I638" t="n">
        <v>0</v>
      </c>
      <c r="J638" t="n">
        <v>0</v>
      </c>
      <c r="K638" t="n">
        <v>0</v>
      </c>
      <c r="L638" t="n">
        <v>0</v>
      </c>
      <c r="M638" t="n">
        <v>0</v>
      </c>
      <c r="N638" t="n">
        <v>0</v>
      </c>
      <c r="O638" t="n">
        <v>0</v>
      </c>
      <c r="P638" t="n">
        <v>0</v>
      </c>
      <c r="Q638" t="n">
        <v>0</v>
      </c>
      <c r="R638" s="2" t="inlineStr"/>
    </row>
    <row r="639" ht="15" customHeight="1">
      <c r="A639" t="inlineStr">
        <is>
          <t>A 36961-2023</t>
        </is>
      </c>
      <c r="B639" s="1" t="n">
        <v>45154</v>
      </c>
      <c r="C639" s="1" t="n">
        <v>45645</v>
      </c>
      <c r="D639" t="inlineStr">
        <is>
          <t>NORRBOTTENS LÄN</t>
        </is>
      </c>
      <c r="E639" t="inlineStr">
        <is>
          <t>PAJALA</t>
        </is>
      </c>
      <c r="G639" t="n">
        <v>5.8</v>
      </c>
      <c r="H639" t="n">
        <v>0</v>
      </c>
      <c r="I639" t="n">
        <v>0</v>
      </c>
      <c r="J639" t="n">
        <v>0</v>
      </c>
      <c r="K639" t="n">
        <v>0</v>
      </c>
      <c r="L639" t="n">
        <v>0</v>
      </c>
      <c r="M639" t="n">
        <v>0</v>
      </c>
      <c r="N639" t="n">
        <v>0</v>
      </c>
      <c r="O639" t="n">
        <v>0</v>
      </c>
      <c r="P639" t="n">
        <v>0</v>
      </c>
      <c r="Q639" t="n">
        <v>0</v>
      </c>
      <c r="R639" s="2" t="inlineStr"/>
    </row>
    <row r="640" ht="15" customHeight="1">
      <c r="A640" t="inlineStr">
        <is>
          <t>A 36962-2023</t>
        </is>
      </c>
      <c r="B640" s="1" t="n">
        <v>45155</v>
      </c>
      <c r="C640" s="1" t="n">
        <v>45645</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36963-2023</t>
        </is>
      </c>
      <c r="B641" s="1" t="n">
        <v>45155</v>
      </c>
      <c r="C641" s="1" t="n">
        <v>45645</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37245-2023</t>
        </is>
      </c>
      <c r="B642" s="1" t="n">
        <v>45156</v>
      </c>
      <c r="C642" s="1" t="n">
        <v>45645</v>
      </c>
      <c r="D642" t="inlineStr">
        <is>
          <t>NORRBOTTENS LÄN</t>
        </is>
      </c>
      <c r="E642" t="inlineStr">
        <is>
          <t>PAJALA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37244-2023</t>
        </is>
      </c>
      <c r="B643" s="1" t="n">
        <v>45156</v>
      </c>
      <c r="C643" s="1" t="n">
        <v>45645</v>
      </c>
      <c r="D643" t="inlineStr">
        <is>
          <t>NORRBOTTENS LÄN</t>
        </is>
      </c>
      <c r="E643" t="inlineStr">
        <is>
          <t>PAJALA</t>
        </is>
      </c>
      <c r="F643" t="inlineStr">
        <is>
          <t>SCA</t>
        </is>
      </c>
      <c r="G643" t="n">
        <v>11.8</v>
      </c>
      <c r="H643" t="n">
        <v>0</v>
      </c>
      <c r="I643" t="n">
        <v>0</v>
      </c>
      <c r="J643" t="n">
        <v>0</v>
      </c>
      <c r="K643" t="n">
        <v>0</v>
      </c>
      <c r="L643" t="n">
        <v>0</v>
      </c>
      <c r="M643" t="n">
        <v>0</v>
      </c>
      <c r="N643" t="n">
        <v>0</v>
      </c>
      <c r="O643" t="n">
        <v>0</v>
      </c>
      <c r="P643" t="n">
        <v>0</v>
      </c>
      <c r="Q643" t="n">
        <v>0</v>
      </c>
      <c r="R643" s="2" t="inlineStr"/>
    </row>
    <row r="644" ht="15" customHeight="1">
      <c r="A644" t="inlineStr">
        <is>
          <t>A 37792-2023</t>
        </is>
      </c>
      <c r="B644" s="1" t="n">
        <v>45160</v>
      </c>
      <c r="C644" s="1" t="n">
        <v>45645</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37793-2023</t>
        </is>
      </c>
      <c r="B645" s="1" t="n">
        <v>45160</v>
      </c>
      <c r="C645" s="1" t="n">
        <v>45645</v>
      </c>
      <c r="D645" t="inlineStr">
        <is>
          <t>NORRBOTTENS LÄN</t>
        </is>
      </c>
      <c r="E645" t="inlineStr">
        <is>
          <t>PAJALA</t>
        </is>
      </c>
      <c r="G645" t="n">
        <v>11.3</v>
      </c>
      <c r="H645" t="n">
        <v>0</v>
      </c>
      <c r="I645" t="n">
        <v>0</v>
      </c>
      <c r="J645" t="n">
        <v>0</v>
      </c>
      <c r="K645" t="n">
        <v>0</v>
      </c>
      <c r="L645" t="n">
        <v>0</v>
      </c>
      <c r="M645" t="n">
        <v>0</v>
      </c>
      <c r="N645" t="n">
        <v>0</v>
      </c>
      <c r="O645" t="n">
        <v>0</v>
      </c>
      <c r="P645" t="n">
        <v>0</v>
      </c>
      <c r="Q645" t="n">
        <v>0</v>
      </c>
      <c r="R645" s="2" t="inlineStr"/>
    </row>
    <row r="646" ht="15" customHeight="1">
      <c r="A646" t="inlineStr">
        <is>
          <t>A 38033-2023</t>
        </is>
      </c>
      <c r="B646" s="1" t="n">
        <v>45159</v>
      </c>
      <c r="C646" s="1" t="n">
        <v>45645</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38540-2023</t>
        </is>
      </c>
      <c r="B647" s="1" t="n">
        <v>45160</v>
      </c>
      <c r="C647" s="1" t="n">
        <v>45645</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38545-2023</t>
        </is>
      </c>
      <c r="B648" s="1" t="n">
        <v>45160</v>
      </c>
      <c r="C648" s="1" t="n">
        <v>45645</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38556-2023</t>
        </is>
      </c>
      <c r="B649" s="1" t="n">
        <v>45160</v>
      </c>
      <c r="C649" s="1" t="n">
        <v>45645</v>
      </c>
      <c r="D649" t="inlineStr">
        <is>
          <t>NORRBOTTENS LÄN</t>
        </is>
      </c>
      <c r="E649" t="inlineStr">
        <is>
          <t>PAJALA</t>
        </is>
      </c>
      <c r="G649" t="n">
        <v>6.2</v>
      </c>
      <c r="H649" t="n">
        <v>0</v>
      </c>
      <c r="I649" t="n">
        <v>0</v>
      </c>
      <c r="J649" t="n">
        <v>0</v>
      </c>
      <c r="K649" t="n">
        <v>0</v>
      </c>
      <c r="L649" t="n">
        <v>0</v>
      </c>
      <c r="M649" t="n">
        <v>0</v>
      </c>
      <c r="N649" t="n">
        <v>0</v>
      </c>
      <c r="O649" t="n">
        <v>0</v>
      </c>
      <c r="P649" t="n">
        <v>0</v>
      </c>
      <c r="Q649" t="n">
        <v>0</v>
      </c>
      <c r="R649" s="2" t="inlineStr"/>
    </row>
    <row r="650" ht="15" customHeight="1">
      <c r="A650" t="inlineStr">
        <is>
          <t>A 38529-2023</t>
        </is>
      </c>
      <c r="B650" s="1" t="n">
        <v>45160</v>
      </c>
      <c r="C650" s="1" t="n">
        <v>45645</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38550-2023</t>
        </is>
      </c>
      <c r="B651" s="1" t="n">
        <v>45160</v>
      </c>
      <c r="C651" s="1" t="n">
        <v>45645</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38660-2023</t>
        </is>
      </c>
      <c r="B652" s="1" t="n">
        <v>45162</v>
      </c>
      <c r="C652" s="1" t="n">
        <v>45645</v>
      </c>
      <c r="D652" t="inlineStr">
        <is>
          <t>NORRBOTTENS LÄN</t>
        </is>
      </c>
      <c r="E652" t="inlineStr">
        <is>
          <t>PAJALA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38576-2023</t>
        </is>
      </c>
      <c r="B653" s="1" t="n">
        <v>45162</v>
      </c>
      <c r="C653" s="1" t="n">
        <v>45645</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38590-2023</t>
        </is>
      </c>
      <c r="B654" s="1" t="n">
        <v>45162</v>
      </c>
      <c r="C654" s="1" t="n">
        <v>45645</v>
      </c>
      <c r="D654" t="inlineStr">
        <is>
          <t>NORRBOTTENS LÄN</t>
        </is>
      </c>
      <c r="E654" t="inlineStr">
        <is>
          <t>PAJALA</t>
        </is>
      </c>
      <c r="G654" t="n">
        <v>0.9</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v>
      </c>
      <c r="C655" s="1" t="n">
        <v>45645</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38939-2023</t>
        </is>
      </c>
      <c r="B656" s="1" t="n">
        <v>45163</v>
      </c>
      <c r="C656" s="1" t="n">
        <v>45645</v>
      </c>
      <c r="D656" t="inlineStr">
        <is>
          <t>NORRBOTTENS LÄN</t>
        </is>
      </c>
      <c r="E656" t="inlineStr">
        <is>
          <t>PAJALA</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39275-2023</t>
        </is>
      </c>
      <c r="B657" s="1" t="n">
        <v>45166</v>
      </c>
      <c r="C657" s="1" t="n">
        <v>45645</v>
      </c>
      <c r="D657" t="inlineStr">
        <is>
          <t>NORRBOTTENS LÄN</t>
        </is>
      </c>
      <c r="E657" t="inlineStr">
        <is>
          <t>PAJALA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39653-2023</t>
        </is>
      </c>
      <c r="B658" s="1" t="n">
        <v>45167</v>
      </c>
      <c r="C658" s="1" t="n">
        <v>45645</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40252-2023</t>
        </is>
      </c>
      <c r="B659" s="1" t="n">
        <v>45169</v>
      </c>
      <c r="C659" s="1" t="n">
        <v>45645</v>
      </c>
      <c r="D659" t="inlineStr">
        <is>
          <t>NORRBOTTENS LÄN</t>
        </is>
      </c>
      <c r="E659" t="inlineStr">
        <is>
          <t>PAJALA</t>
        </is>
      </c>
      <c r="G659" t="n">
        <v>11.4</v>
      </c>
      <c r="H659" t="n">
        <v>0</v>
      </c>
      <c r="I659" t="n">
        <v>0</v>
      </c>
      <c r="J659" t="n">
        <v>0</v>
      </c>
      <c r="K659" t="n">
        <v>0</v>
      </c>
      <c r="L659" t="n">
        <v>0</v>
      </c>
      <c r="M659" t="n">
        <v>0</v>
      </c>
      <c r="N659" t="n">
        <v>0</v>
      </c>
      <c r="O659" t="n">
        <v>0</v>
      </c>
      <c r="P659" t="n">
        <v>0</v>
      </c>
      <c r="Q659" t="n">
        <v>0</v>
      </c>
      <c r="R659" s="2" t="inlineStr"/>
    </row>
    <row r="660" ht="15" customHeight="1">
      <c r="A660" t="inlineStr">
        <is>
          <t>A 40240-2023</t>
        </is>
      </c>
      <c r="B660" s="1" t="n">
        <v>45169</v>
      </c>
      <c r="C660" s="1" t="n">
        <v>45645</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40411-2023</t>
        </is>
      </c>
      <c r="B661" s="1" t="n">
        <v>45169</v>
      </c>
      <c r="C661" s="1" t="n">
        <v>45645</v>
      </c>
      <c r="D661" t="inlineStr">
        <is>
          <t>NORRBOTTENS LÄN</t>
        </is>
      </c>
      <c r="E661" t="inlineStr">
        <is>
          <t>PAJALA</t>
        </is>
      </c>
      <c r="F661" t="inlineStr">
        <is>
          <t>SCA</t>
        </is>
      </c>
      <c r="G661" t="n">
        <v>11.3</v>
      </c>
      <c r="H661" t="n">
        <v>0</v>
      </c>
      <c r="I661" t="n">
        <v>0</v>
      </c>
      <c r="J661" t="n">
        <v>0</v>
      </c>
      <c r="K661" t="n">
        <v>0</v>
      </c>
      <c r="L661" t="n">
        <v>0</v>
      </c>
      <c r="M661" t="n">
        <v>0</v>
      </c>
      <c r="N661" t="n">
        <v>0</v>
      </c>
      <c r="O661" t="n">
        <v>0</v>
      </c>
      <c r="P661" t="n">
        <v>0</v>
      </c>
      <c r="Q661" t="n">
        <v>0</v>
      </c>
      <c r="R661" s="2" t="inlineStr"/>
    </row>
    <row r="662" ht="15" customHeight="1">
      <c r="A662" t="inlineStr">
        <is>
          <t>A 40412-2023</t>
        </is>
      </c>
      <c r="B662" s="1" t="n">
        <v>45170</v>
      </c>
      <c r="C662" s="1" t="n">
        <v>45645</v>
      </c>
      <c r="D662" t="inlineStr">
        <is>
          <t>NORRBOTTENS LÄN</t>
        </is>
      </c>
      <c r="E662" t="inlineStr">
        <is>
          <t>PAJALA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41151-2023</t>
        </is>
      </c>
      <c r="B663" s="1" t="n">
        <v>45174</v>
      </c>
      <c r="C663" s="1" t="n">
        <v>45645</v>
      </c>
      <c r="D663" t="inlineStr">
        <is>
          <t>NORRBOTTENS LÄN</t>
        </is>
      </c>
      <c r="E663" t="inlineStr">
        <is>
          <t>PAJALA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42604-2023</t>
        </is>
      </c>
      <c r="B664" s="1" t="n">
        <v>45176</v>
      </c>
      <c r="C664" s="1" t="n">
        <v>45645</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42835-2023</t>
        </is>
      </c>
      <c r="B665" s="1" t="n">
        <v>45177</v>
      </c>
      <c r="C665" s="1" t="n">
        <v>45645</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42849-2023</t>
        </is>
      </c>
      <c r="B666" s="1" t="n">
        <v>45177</v>
      </c>
      <c r="C666" s="1" t="n">
        <v>45645</v>
      </c>
      <c r="D666" t="inlineStr">
        <is>
          <t>NORRBOTTENS LÄN</t>
        </is>
      </c>
      <c r="E666" t="inlineStr">
        <is>
          <t>PAJALA</t>
        </is>
      </c>
      <c r="G666" t="n">
        <v>0.3</v>
      </c>
      <c r="H666" t="n">
        <v>0</v>
      </c>
      <c r="I666" t="n">
        <v>0</v>
      </c>
      <c r="J666" t="n">
        <v>0</v>
      </c>
      <c r="K666" t="n">
        <v>0</v>
      </c>
      <c r="L666" t="n">
        <v>0</v>
      </c>
      <c r="M666" t="n">
        <v>0</v>
      </c>
      <c r="N666" t="n">
        <v>0</v>
      </c>
      <c r="O666" t="n">
        <v>0</v>
      </c>
      <c r="P666" t="n">
        <v>0</v>
      </c>
      <c r="Q666" t="n">
        <v>0</v>
      </c>
      <c r="R666" s="2" t="inlineStr"/>
    </row>
    <row r="667" ht="15" customHeight="1">
      <c r="A667" t="inlineStr">
        <is>
          <t>A 42845-2023</t>
        </is>
      </c>
      <c r="B667" s="1" t="n">
        <v>45177</v>
      </c>
      <c r="C667" s="1" t="n">
        <v>45645</v>
      </c>
      <c r="D667" t="inlineStr">
        <is>
          <t>NORRBOTTENS LÄN</t>
        </is>
      </c>
      <c r="E667" t="inlineStr">
        <is>
          <t>PAJALA</t>
        </is>
      </c>
      <c r="G667" t="n">
        <v>0.4</v>
      </c>
      <c r="H667" t="n">
        <v>0</v>
      </c>
      <c r="I667" t="n">
        <v>0</v>
      </c>
      <c r="J667" t="n">
        <v>0</v>
      </c>
      <c r="K667" t="n">
        <v>0</v>
      </c>
      <c r="L667" t="n">
        <v>0</v>
      </c>
      <c r="M667" t="n">
        <v>0</v>
      </c>
      <c r="N667" t="n">
        <v>0</v>
      </c>
      <c r="O667" t="n">
        <v>0</v>
      </c>
      <c r="P667" t="n">
        <v>0</v>
      </c>
      <c r="Q667" t="n">
        <v>0</v>
      </c>
      <c r="R667" s="2" t="inlineStr"/>
    </row>
    <row r="668" ht="15" customHeight="1">
      <c r="A668" t="inlineStr">
        <is>
          <t>A 42249-2023</t>
        </is>
      </c>
      <c r="B668" s="1" t="n">
        <v>45180</v>
      </c>
      <c r="C668" s="1" t="n">
        <v>45645</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42470-2023</t>
        </is>
      </c>
      <c r="B669" s="1" t="n">
        <v>45180</v>
      </c>
      <c r="C669" s="1" t="n">
        <v>45645</v>
      </c>
      <c r="D669" t="inlineStr">
        <is>
          <t>NORRBOTTENS LÄN</t>
        </is>
      </c>
      <c r="E669" t="inlineStr">
        <is>
          <t>PAJALA</t>
        </is>
      </c>
      <c r="G669" t="n">
        <v>6.3</v>
      </c>
      <c r="H669" t="n">
        <v>0</v>
      </c>
      <c r="I669" t="n">
        <v>0</v>
      </c>
      <c r="J669" t="n">
        <v>0</v>
      </c>
      <c r="K669" t="n">
        <v>0</v>
      </c>
      <c r="L669" t="n">
        <v>0</v>
      </c>
      <c r="M669" t="n">
        <v>0</v>
      </c>
      <c r="N669" t="n">
        <v>0</v>
      </c>
      <c r="O669" t="n">
        <v>0</v>
      </c>
      <c r="P669" t="n">
        <v>0</v>
      </c>
      <c r="Q669" t="n">
        <v>0</v>
      </c>
      <c r="R669" s="2" t="inlineStr"/>
    </row>
    <row r="670" ht="15" customHeight="1">
      <c r="A670" t="inlineStr">
        <is>
          <t>A 42479-2023</t>
        </is>
      </c>
      <c r="B670" s="1" t="n">
        <v>45180</v>
      </c>
      <c r="C670" s="1" t="n">
        <v>45645</v>
      </c>
      <c r="D670" t="inlineStr">
        <is>
          <t>NORRBOTTENS LÄN</t>
        </is>
      </c>
      <c r="E670" t="inlineStr">
        <is>
          <t>PAJALA</t>
        </is>
      </c>
      <c r="G670" t="n">
        <v>3</v>
      </c>
      <c r="H670" t="n">
        <v>0</v>
      </c>
      <c r="I670" t="n">
        <v>0</v>
      </c>
      <c r="J670" t="n">
        <v>0</v>
      </c>
      <c r="K670" t="n">
        <v>0</v>
      </c>
      <c r="L670" t="n">
        <v>0</v>
      </c>
      <c r="M670" t="n">
        <v>0</v>
      </c>
      <c r="N670" t="n">
        <v>0</v>
      </c>
      <c r="O670" t="n">
        <v>0</v>
      </c>
      <c r="P670" t="n">
        <v>0</v>
      </c>
      <c r="Q670" t="n">
        <v>0</v>
      </c>
      <c r="R670" s="2" t="inlineStr"/>
    </row>
    <row r="671" ht="15" customHeight="1">
      <c r="A671" t="inlineStr">
        <is>
          <t>A 42499-2023</t>
        </is>
      </c>
      <c r="B671" s="1" t="n">
        <v>45181</v>
      </c>
      <c r="C671" s="1" t="n">
        <v>45645</v>
      </c>
      <c r="D671" t="inlineStr">
        <is>
          <t>NORRBOTTENS LÄN</t>
        </is>
      </c>
      <c r="E671" t="inlineStr">
        <is>
          <t>PAJALA</t>
        </is>
      </c>
      <c r="G671" t="n">
        <v>13.8</v>
      </c>
      <c r="H671" t="n">
        <v>0</v>
      </c>
      <c r="I671" t="n">
        <v>0</v>
      </c>
      <c r="J671" t="n">
        <v>0</v>
      </c>
      <c r="K671" t="n">
        <v>0</v>
      </c>
      <c r="L671" t="n">
        <v>0</v>
      </c>
      <c r="M671" t="n">
        <v>0</v>
      </c>
      <c r="N671" t="n">
        <v>0</v>
      </c>
      <c r="O671" t="n">
        <v>0</v>
      </c>
      <c r="P671" t="n">
        <v>0</v>
      </c>
      <c r="Q671" t="n">
        <v>0</v>
      </c>
      <c r="R671" s="2" t="inlineStr"/>
    </row>
    <row r="672" ht="15" customHeight="1">
      <c r="A672" t="inlineStr">
        <is>
          <t>A 42773-2023</t>
        </is>
      </c>
      <c r="B672" s="1" t="n">
        <v>45181</v>
      </c>
      <c r="C672" s="1" t="n">
        <v>45645</v>
      </c>
      <c r="D672" t="inlineStr">
        <is>
          <t>NORRBOTTENS LÄN</t>
        </is>
      </c>
      <c r="E672" t="inlineStr">
        <is>
          <t>PAJALA</t>
        </is>
      </c>
      <c r="G672" t="n">
        <v>6.1</v>
      </c>
      <c r="H672" t="n">
        <v>0</v>
      </c>
      <c r="I672" t="n">
        <v>0</v>
      </c>
      <c r="J672" t="n">
        <v>0</v>
      </c>
      <c r="K672" t="n">
        <v>0</v>
      </c>
      <c r="L672" t="n">
        <v>0</v>
      </c>
      <c r="M672" t="n">
        <v>0</v>
      </c>
      <c r="N672" t="n">
        <v>0</v>
      </c>
      <c r="O672" t="n">
        <v>0</v>
      </c>
      <c r="P672" t="n">
        <v>0</v>
      </c>
      <c r="Q672" t="n">
        <v>0</v>
      </c>
      <c r="R672" s="2" t="inlineStr"/>
    </row>
    <row r="673" ht="15" customHeight="1">
      <c r="A673" t="inlineStr">
        <is>
          <t>A 42839-2023</t>
        </is>
      </c>
      <c r="B673" s="1" t="n">
        <v>45182</v>
      </c>
      <c r="C673" s="1" t="n">
        <v>45645</v>
      </c>
      <c r="D673" t="inlineStr">
        <is>
          <t>NORRBOTTENS LÄN</t>
        </is>
      </c>
      <c r="E673" t="inlineStr">
        <is>
          <t>PAJALA</t>
        </is>
      </c>
      <c r="G673" t="n">
        <v>14.7</v>
      </c>
      <c r="H673" t="n">
        <v>0</v>
      </c>
      <c r="I673" t="n">
        <v>0</v>
      </c>
      <c r="J673" t="n">
        <v>0</v>
      </c>
      <c r="K673" t="n">
        <v>0</v>
      </c>
      <c r="L673" t="n">
        <v>0</v>
      </c>
      <c r="M673" t="n">
        <v>0</v>
      </c>
      <c r="N673" t="n">
        <v>0</v>
      </c>
      <c r="O673" t="n">
        <v>0</v>
      </c>
      <c r="P673" t="n">
        <v>0</v>
      </c>
      <c r="Q673" t="n">
        <v>0</v>
      </c>
      <c r="R673" s="2" t="inlineStr"/>
    </row>
    <row r="674" ht="15" customHeight="1">
      <c r="A674" t="inlineStr">
        <is>
          <t>A 43010-2023</t>
        </is>
      </c>
      <c r="B674" s="1" t="n">
        <v>45182</v>
      </c>
      <c r="C674" s="1" t="n">
        <v>45645</v>
      </c>
      <c r="D674" t="inlineStr">
        <is>
          <t>NORRBOTTENS LÄN</t>
        </is>
      </c>
      <c r="E674" t="inlineStr">
        <is>
          <t>PAJALA</t>
        </is>
      </c>
      <c r="F674" t="inlineStr">
        <is>
          <t>Sveaskog</t>
        </is>
      </c>
      <c r="G674" t="n">
        <v>11.5</v>
      </c>
      <c r="H674" t="n">
        <v>0</v>
      </c>
      <c r="I674" t="n">
        <v>0</v>
      </c>
      <c r="J674" t="n">
        <v>0</v>
      </c>
      <c r="K674" t="n">
        <v>0</v>
      </c>
      <c r="L674" t="n">
        <v>0</v>
      </c>
      <c r="M674" t="n">
        <v>0</v>
      </c>
      <c r="N674" t="n">
        <v>0</v>
      </c>
      <c r="O674" t="n">
        <v>0</v>
      </c>
      <c r="P674" t="n">
        <v>0</v>
      </c>
      <c r="Q674" t="n">
        <v>0</v>
      </c>
      <c r="R674" s="2" t="inlineStr"/>
    </row>
    <row r="675" ht="15" customHeight="1">
      <c r="A675" t="inlineStr">
        <is>
          <t>A 43646-2023</t>
        </is>
      </c>
      <c r="B675" s="1" t="n">
        <v>45187</v>
      </c>
      <c r="C675" s="1" t="n">
        <v>45645</v>
      </c>
      <c r="D675" t="inlineStr">
        <is>
          <t>NORRBOTTENS LÄN</t>
        </is>
      </c>
      <c r="E675" t="inlineStr">
        <is>
          <t>PAJALA</t>
        </is>
      </c>
      <c r="F675" t="inlineStr">
        <is>
          <t>Sveaskog</t>
        </is>
      </c>
      <c r="G675" t="n">
        <v>18.3</v>
      </c>
      <c r="H675" t="n">
        <v>0</v>
      </c>
      <c r="I675" t="n">
        <v>0</v>
      </c>
      <c r="J675" t="n">
        <v>0</v>
      </c>
      <c r="K675" t="n">
        <v>0</v>
      </c>
      <c r="L675" t="n">
        <v>0</v>
      </c>
      <c r="M675" t="n">
        <v>0</v>
      </c>
      <c r="N675" t="n">
        <v>0</v>
      </c>
      <c r="O675" t="n">
        <v>0</v>
      </c>
      <c r="P675" t="n">
        <v>0</v>
      </c>
      <c r="Q675" t="n">
        <v>0</v>
      </c>
      <c r="R675" s="2" t="inlineStr"/>
    </row>
    <row r="676" ht="15" customHeight="1">
      <c r="A676" t="inlineStr">
        <is>
          <t>A 43819-2023</t>
        </is>
      </c>
      <c r="B676" s="1" t="n">
        <v>45187</v>
      </c>
      <c r="C676" s="1" t="n">
        <v>45645</v>
      </c>
      <c r="D676" t="inlineStr">
        <is>
          <t>NORRBOTTENS LÄN</t>
        </is>
      </c>
      <c r="E676" t="inlineStr">
        <is>
          <t>PAJALA</t>
        </is>
      </c>
      <c r="G676" t="n">
        <v>25.8</v>
      </c>
      <c r="H676" t="n">
        <v>0</v>
      </c>
      <c r="I676" t="n">
        <v>0</v>
      </c>
      <c r="J676" t="n">
        <v>0</v>
      </c>
      <c r="K676" t="n">
        <v>0</v>
      </c>
      <c r="L676" t="n">
        <v>0</v>
      </c>
      <c r="M676" t="n">
        <v>0</v>
      </c>
      <c r="N676" t="n">
        <v>0</v>
      </c>
      <c r="O676" t="n">
        <v>0</v>
      </c>
      <c r="P676" t="n">
        <v>0</v>
      </c>
      <c r="Q676" t="n">
        <v>0</v>
      </c>
      <c r="R676" s="2" t="inlineStr"/>
    </row>
    <row r="677" ht="15" customHeight="1">
      <c r="A677" t="inlineStr">
        <is>
          <t>A 43936-2023</t>
        </is>
      </c>
      <c r="B677" s="1" t="n">
        <v>45187</v>
      </c>
      <c r="C677" s="1" t="n">
        <v>45645</v>
      </c>
      <c r="D677" t="inlineStr">
        <is>
          <t>NORRBOTTENS LÄN</t>
        </is>
      </c>
      <c r="E677" t="inlineStr">
        <is>
          <t>PAJALA</t>
        </is>
      </c>
      <c r="G677" t="n">
        <v>3.8</v>
      </c>
      <c r="H677" t="n">
        <v>0</v>
      </c>
      <c r="I677" t="n">
        <v>0</v>
      </c>
      <c r="J677" t="n">
        <v>0</v>
      </c>
      <c r="K677" t="n">
        <v>0</v>
      </c>
      <c r="L677" t="n">
        <v>0</v>
      </c>
      <c r="M677" t="n">
        <v>0</v>
      </c>
      <c r="N677" t="n">
        <v>0</v>
      </c>
      <c r="O677" t="n">
        <v>0</v>
      </c>
      <c r="P677" t="n">
        <v>0</v>
      </c>
      <c r="Q677" t="n">
        <v>0</v>
      </c>
      <c r="R677" s="2" t="inlineStr"/>
    </row>
    <row r="678" ht="15" customHeight="1">
      <c r="A678" t="inlineStr">
        <is>
          <t>A 43860-2023</t>
        </is>
      </c>
      <c r="B678" s="1" t="n">
        <v>45187</v>
      </c>
      <c r="C678" s="1" t="n">
        <v>45645</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43933-2023</t>
        </is>
      </c>
      <c r="B679" s="1" t="n">
        <v>45187</v>
      </c>
      <c r="C679" s="1" t="n">
        <v>45645</v>
      </c>
      <c r="D679" t="inlineStr">
        <is>
          <t>NORRBOTTENS LÄN</t>
        </is>
      </c>
      <c r="E679" t="inlineStr">
        <is>
          <t>PAJALA</t>
        </is>
      </c>
      <c r="G679" t="n">
        <v>4.7</v>
      </c>
      <c r="H679" t="n">
        <v>0</v>
      </c>
      <c r="I679" t="n">
        <v>0</v>
      </c>
      <c r="J679" t="n">
        <v>0</v>
      </c>
      <c r="K679" t="n">
        <v>0</v>
      </c>
      <c r="L679" t="n">
        <v>0</v>
      </c>
      <c r="M679" t="n">
        <v>0</v>
      </c>
      <c r="N679" t="n">
        <v>0</v>
      </c>
      <c r="O679" t="n">
        <v>0</v>
      </c>
      <c r="P679" t="n">
        <v>0</v>
      </c>
      <c r="Q679" t="n">
        <v>0</v>
      </c>
      <c r="R679" s="2" t="inlineStr"/>
    </row>
    <row r="680" ht="15" customHeight="1">
      <c r="A680" t="inlineStr">
        <is>
          <t>A 45185-2023</t>
        </is>
      </c>
      <c r="B680" s="1" t="n">
        <v>45187</v>
      </c>
      <c r="C680" s="1" t="n">
        <v>45645</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45630-2023</t>
        </is>
      </c>
      <c r="B681" s="1" t="n">
        <v>45188</v>
      </c>
      <c r="C681" s="1" t="n">
        <v>45645</v>
      </c>
      <c r="D681" t="inlineStr">
        <is>
          <t>NORRBOTTENS LÄN</t>
        </is>
      </c>
      <c r="E681" t="inlineStr">
        <is>
          <t>PAJALA</t>
        </is>
      </c>
      <c r="F681" t="inlineStr">
        <is>
          <t>Allmännings- och besparingsskogar</t>
        </is>
      </c>
      <c r="G681" t="n">
        <v>5.5</v>
      </c>
      <c r="H681" t="n">
        <v>0</v>
      </c>
      <c r="I681" t="n">
        <v>0</v>
      </c>
      <c r="J681" t="n">
        <v>0</v>
      </c>
      <c r="K681" t="n">
        <v>0</v>
      </c>
      <c r="L681" t="n">
        <v>0</v>
      </c>
      <c r="M681" t="n">
        <v>0</v>
      </c>
      <c r="N681" t="n">
        <v>0</v>
      </c>
      <c r="O681" t="n">
        <v>0</v>
      </c>
      <c r="P681" t="n">
        <v>0</v>
      </c>
      <c r="Q681" t="n">
        <v>0</v>
      </c>
      <c r="R681" s="2" t="inlineStr"/>
    </row>
    <row r="682" ht="15" customHeight="1">
      <c r="A682" t="inlineStr">
        <is>
          <t>A 44572-2023</t>
        </is>
      </c>
      <c r="B682" s="1" t="n">
        <v>45189</v>
      </c>
      <c r="C682" s="1" t="n">
        <v>45645</v>
      </c>
      <c r="D682" t="inlineStr">
        <is>
          <t>NORRBOTTENS LÄN</t>
        </is>
      </c>
      <c r="E682" t="inlineStr">
        <is>
          <t>PAJALA</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45156-2023</t>
        </is>
      </c>
      <c r="B683" s="1" t="n">
        <v>45191</v>
      </c>
      <c r="C683" s="1" t="n">
        <v>45645</v>
      </c>
      <c r="D683" t="inlineStr">
        <is>
          <t>NORRBOTTENS LÄN</t>
        </is>
      </c>
      <c r="E683" t="inlineStr">
        <is>
          <t>PAJALA</t>
        </is>
      </c>
      <c r="F683" t="inlineStr">
        <is>
          <t>Sveaskog</t>
        </is>
      </c>
      <c r="G683" t="n">
        <v>12.3</v>
      </c>
      <c r="H683" t="n">
        <v>0</v>
      </c>
      <c r="I683" t="n">
        <v>0</v>
      </c>
      <c r="J683" t="n">
        <v>0</v>
      </c>
      <c r="K683" t="n">
        <v>0</v>
      </c>
      <c r="L683" t="n">
        <v>0</v>
      </c>
      <c r="M683" t="n">
        <v>0</v>
      </c>
      <c r="N683" t="n">
        <v>0</v>
      </c>
      <c r="O683" t="n">
        <v>0</v>
      </c>
      <c r="P683" t="n">
        <v>0</v>
      </c>
      <c r="Q683" t="n">
        <v>0</v>
      </c>
      <c r="R683" s="2" t="inlineStr"/>
    </row>
    <row r="684" ht="15" customHeight="1">
      <c r="A684" t="inlineStr">
        <is>
          <t>A 45276-2023</t>
        </is>
      </c>
      <c r="B684" s="1" t="n">
        <v>45191</v>
      </c>
      <c r="C684" s="1" t="n">
        <v>45645</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45290-2023</t>
        </is>
      </c>
      <c r="B685" s="1" t="n">
        <v>45191</v>
      </c>
      <c r="C685" s="1" t="n">
        <v>45645</v>
      </c>
      <c r="D685" t="inlineStr">
        <is>
          <t>NORRBOTTENS LÄN</t>
        </is>
      </c>
      <c r="E685" t="inlineStr">
        <is>
          <t>PAJALA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45238-2023</t>
        </is>
      </c>
      <c r="B686" s="1" t="n">
        <v>45191</v>
      </c>
      <c r="C686" s="1" t="n">
        <v>45645</v>
      </c>
      <c r="D686" t="inlineStr">
        <is>
          <t>NORRBOTTENS LÄN</t>
        </is>
      </c>
      <c r="E686" t="inlineStr">
        <is>
          <t>PAJALA</t>
        </is>
      </c>
      <c r="G686" t="n">
        <v>2.6</v>
      </c>
      <c r="H686" t="n">
        <v>0</v>
      </c>
      <c r="I686" t="n">
        <v>0</v>
      </c>
      <c r="J686" t="n">
        <v>0</v>
      </c>
      <c r="K686" t="n">
        <v>0</v>
      </c>
      <c r="L686" t="n">
        <v>0</v>
      </c>
      <c r="M686" t="n">
        <v>0</v>
      </c>
      <c r="N686" t="n">
        <v>0</v>
      </c>
      <c r="O686" t="n">
        <v>0</v>
      </c>
      <c r="P686" t="n">
        <v>0</v>
      </c>
      <c r="Q686" t="n">
        <v>0</v>
      </c>
      <c r="R686" s="2" t="inlineStr"/>
    </row>
    <row r="687" ht="15" customHeight="1">
      <c r="A687" t="inlineStr">
        <is>
          <t>A 45283-2023</t>
        </is>
      </c>
      <c r="B687" s="1" t="n">
        <v>45191</v>
      </c>
      <c r="C687" s="1" t="n">
        <v>45645</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45781-2023</t>
        </is>
      </c>
      <c r="B688" s="1" t="n">
        <v>45195</v>
      </c>
      <c r="C688" s="1" t="n">
        <v>45645</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47102-2023</t>
        </is>
      </c>
      <c r="B689" s="1" t="n">
        <v>45196</v>
      </c>
      <c r="C689" s="1" t="n">
        <v>45645</v>
      </c>
      <c r="D689" t="inlineStr">
        <is>
          <t>NORRBOTTENS LÄN</t>
        </is>
      </c>
      <c r="E689" t="inlineStr">
        <is>
          <t>PAJALA</t>
        </is>
      </c>
      <c r="G689" t="n">
        <v>27.5</v>
      </c>
      <c r="H689" t="n">
        <v>0</v>
      </c>
      <c r="I689" t="n">
        <v>0</v>
      </c>
      <c r="J689" t="n">
        <v>0</v>
      </c>
      <c r="K689" t="n">
        <v>0</v>
      </c>
      <c r="L689" t="n">
        <v>0</v>
      </c>
      <c r="M689" t="n">
        <v>0</v>
      </c>
      <c r="N689" t="n">
        <v>0</v>
      </c>
      <c r="O689" t="n">
        <v>0</v>
      </c>
      <c r="P689" t="n">
        <v>0</v>
      </c>
      <c r="Q689" t="n">
        <v>0</v>
      </c>
      <c r="R689" s="2" t="inlineStr"/>
    </row>
    <row r="690" ht="15" customHeight="1">
      <c r="A690" t="inlineStr">
        <is>
          <t>A 47126-2023</t>
        </is>
      </c>
      <c r="B690" s="1" t="n">
        <v>45196</v>
      </c>
      <c r="C690" s="1" t="n">
        <v>45645</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48391-2023</t>
        </is>
      </c>
      <c r="B691" s="1" t="n">
        <v>45201</v>
      </c>
      <c r="C691" s="1" t="n">
        <v>45645</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47975-2023</t>
        </is>
      </c>
      <c r="B692" s="1" t="n">
        <v>45204</v>
      </c>
      <c r="C692" s="1" t="n">
        <v>45645</v>
      </c>
      <c r="D692" t="inlineStr">
        <is>
          <t>NORRBOTTENS LÄN</t>
        </is>
      </c>
      <c r="E692" t="inlineStr">
        <is>
          <t>PAJALA</t>
        </is>
      </c>
      <c r="G692" t="n">
        <v>5.5</v>
      </c>
      <c r="H692" t="n">
        <v>0</v>
      </c>
      <c r="I692" t="n">
        <v>0</v>
      </c>
      <c r="J692" t="n">
        <v>0</v>
      </c>
      <c r="K692" t="n">
        <v>0</v>
      </c>
      <c r="L692" t="n">
        <v>0</v>
      </c>
      <c r="M692" t="n">
        <v>0</v>
      </c>
      <c r="N692" t="n">
        <v>0</v>
      </c>
      <c r="O692" t="n">
        <v>0</v>
      </c>
      <c r="P692" t="n">
        <v>0</v>
      </c>
      <c r="Q692" t="n">
        <v>0</v>
      </c>
      <c r="R692" s="2" t="inlineStr"/>
    </row>
    <row r="693" ht="15" customHeight="1">
      <c r="A693" t="inlineStr">
        <is>
          <t>A 48914-2023</t>
        </is>
      </c>
      <c r="B693" s="1" t="n">
        <v>45204</v>
      </c>
      <c r="C693" s="1" t="n">
        <v>45645</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45645</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45645</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50696-2023</t>
        </is>
      </c>
      <c r="B696" s="1" t="n">
        <v>45210</v>
      </c>
      <c r="C696" s="1" t="n">
        <v>45645</v>
      </c>
      <c r="D696" t="inlineStr">
        <is>
          <t>NORRBOTTENS LÄN</t>
        </is>
      </c>
      <c r="E696" t="inlineStr">
        <is>
          <t>PAJALA</t>
        </is>
      </c>
      <c r="G696" t="n">
        <v>10.7</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v>
      </c>
      <c r="C697" s="1" t="n">
        <v>45645</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50097-2023</t>
        </is>
      </c>
      <c r="B698" s="1" t="n">
        <v>45215</v>
      </c>
      <c r="C698" s="1" t="n">
        <v>45645</v>
      </c>
      <c r="D698" t="inlineStr">
        <is>
          <t>NORRBOTTENS LÄN</t>
        </is>
      </c>
      <c r="E698" t="inlineStr">
        <is>
          <t>PAJALA</t>
        </is>
      </c>
      <c r="F698" t="inlineStr">
        <is>
          <t>Sveaskog</t>
        </is>
      </c>
      <c r="G698" t="n">
        <v>41.2</v>
      </c>
      <c r="H698" t="n">
        <v>0</v>
      </c>
      <c r="I698" t="n">
        <v>0</v>
      </c>
      <c r="J698" t="n">
        <v>0</v>
      </c>
      <c r="K698" t="n">
        <v>0</v>
      </c>
      <c r="L698" t="n">
        <v>0</v>
      </c>
      <c r="M698" t="n">
        <v>0</v>
      </c>
      <c r="N698" t="n">
        <v>0</v>
      </c>
      <c r="O698" t="n">
        <v>0</v>
      </c>
      <c r="P698" t="n">
        <v>0</v>
      </c>
      <c r="Q698" t="n">
        <v>0</v>
      </c>
      <c r="R698" s="2" t="inlineStr"/>
    </row>
    <row r="699" ht="15" customHeight="1">
      <c r="A699" t="inlineStr">
        <is>
          <t>A 51689-2023</t>
        </is>
      </c>
      <c r="B699" s="1" t="n">
        <v>45215</v>
      </c>
      <c r="C699" s="1" t="n">
        <v>45645</v>
      </c>
      <c r="D699" t="inlineStr">
        <is>
          <t>NORRBOTTENS LÄN</t>
        </is>
      </c>
      <c r="E699" t="inlineStr">
        <is>
          <t>PAJALA</t>
        </is>
      </c>
      <c r="G699" t="n">
        <v>5.9</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45645</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50381-2023</t>
        </is>
      </c>
      <c r="B701" s="1" t="n">
        <v>45216</v>
      </c>
      <c r="C701" s="1" t="n">
        <v>45645</v>
      </c>
      <c r="D701" t="inlineStr">
        <is>
          <t>NORRBOTTENS LÄN</t>
        </is>
      </c>
      <c r="E701" t="inlineStr">
        <is>
          <t>PAJALA</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50323-2023</t>
        </is>
      </c>
      <c r="B702" s="1" t="n">
        <v>45216</v>
      </c>
      <c r="C702" s="1" t="n">
        <v>45645</v>
      </c>
      <c r="D702" t="inlineStr">
        <is>
          <t>NORRBOTTENS LÄN</t>
        </is>
      </c>
      <c r="E702" t="inlineStr">
        <is>
          <t>PAJALA</t>
        </is>
      </c>
      <c r="F702" t="inlineStr">
        <is>
          <t>Sveaskog</t>
        </is>
      </c>
      <c r="G702" t="n">
        <v>7.5</v>
      </c>
      <c r="H702" t="n">
        <v>0</v>
      </c>
      <c r="I702" t="n">
        <v>0</v>
      </c>
      <c r="J702" t="n">
        <v>0</v>
      </c>
      <c r="K702" t="n">
        <v>0</v>
      </c>
      <c r="L702" t="n">
        <v>0</v>
      </c>
      <c r="M702" t="n">
        <v>0</v>
      </c>
      <c r="N702" t="n">
        <v>0</v>
      </c>
      <c r="O702" t="n">
        <v>0</v>
      </c>
      <c r="P702" t="n">
        <v>0</v>
      </c>
      <c r="Q702" t="n">
        <v>0</v>
      </c>
      <c r="R702" s="2" t="inlineStr"/>
    </row>
    <row r="703" ht="15" customHeight="1">
      <c r="A703" t="inlineStr">
        <is>
          <t>A 52448-2023</t>
        </is>
      </c>
      <c r="B703" s="1" t="n">
        <v>45217</v>
      </c>
      <c r="C703" s="1" t="n">
        <v>45645</v>
      </c>
      <c r="D703" t="inlineStr">
        <is>
          <t>NORRBOTTENS LÄN</t>
        </is>
      </c>
      <c r="E703" t="inlineStr">
        <is>
          <t>PAJALA</t>
        </is>
      </c>
      <c r="F703" t="inlineStr">
        <is>
          <t>Kommuner</t>
        </is>
      </c>
      <c r="G703" t="n">
        <v>3.6</v>
      </c>
      <c r="H703" t="n">
        <v>0</v>
      </c>
      <c r="I703" t="n">
        <v>0</v>
      </c>
      <c r="J703" t="n">
        <v>0</v>
      </c>
      <c r="K703" t="n">
        <v>0</v>
      </c>
      <c r="L703" t="n">
        <v>0</v>
      </c>
      <c r="M703" t="n">
        <v>0</v>
      </c>
      <c r="N703" t="n">
        <v>0</v>
      </c>
      <c r="O703" t="n">
        <v>0</v>
      </c>
      <c r="P703" t="n">
        <v>0</v>
      </c>
      <c r="Q703" t="n">
        <v>0</v>
      </c>
      <c r="R703" s="2" t="inlineStr"/>
    </row>
    <row r="704" ht="15" customHeight="1">
      <c r="A704" t="inlineStr">
        <is>
          <t>A 52454-2023</t>
        </is>
      </c>
      <c r="B704" s="1" t="n">
        <v>45217</v>
      </c>
      <c r="C704" s="1" t="n">
        <v>45645</v>
      </c>
      <c r="D704" t="inlineStr">
        <is>
          <t>NORRBOTTENS LÄN</t>
        </is>
      </c>
      <c r="E704" t="inlineStr">
        <is>
          <t>PAJALA</t>
        </is>
      </c>
      <c r="F704" t="inlineStr">
        <is>
          <t>Kommuner</t>
        </is>
      </c>
      <c r="G704" t="n">
        <v>7.3</v>
      </c>
      <c r="H704" t="n">
        <v>0</v>
      </c>
      <c r="I704" t="n">
        <v>0</v>
      </c>
      <c r="J704" t="n">
        <v>0</v>
      </c>
      <c r="K704" t="n">
        <v>0</v>
      </c>
      <c r="L704" t="n">
        <v>0</v>
      </c>
      <c r="M704" t="n">
        <v>0</v>
      </c>
      <c r="N704" t="n">
        <v>0</v>
      </c>
      <c r="O704" t="n">
        <v>0</v>
      </c>
      <c r="P704" t="n">
        <v>0</v>
      </c>
      <c r="Q704" t="n">
        <v>0</v>
      </c>
      <c r="R704" s="2" t="inlineStr"/>
    </row>
    <row r="705" ht="15" customHeight="1">
      <c r="A705" t="inlineStr">
        <is>
          <t>A 52446-2023</t>
        </is>
      </c>
      <c r="B705" s="1" t="n">
        <v>45217</v>
      </c>
      <c r="C705" s="1" t="n">
        <v>45645</v>
      </c>
      <c r="D705" t="inlineStr">
        <is>
          <t>NORRBOTTENS LÄN</t>
        </is>
      </c>
      <c r="E705" t="inlineStr">
        <is>
          <t>PAJALA</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52457-2023</t>
        </is>
      </c>
      <c r="B706" s="1" t="n">
        <v>45217</v>
      </c>
      <c r="C706" s="1" t="n">
        <v>45645</v>
      </c>
      <c r="D706" t="inlineStr">
        <is>
          <t>NORRBOTTENS LÄN</t>
        </is>
      </c>
      <c r="E706" t="inlineStr">
        <is>
          <t>PAJALA</t>
        </is>
      </c>
      <c r="F706" t="inlineStr">
        <is>
          <t>Kommuner</t>
        </is>
      </c>
      <c r="G706" t="n">
        <v>20</v>
      </c>
      <c r="H706" t="n">
        <v>0</v>
      </c>
      <c r="I706" t="n">
        <v>0</v>
      </c>
      <c r="J706" t="n">
        <v>0</v>
      </c>
      <c r="K706" t="n">
        <v>0</v>
      </c>
      <c r="L706" t="n">
        <v>0</v>
      </c>
      <c r="M706" t="n">
        <v>0</v>
      </c>
      <c r="N706" t="n">
        <v>0</v>
      </c>
      <c r="O706" t="n">
        <v>0</v>
      </c>
      <c r="P706" t="n">
        <v>0</v>
      </c>
      <c r="Q706" t="n">
        <v>0</v>
      </c>
      <c r="R706" s="2" t="inlineStr"/>
    </row>
    <row r="707" ht="15" customHeight="1">
      <c r="A707" t="inlineStr">
        <is>
          <t>A 52452-2023</t>
        </is>
      </c>
      <c r="B707" s="1" t="n">
        <v>45217</v>
      </c>
      <c r="C707" s="1" t="n">
        <v>45645</v>
      </c>
      <c r="D707" t="inlineStr">
        <is>
          <t>NORRBOTTENS LÄN</t>
        </is>
      </c>
      <c r="E707" t="inlineStr">
        <is>
          <t>PAJALA</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52422-2023</t>
        </is>
      </c>
      <c r="B708" s="1" t="n">
        <v>45217</v>
      </c>
      <c r="C708" s="1" t="n">
        <v>45645</v>
      </c>
      <c r="D708" t="inlineStr">
        <is>
          <t>NORRBOTTENS LÄN</t>
        </is>
      </c>
      <c r="E708" t="inlineStr">
        <is>
          <t>PAJALA</t>
        </is>
      </c>
      <c r="F708" t="inlineStr">
        <is>
          <t>Kommuner</t>
        </is>
      </c>
      <c r="G708" t="n">
        <v>11.6</v>
      </c>
      <c r="H708" t="n">
        <v>0</v>
      </c>
      <c r="I708" t="n">
        <v>0</v>
      </c>
      <c r="J708" t="n">
        <v>0</v>
      </c>
      <c r="K708" t="n">
        <v>0</v>
      </c>
      <c r="L708" t="n">
        <v>0</v>
      </c>
      <c r="M708" t="n">
        <v>0</v>
      </c>
      <c r="N708" t="n">
        <v>0</v>
      </c>
      <c r="O708" t="n">
        <v>0</v>
      </c>
      <c r="P708" t="n">
        <v>0</v>
      </c>
      <c r="Q708" t="n">
        <v>0</v>
      </c>
      <c r="R708" s="2" t="inlineStr"/>
    </row>
    <row r="709" ht="15" customHeight="1">
      <c r="A709" t="inlineStr">
        <is>
          <t>A 51083-2023</t>
        </is>
      </c>
      <c r="B709" s="1" t="n">
        <v>45218</v>
      </c>
      <c r="C709" s="1" t="n">
        <v>45645</v>
      </c>
      <c r="D709" t="inlineStr">
        <is>
          <t>NORRBOTTENS LÄN</t>
        </is>
      </c>
      <c r="E709" t="inlineStr">
        <is>
          <t>PAJALA</t>
        </is>
      </c>
      <c r="F709" t="inlineStr">
        <is>
          <t>Sveaskog</t>
        </is>
      </c>
      <c r="G709" t="n">
        <v>25.1</v>
      </c>
      <c r="H709" t="n">
        <v>0</v>
      </c>
      <c r="I709" t="n">
        <v>0</v>
      </c>
      <c r="J709" t="n">
        <v>0</v>
      </c>
      <c r="K709" t="n">
        <v>0</v>
      </c>
      <c r="L709" t="n">
        <v>0</v>
      </c>
      <c r="M709" t="n">
        <v>0</v>
      </c>
      <c r="N709" t="n">
        <v>0</v>
      </c>
      <c r="O709" t="n">
        <v>0</v>
      </c>
      <c r="P709" t="n">
        <v>0</v>
      </c>
      <c r="Q709" t="n">
        <v>0</v>
      </c>
      <c r="R709" s="2" t="inlineStr"/>
    </row>
    <row r="710" ht="15" customHeight="1">
      <c r="A710" t="inlineStr">
        <is>
          <t>A 52558-2023</t>
        </is>
      </c>
      <c r="B710" s="1" t="n">
        <v>45218</v>
      </c>
      <c r="C710" s="1" t="n">
        <v>45645</v>
      </c>
      <c r="D710" t="inlineStr">
        <is>
          <t>NORRBOTTENS LÄN</t>
        </is>
      </c>
      <c r="E710" t="inlineStr">
        <is>
          <t>PAJALA</t>
        </is>
      </c>
      <c r="G710" t="n">
        <v>7.6</v>
      </c>
      <c r="H710" t="n">
        <v>0</v>
      </c>
      <c r="I710" t="n">
        <v>0</v>
      </c>
      <c r="J710" t="n">
        <v>0</v>
      </c>
      <c r="K710" t="n">
        <v>0</v>
      </c>
      <c r="L710" t="n">
        <v>0</v>
      </c>
      <c r="M710" t="n">
        <v>0</v>
      </c>
      <c r="N710" t="n">
        <v>0</v>
      </c>
      <c r="O710" t="n">
        <v>0</v>
      </c>
      <c r="P710" t="n">
        <v>0</v>
      </c>
      <c r="Q710" t="n">
        <v>0</v>
      </c>
      <c r="R710" s="2" t="inlineStr"/>
    </row>
    <row r="711" ht="15" customHeight="1">
      <c r="A711" t="inlineStr">
        <is>
          <t>A 51326-2023</t>
        </is>
      </c>
      <c r="B711" s="1" t="n">
        <v>45219</v>
      </c>
      <c r="C711" s="1" t="n">
        <v>45645</v>
      </c>
      <c r="D711" t="inlineStr">
        <is>
          <t>NORRBOTTENS LÄN</t>
        </is>
      </c>
      <c r="E711" t="inlineStr">
        <is>
          <t>PAJALA</t>
        </is>
      </c>
      <c r="G711" t="n">
        <v>6.2</v>
      </c>
      <c r="H711" t="n">
        <v>0</v>
      </c>
      <c r="I711" t="n">
        <v>0</v>
      </c>
      <c r="J711" t="n">
        <v>0</v>
      </c>
      <c r="K711" t="n">
        <v>0</v>
      </c>
      <c r="L711" t="n">
        <v>0</v>
      </c>
      <c r="M711" t="n">
        <v>0</v>
      </c>
      <c r="N711" t="n">
        <v>0</v>
      </c>
      <c r="O711" t="n">
        <v>0</v>
      </c>
      <c r="P711" t="n">
        <v>0</v>
      </c>
      <c r="Q711" t="n">
        <v>0</v>
      </c>
      <c r="R711" s="2" t="inlineStr"/>
    </row>
    <row r="712" ht="15" customHeight="1">
      <c r="A712" t="inlineStr">
        <is>
          <t>A 51330-2023</t>
        </is>
      </c>
      <c r="B712" s="1" t="n">
        <v>45219</v>
      </c>
      <c r="C712" s="1" t="n">
        <v>45645</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53015-2023</t>
        </is>
      </c>
      <c r="B713" s="1" t="n">
        <v>45226</v>
      </c>
      <c r="C713" s="1" t="n">
        <v>45645</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53091-2023</t>
        </is>
      </c>
      <c r="B714" s="1" t="n">
        <v>45227</v>
      </c>
      <c r="C714" s="1" t="n">
        <v>45645</v>
      </c>
      <c r="D714" t="inlineStr">
        <is>
          <t>NORRBOTTENS LÄN</t>
        </is>
      </c>
      <c r="E714" t="inlineStr">
        <is>
          <t>PAJALA</t>
        </is>
      </c>
      <c r="G714" t="n">
        <v>3.7</v>
      </c>
      <c r="H714" t="n">
        <v>0</v>
      </c>
      <c r="I714" t="n">
        <v>0</v>
      </c>
      <c r="J714" t="n">
        <v>0</v>
      </c>
      <c r="K714" t="n">
        <v>0</v>
      </c>
      <c r="L714" t="n">
        <v>0</v>
      </c>
      <c r="M714" t="n">
        <v>0</v>
      </c>
      <c r="N714" t="n">
        <v>0</v>
      </c>
      <c r="O714" t="n">
        <v>0</v>
      </c>
      <c r="P714" t="n">
        <v>0</v>
      </c>
      <c r="Q714" t="n">
        <v>0</v>
      </c>
      <c r="R714" s="2" t="inlineStr"/>
    </row>
    <row r="715" ht="15" customHeight="1">
      <c r="A715" t="inlineStr">
        <is>
          <t>A 53086-2023</t>
        </is>
      </c>
      <c r="B715" s="1" t="n">
        <v>45227</v>
      </c>
      <c r="C715" s="1" t="n">
        <v>45645</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53092-2023</t>
        </is>
      </c>
      <c r="B716" s="1" t="n">
        <v>45227</v>
      </c>
      <c r="C716" s="1" t="n">
        <v>45645</v>
      </c>
      <c r="D716" t="inlineStr">
        <is>
          <t>NORRBOTTENS LÄN</t>
        </is>
      </c>
      <c r="E716" t="inlineStr">
        <is>
          <t>PAJALA</t>
        </is>
      </c>
      <c r="G716" t="n">
        <v>5.2</v>
      </c>
      <c r="H716" t="n">
        <v>0</v>
      </c>
      <c r="I716" t="n">
        <v>0</v>
      </c>
      <c r="J716" t="n">
        <v>0</v>
      </c>
      <c r="K716" t="n">
        <v>0</v>
      </c>
      <c r="L716" t="n">
        <v>0</v>
      </c>
      <c r="M716" t="n">
        <v>0</v>
      </c>
      <c r="N716" t="n">
        <v>0</v>
      </c>
      <c r="O716" t="n">
        <v>0</v>
      </c>
      <c r="P716" t="n">
        <v>0</v>
      </c>
      <c r="Q716" t="n">
        <v>0</v>
      </c>
      <c r="R716" s="2" t="inlineStr"/>
    </row>
    <row r="717" ht="15" customHeight="1">
      <c r="A717" t="inlineStr">
        <is>
          <t>A 53094-2023</t>
        </is>
      </c>
      <c r="B717" s="1" t="n">
        <v>45227</v>
      </c>
      <c r="C717" s="1" t="n">
        <v>45645</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53795-2023</t>
        </is>
      </c>
      <c r="B718" s="1" t="n">
        <v>45231</v>
      </c>
      <c r="C718" s="1" t="n">
        <v>45645</v>
      </c>
      <c r="D718" t="inlineStr">
        <is>
          <t>NORRBOTTENS LÄN</t>
        </is>
      </c>
      <c r="E718" t="inlineStr">
        <is>
          <t>PAJALA</t>
        </is>
      </c>
      <c r="G718" t="n">
        <v>8</v>
      </c>
      <c r="H718" t="n">
        <v>0</v>
      </c>
      <c r="I718" t="n">
        <v>0</v>
      </c>
      <c r="J718" t="n">
        <v>0</v>
      </c>
      <c r="K718" t="n">
        <v>0</v>
      </c>
      <c r="L718" t="n">
        <v>0</v>
      </c>
      <c r="M718" t="n">
        <v>0</v>
      </c>
      <c r="N718" t="n">
        <v>0</v>
      </c>
      <c r="O718" t="n">
        <v>0</v>
      </c>
      <c r="P718" t="n">
        <v>0</v>
      </c>
      <c r="Q718" t="n">
        <v>0</v>
      </c>
      <c r="R718" s="2" t="inlineStr"/>
    </row>
    <row r="719" ht="15" customHeight="1">
      <c r="A719" t="inlineStr">
        <is>
          <t>A 55531-2023</t>
        </is>
      </c>
      <c r="B719" s="1" t="n">
        <v>45232</v>
      </c>
      <c r="C719" s="1" t="n">
        <v>45645</v>
      </c>
      <c r="D719" t="inlineStr">
        <is>
          <t>NORRBOTTENS LÄN</t>
        </is>
      </c>
      <c r="E719" t="inlineStr">
        <is>
          <t>PAJALA</t>
        </is>
      </c>
      <c r="F719" t="inlineStr">
        <is>
          <t>Kommuner</t>
        </is>
      </c>
      <c r="G719" t="n">
        <v>3.6</v>
      </c>
      <c r="H719" t="n">
        <v>0</v>
      </c>
      <c r="I719" t="n">
        <v>0</v>
      </c>
      <c r="J719" t="n">
        <v>0</v>
      </c>
      <c r="K719" t="n">
        <v>0</v>
      </c>
      <c r="L719" t="n">
        <v>0</v>
      </c>
      <c r="M719" t="n">
        <v>0</v>
      </c>
      <c r="N719" t="n">
        <v>0</v>
      </c>
      <c r="O719" t="n">
        <v>0</v>
      </c>
      <c r="P719" t="n">
        <v>0</v>
      </c>
      <c r="Q719" t="n">
        <v>0</v>
      </c>
      <c r="R719" s="2" t="inlineStr"/>
    </row>
    <row r="720" ht="15" customHeight="1">
      <c r="A720" t="inlineStr">
        <is>
          <t>A 55563-2023</t>
        </is>
      </c>
      <c r="B720" s="1" t="n">
        <v>45232</v>
      </c>
      <c r="C720" s="1" t="n">
        <v>45645</v>
      </c>
      <c r="D720" t="inlineStr">
        <is>
          <t>NORRBOTTENS LÄN</t>
        </is>
      </c>
      <c r="E720" t="inlineStr">
        <is>
          <t>PAJALA</t>
        </is>
      </c>
      <c r="F720" t="inlineStr">
        <is>
          <t>Allmännings- och besparingsskogar</t>
        </is>
      </c>
      <c r="G720" t="n">
        <v>2.2</v>
      </c>
      <c r="H720" t="n">
        <v>0</v>
      </c>
      <c r="I720" t="n">
        <v>0</v>
      </c>
      <c r="J720" t="n">
        <v>0</v>
      </c>
      <c r="K720" t="n">
        <v>0</v>
      </c>
      <c r="L720" t="n">
        <v>0</v>
      </c>
      <c r="M720" t="n">
        <v>0</v>
      </c>
      <c r="N720" t="n">
        <v>0</v>
      </c>
      <c r="O720" t="n">
        <v>0</v>
      </c>
      <c r="P720" t="n">
        <v>0</v>
      </c>
      <c r="Q720" t="n">
        <v>0</v>
      </c>
      <c r="R720" s="2" t="inlineStr"/>
    </row>
    <row r="721" ht="15" customHeight="1">
      <c r="A721" t="inlineStr">
        <is>
          <t>A 54764-2023</t>
        </is>
      </c>
      <c r="B721" s="1" t="n">
        <v>45236</v>
      </c>
      <c r="C721" s="1" t="n">
        <v>45645</v>
      </c>
      <c r="D721" t="inlineStr">
        <is>
          <t>NORRBOTTENS LÄN</t>
        </is>
      </c>
      <c r="E721" t="inlineStr">
        <is>
          <t>PAJALA</t>
        </is>
      </c>
      <c r="F721" t="inlineStr">
        <is>
          <t>Sveaskog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54768-2023</t>
        </is>
      </c>
      <c r="B722" s="1" t="n">
        <v>45236</v>
      </c>
      <c r="C722" s="1" t="n">
        <v>45645</v>
      </c>
      <c r="D722" t="inlineStr">
        <is>
          <t>NORRBOTTENS LÄN</t>
        </is>
      </c>
      <c r="E722" t="inlineStr">
        <is>
          <t>PAJALA</t>
        </is>
      </c>
      <c r="F722" t="inlineStr">
        <is>
          <t>Sveaskog</t>
        </is>
      </c>
      <c r="G722" t="n">
        <v>6.9</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45645</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55175-2023</t>
        </is>
      </c>
      <c r="B724" s="1" t="n">
        <v>45237</v>
      </c>
      <c r="C724" s="1" t="n">
        <v>45645</v>
      </c>
      <c r="D724" t="inlineStr">
        <is>
          <t>NORRBOTTENS LÄN</t>
        </is>
      </c>
      <c r="E724" t="inlineStr">
        <is>
          <t>PAJALA</t>
        </is>
      </c>
      <c r="F724" t="inlineStr">
        <is>
          <t>Sveaskog</t>
        </is>
      </c>
      <c r="G724" t="n">
        <v>8</v>
      </c>
      <c r="H724" t="n">
        <v>0</v>
      </c>
      <c r="I724" t="n">
        <v>0</v>
      </c>
      <c r="J724" t="n">
        <v>0</v>
      </c>
      <c r="K724" t="n">
        <v>0</v>
      </c>
      <c r="L724" t="n">
        <v>0</v>
      </c>
      <c r="M724" t="n">
        <v>0</v>
      </c>
      <c r="N724" t="n">
        <v>0</v>
      </c>
      <c r="O724" t="n">
        <v>0</v>
      </c>
      <c r="P724" t="n">
        <v>0</v>
      </c>
      <c r="Q724" t="n">
        <v>0</v>
      </c>
      <c r="R724" s="2" t="inlineStr"/>
    </row>
    <row r="725" ht="15" customHeight="1">
      <c r="A725" t="inlineStr">
        <is>
          <t>A 55484-2023</t>
        </is>
      </c>
      <c r="B725" s="1" t="n">
        <v>45238</v>
      </c>
      <c r="C725" s="1" t="n">
        <v>45645</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55503-2023</t>
        </is>
      </c>
      <c r="B726" s="1" t="n">
        <v>45238</v>
      </c>
      <c r="C726" s="1" t="n">
        <v>45645</v>
      </c>
      <c r="D726" t="inlineStr">
        <is>
          <t>NORRBOTTENS LÄN</t>
        </is>
      </c>
      <c r="E726" t="inlineStr">
        <is>
          <t>PAJALA</t>
        </is>
      </c>
      <c r="G726" t="n">
        <v>4.6</v>
      </c>
      <c r="H726" t="n">
        <v>0</v>
      </c>
      <c r="I726" t="n">
        <v>0</v>
      </c>
      <c r="J726" t="n">
        <v>0</v>
      </c>
      <c r="K726" t="n">
        <v>0</v>
      </c>
      <c r="L726" t="n">
        <v>0</v>
      </c>
      <c r="M726" t="n">
        <v>0</v>
      </c>
      <c r="N726" t="n">
        <v>0</v>
      </c>
      <c r="O726" t="n">
        <v>0</v>
      </c>
      <c r="P726" t="n">
        <v>0</v>
      </c>
      <c r="Q726" t="n">
        <v>0</v>
      </c>
      <c r="R726" s="2" t="inlineStr"/>
    </row>
    <row r="727" ht="15" customHeight="1">
      <c r="A727" t="inlineStr">
        <is>
          <t>A 55481-2023</t>
        </is>
      </c>
      <c r="B727" s="1" t="n">
        <v>45238</v>
      </c>
      <c r="C727" s="1" t="n">
        <v>45645</v>
      </c>
      <c r="D727" t="inlineStr">
        <is>
          <t>NORRBOTTENS LÄN</t>
        </is>
      </c>
      <c r="E727" t="inlineStr">
        <is>
          <t>PAJALA</t>
        </is>
      </c>
      <c r="G727" t="n">
        <v>1.9</v>
      </c>
      <c r="H727" t="n">
        <v>0</v>
      </c>
      <c r="I727" t="n">
        <v>0</v>
      </c>
      <c r="J727" t="n">
        <v>0</v>
      </c>
      <c r="K727" t="n">
        <v>0</v>
      </c>
      <c r="L727" t="n">
        <v>0</v>
      </c>
      <c r="M727" t="n">
        <v>0</v>
      </c>
      <c r="N727" t="n">
        <v>0</v>
      </c>
      <c r="O727" t="n">
        <v>0</v>
      </c>
      <c r="P727" t="n">
        <v>0</v>
      </c>
      <c r="Q727" t="n">
        <v>0</v>
      </c>
      <c r="R727" s="2" t="inlineStr"/>
    </row>
    <row r="728" ht="15" customHeight="1">
      <c r="A728" t="inlineStr">
        <is>
          <t>A 56477-2023</t>
        </is>
      </c>
      <c r="B728" s="1" t="n">
        <v>45243</v>
      </c>
      <c r="C728" s="1" t="n">
        <v>45645</v>
      </c>
      <c r="D728" t="inlineStr">
        <is>
          <t>NORRBOTTENS LÄN</t>
        </is>
      </c>
      <c r="E728" t="inlineStr">
        <is>
          <t>PAJALA</t>
        </is>
      </c>
      <c r="G728" t="n">
        <v>11.6</v>
      </c>
      <c r="H728" t="n">
        <v>0</v>
      </c>
      <c r="I728" t="n">
        <v>0</v>
      </c>
      <c r="J728" t="n">
        <v>0</v>
      </c>
      <c r="K728" t="n">
        <v>0</v>
      </c>
      <c r="L728" t="n">
        <v>0</v>
      </c>
      <c r="M728" t="n">
        <v>0</v>
      </c>
      <c r="N728" t="n">
        <v>0</v>
      </c>
      <c r="O728" t="n">
        <v>0</v>
      </c>
      <c r="P728" t="n">
        <v>0</v>
      </c>
      <c r="Q728" t="n">
        <v>0</v>
      </c>
      <c r="R728" s="2" t="inlineStr"/>
    </row>
    <row r="729" ht="15" customHeight="1">
      <c r="A729" t="inlineStr">
        <is>
          <t>A 57602-2023</t>
        </is>
      </c>
      <c r="B729" s="1" t="n">
        <v>45246</v>
      </c>
      <c r="C729" s="1" t="n">
        <v>45645</v>
      </c>
      <c r="D729" t="inlineStr">
        <is>
          <t>NORRBOTTENS LÄN</t>
        </is>
      </c>
      <c r="E729" t="inlineStr">
        <is>
          <t>PAJALA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57608-2023</t>
        </is>
      </c>
      <c r="B730" s="1" t="n">
        <v>45246</v>
      </c>
      <c r="C730" s="1" t="n">
        <v>45645</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57945-2023</t>
        </is>
      </c>
      <c r="B731" s="1" t="n">
        <v>45247</v>
      </c>
      <c r="C731" s="1" t="n">
        <v>45645</v>
      </c>
      <c r="D731" t="inlineStr">
        <is>
          <t>NORRBOTTENS LÄN</t>
        </is>
      </c>
      <c r="E731" t="inlineStr">
        <is>
          <t>PAJALA</t>
        </is>
      </c>
      <c r="G731" t="n">
        <v>17.3</v>
      </c>
      <c r="H731" t="n">
        <v>0</v>
      </c>
      <c r="I731" t="n">
        <v>0</v>
      </c>
      <c r="J731" t="n">
        <v>0</v>
      </c>
      <c r="K731" t="n">
        <v>0</v>
      </c>
      <c r="L731" t="n">
        <v>0</v>
      </c>
      <c r="M731" t="n">
        <v>0</v>
      </c>
      <c r="N731" t="n">
        <v>0</v>
      </c>
      <c r="O731" t="n">
        <v>0</v>
      </c>
      <c r="P731" t="n">
        <v>0</v>
      </c>
      <c r="Q731" t="n">
        <v>0</v>
      </c>
      <c r="R731" s="2" t="inlineStr"/>
    </row>
    <row r="732" ht="15" customHeight="1">
      <c r="A732" t="inlineStr">
        <is>
          <t>A 58056-2023</t>
        </is>
      </c>
      <c r="B732" s="1" t="n">
        <v>45247</v>
      </c>
      <c r="C732" s="1" t="n">
        <v>45645</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57906-2023</t>
        </is>
      </c>
      <c r="B733" s="1" t="n">
        <v>45247</v>
      </c>
      <c r="C733" s="1" t="n">
        <v>45645</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58281-2023</t>
        </is>
      </c>
      <c r="B734" s="1" t="n">
        <v>45250</v>
      </c>
      <c r="C734" s="1" t="n">
        <v>45645</v>
      </c>
      <c r="D734" t="inlineStr">
        <is>
          <t>NORRBOTTENS LÄN</t>
        </is>
      </c>
      <c r="E734" t="inlineStr">
        <is>
          <t>PAJALA</t>
        </is>
      </c>
      <c r="G734" t="n">
        <v>3.6</v>
      </c>
      <c r="H734" t="n">
        <v>0</v>
      </c>
      <c r="I734" t="n">
        <v>0</v>
      </c>
      <c r="J734" t="n">
        <v>0</v>
      </c>
      <c r="K734" t="n">
        <v>0</v>
      </c>
      <c r="L734" t="n">
        <v>0</v>
      </c>
      <c r="M734" t="n">
        <v>0</v>
      </c>
      <c r="N734" t="n">
        <v>0</v>
      </c>
      <c r="O734" t="n">
        <v>0</v>
      </c>
      <c r="P734" t="n">
        <v>0</v>
      </c>
      <c r="Q734" t="n">
        <v>0</v>
      </c>
      <c r="R734" s="2" t="inlineStr"/>
    </row>
    <row r="735" ht="15" customHeight="1">
      <c r="A735" t="inlineStr">
        <is>
          <t>A 58289-2023</t>
        </is>
      </c>
      <c r="B735" s="1" t="n">
        <v>45250</v>
      </c>
      <c r="C735" s="1" t="n">
        <v>45645</v>
      </c>
      <c r="D735" t="inlineStr">
        <is>
          <t>NORRBOTTENS LÄN</t>
        </is>
      </c>
      <c r="E735" t="inlineStr">
        <is>
          <t>PAJALA</t>
        </is>
      </c>
      <c r="G735" t="n">
        <v>5.7</v>
      </c>
      <c r="H735" t="n">
        <v>0</v>
      </c>
      <c r="I735" t="n">
        <v>0</v>
      </c>
      <c r="J735" t="n">
        <v>0</v>
      </c>
      <c r="K735" t="n">
        <v>0</v>
      </c>
      <c r="L735" t="n">
        <v>0</v>
      </c>
      <c r="M735" t="n">
        <v>0</v>
      </c>
      <c r="N735" t="n">
        <v>0</v>
      </c>
      <c r="O735" t="n">
        <v>0</v>
      </c>
      <c r="P735" t="n">
        <v>0</v>
      </c>
      <c r="Q735" t="n">
        <v>0</v>
      </c>
      <c r="R735" s="2" t="inlineStr"/>
    </row>
    <row r="736" ht="15" customHeight="1">
      <c r="A736" t="inlineStr">
        <is>
          <t>A 58699-2023</t>
        </is>
      </c>
      <c r="B736" s="1" t="n">
        <v>45251</v>
      </c>
      <c r="C736" s="1" t="n">
        <v>45645</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58744-2023</t>
        </is>
      </c>
      <c r="B737" s="1" t="n">
        <v>45251</v>
      </c>
      <c r="C737" s="1" t="n">
        <v>45645</v>
      </c>
      <c r="D737" t="inlineStr">
        <is>
          <t>NORRBOTTENS LÄN</t>
        </is>
      </c>
      <c r="E737" t="inlineStr">
        <is>
          <t>PAJALA</t>
        </is>
      </c>
      <c r="G737" t="n">
        <v>6.2</v>
      </c>
      <c r="H737" t="n">
        <v>0</v>
      </c>
      <c r="I737" t="n">
        <v>0</v>
      </c>
      <c r="J737" t="n">
        <v>0</v>
      </c>
      <c r="K737" t="n">
        <v>0</v>
      </c>
      <c r="L737" t="n">
        <v>0</v>
      </c>
      <c r="M737" t="n">
        <v>0</v>
      </c>
      <c r="N737" t="n">
        <v>0</v>
      </c>
      <c r="O737" t="n">
        <v>0</v>
      </c>
      <c r="P737" t="n">
        <v>0</v>
      </c>
      <c r="Q737" t="n">
        <v>0</v>
      </c>
      <c r="R737" s="2" t="inlineStr"/>
    </row>
    <row r="738" ht="15" customHeight="1">
      <c r="A738" t="inlineStr">
        <is>
          <t>A 58695-2023</t>
        </is>
      </c>
      <c r="B738" s="1" t="n">
        <v>45251</v>
      </c>
      <c r="C738" s="1" t="n">
        <v>45645</v>
      </c>
      <c r="D738" t="inlineStr">
        <is>
          <t>NORRBOTTENS LÄN</t>
        </is>
      </c>
      <c r="E738" t="inlineStr">
        <is>
          <t>PAJALA</t>
        </is>
      </c>
      <c r="G738" t="n">
        <v>0.9</v>
      </c>
      <c r="H738" t="n">
        <v>0</v>
      </c>
      <c r="I738" t="n">
        <v>0</v>
      </c>
      <c r="J738" t="n">
        <v>0</v>
      </c>
      <c r="K738" t="n">
        <v>0</v>
      </c>
      <c r="L738" t="n">
        <v>0</v>
      </c>
      <c r="M738" t="n">
        <v>0</v>
      </c>
      <c r="N738" t="n">
        <v>0</v>
      </c>
      <c r="O738" t="n">
        <v>0</v>
      </c>
      <c r="P738" t="n">
        <v>0</v>
      </c>
      <c r="Q738" t="n">
        <v>0</v>
      </c>
      <c r="R738" s="2" t="inlineStr"/>
    </row>
    <row r="739" ht="15" customHeight="1">
      <c r="A739" t="inlineStr">
        <is>
          <t>A 59971-2023</t>
        </is>
      </c>
      <c r="B739" s="1" t="n">
        <v>45254</v>
      </c>
      <c r="C739" s="1" t="n">
        <v>45645</v>
      </c>
      <c r="D739" t="inlineStr">
        <is>
          <t>NORRBOTTENS LÄN</t>
        </is>
      </c>
      <c r="E739" t="inlineStr">
        <is>
          <t>PAJALA</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60071-2023</t>
        </is>
      </c>
      <c r="B740" s="1" t="n">
        <v>45258</v>
      </c>
      <c r="C740" s="1" t="n">
        <v>45645</v>
      </c>
      <c r="D740" t="inlineStr">
        <is>
          <t>NORRBOTTENS LÄN</t>
        </is>
      </c>
      <c r="E740" t="inlineStr">
        <is>
          <t>PAJALA</t>
        </is>
      </c>
      <c r="G740" t="n">
        <v>3.7</v>
      </c>
      <c r="H740" t="n">
        <v>0</v>
      </c>
      <c r="I740" t="n">
        <v>0</v>
      </c>
      <c r="J740" t="n">
        <v>0</v>
      </c>
      <c r="K740" t="n">
        <v>0</v>
      </c>
      <c r="L740" t="n">
        <v>0</v>
      </c>
      <c r="M740" t="n">
        <v>0</v>
      </c>
      <c r="N740" t="n">
        <v>0</v>
      </c>
      <c r="O740" t="n">
        <v>0</v>
      </c>
      <c r="P740" t="n">
        <v>0</v>
      </c>
      <c r="Q740" t="n">
        <v>0</v>
      </c>
      <c r="R740" s="2" t="inlineStr"/>
    </row>
    <row r="741" ht="15" customHeight="1">
      <c r="A741" t="inlineStr">
        <is>
          <t>A 61133-2023</t>
        </is>
      </c>
      <c r="B741" s="1" t="n">
        <v>45261</v>
      </c>
      <c r="C741" s="1" t="n">
        <v>45645</v>
      </c>
      <c r="D741" t="inlineStr">
        <is>
          <t>NORRBOTTENS LÄN</t>
        </is>
      </c>
      <c r="E741" t="inlineStr">
        <is>
          <t>PAJALA</t>
        </is>
      </c>
      <c r="G741" t="n">
        <v>4.9</v>
      </c>
      <c r="H741" t="n">
        <v>0</v>
      </c>
      <c r="I741" t="n">
        <v>0</v>
      </c>
      <c r="J741" t="n">
        <v>0</v>
      </c>
      <c r="K741" t="n">
        <v>0</v>
      </c>
      <c r="L741" t="n">
        <v>0</v>
      </c>
      <c r="M741" t="n">
        <v>0</v>
      </c>
      <c r="N741" t="n">
        <v>0</v>
      </c>
      <c r="O741" t="n">
        <v>0</v>
      </c>
      <c r="P741" t="n">
        <v>0</v>
      </c>
      <c r="Q741" t="n">
        <v>0</v>
      </c>
      <c r="R741" s="2" t="inlineStr"/>
    </row>
    <row r="742" ht="15" customHeight="1">
      <c r="A742" t="inlineStr">
        <is>
          <t>A 61134-2023</t>
        </is>
      </c>
      <c r="B742" s="1" t="n">
        <v>45261</v>
      </c>
      <c r="C742" s="1" t="n">
        <v>45645</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61668-2023</t>
        </is>
      </c>
      <c r="B743" s="1" t="n">
        <v>45265</v>
      </c>
      <c r="C743" s="1" t="n">
        <v>45645</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61761-2023</t>
        </is>
      </c>
      <c r="B744" s="1" t="n">
        <v>45265</v>
      </c>
      <c r="C744" s="1" t="n">
        <v>45645</v>
      </c>
      <c r="D744" t="inlineStr">
        <is>
          <t>NORRBOTTENS LÄN</t>
        </is>
      </c>
      <c r="E744" t="inlineStr">
        <is>
          <t>PAJALA</t>
        </is>
      </c>
      <c r="G744" t="n">
        <v>35</v>
      </c>
      <c r="H744" t="n">
        <v>0</v>
      </c>
      <c r="I744" t="n">
        <v>0</v>
      </c>
      <c r="J744" t="n">
        <v>0</v>
      </c>
      <c r="K744" t="n">
        <v>0</v>
      </c>
      <c r="L744" t="n">
        <v>0</v>
      </c>
      <c r="M744" t="n">
        <v>0</v>
      </c>
      <c r="N744" t="n">
        <v>0</v>
      </c>
      <c r="O744" t="n">
        <v>0</v>
      </c>
      <c r="P744" t="n">
        <v>0</v>
      </c>
      <c r="Q744" t="n">
        <v>0</v>
      </c>
      <c r="R744" s="2" t="inlineStr"/>
    </row>
    <row r="745" ht="15" customHeight="1">
      <c r="A745" t="inlineStr">
        <is>
          <t>A 61660-2023</t>
        </is>
      </c>
      <c r="B745" s="1" t="n">
        <v>45265</v>
      </c>
      <c r="C745" s="1" t="n">
        <v>45645</v>
      </c>
      <c r="D745" t="inlineStr">
        <is>
          <t>NORRBOTTENS LÄN</t>
        </is>
      </c>
      <c r="E745" t="inlineStr">
        <is>
          <t>PAJALA</t>
        </is>
      </c>
      <c r="G745" t="n">
        <v>9.6</v>
      </c>
      <c r="H745" t="n">
        <v>0</v>
      </c>
      <c r="I745" t="n">
        <v>0</v>
      </c>
      <c r="J745" t="n">
        <v>0</v>
      </c>
      <c r="K745" t="n">
        <v>0</v>
      </c>
      <c r="L745" t="n">
        <v>0</v>
      </c>
      <c r="M745" t="n">
        <v>0</v>
      </c>
      <c r="N745" t="n">
        <v>0</v>
      </c>
      <c r="O745" t="n">
        <v>0</v>
      </c>
      <c r="P745" t="n">
        <v>0</v>
      </c>
      <c r="Q745" t="n">
        <v>0</v>
      </c>
      <c r="R745" s="2" t="inlineStr"/>
    </row>
    <row r="746" ht="15" customHeight="1">
      <c r="A746" t="inlineStr">
        <is>
          <t>A 62536-2023</t>
        </is>
      </c>
      <c r="B746" s="1" t="n">
        <v>45268</v>
      </c>
      <c r="C746" s="1" t="n">
        <v>45645</v>
      </c>
      <c r="D746" t="inlineStr">
        <is>
          <t>NORRBOTTENS LÄN</t>
        </is>
      </c>
      <c r="E746" t="inlineStr">
        <is>
          <t>PAJALA</t>
        </is>
      </c>
      <c r="F746" t="inlineStr">
        <is>
          <t>Sveaskog</t>
        </is>
      </c>
      <c r="G746" t="n">
        <v>26.2</v>
      </c>
      <c r="H746" t="n">
        <v>0</v>
      </c>
      <c r="I746" t="n">
        <v>0</v>
      </c>
      <c r="J746" t="n">
        <v>0</v>
      </c>
      <c r="K746" t="n">
        <v>0</v>
      </c>
      <c r="L746" t="n">
        <v>0</v>
      </c>
      <c r="M746" t="n">
        <v>0</v>
      </c>
      <c r="N746" t="n">
        <v>0</v>
      </c>
      <c r="O746" t="n">
        <v>0</v>
      </c>
      <c r="P746" t="n">
        <v>0</v>
      </c>
      <c r="Q746" t="n">
        <v>0</v>
      </c>
      <c r="R746" s="2" t="inlineStr"/>
    </row>
    <row r="747" ht="15" customHeight="1">
      <c r="A747" t="inlineStr">
        <is>
          <t>A 62576-2023</t>
        </is>
      </c>
      <c r="B747" s="1" t="n">
        <v>45270</v>
      </c>
      <c r="C747" s="1" t="n">
        <v>45645</v>
      </c>
      <c r="D747" t="inlineStr">
        <is>
          <t>NORRBOTTENS LÄN</t>
        </is>
      </c>
      <c r="E747" t="inlineStr">
        <is>
          <t>PAJALA</t>
        </is>
      </c>
      <c r="G747" t="n">
        <v>4.2</v>
      </c>
      <c r="H747" t="n">
        <v>0</v>
      </c>
      <c r="I747" t="n">
        <v>0</v>
      </c>
      <c r="J747" t="n">
        <v>0</v>
      </c>
      <c r="K747" t="n">
        <v>0</v>
      </c>
      <c r="L747" t="n">
        <v>0</v>
      </c>
      <c r="M747" t="n">
        <v>0</v>
      </c>
      <c r="N747" t="n">
        <v>0</v>
      </c>
      <c r="O747" t="n">
        <v>0</v>
      </c>
      <c r="P747" t="n">
        <v>0</v>
      </c>
      <c r="Q747" t="n">
        <v>0</v>
      </c>
      <c r="R747" s="2" t="inlineStr"/>
    </row>
    <row r="748" ht="15" customHeight="1">
      <c r="A748" t="inlineStr">
        <is>
          <t>A 62580-2023</t>
        </is>
      </c>
      <c r="B748" s="1" t="n">
        <v>45270</v>
      </c>
      <c r="C748" s="1" t="n">
        <v>45645</v>
      </c>
      <c r="D748" t="inlineStr">
        <is>
          <t>NORRBOTTENS LÄN</t>
        </is>
      </c>
      <c r="E748" t="inlineStr">
        <is>
          <t>PAJALA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62829-2023</t>
        </is>
      </c>
      <c r="B749" s="1" t="n">
        <v>45271</v>
      </c>
      <c r="C749" s="1" t="n">
        <v>45645</v>
      </c>
      <c r="D749" t="inlineStr">
        <is>
          <t>NORRBOTTENS LÄN</t>
        </is>
      </c>
      <c r="E749" t="inlineStr">
        <is>
          <t>PAJALA</t>
        </is>
      </c>
      <c r="G749" t="n">
        <v>3.1</v>
      </c>
      <c r="H749" t="n">
        <v>0</v>
      </c>
      <c r="I749" t="n">
        <v>0</v>
      </c>
      <c r="J749" t="n">
        <v>0</v>
      </c>
      <c r="K749" t="n">
        <v>0</v>
      </c>
      <c r="L749" t="n">
        <v>0</v>
      </c>
      <c r="M749" t="n">
        <v>0</v>
      </c>
      <c r="N749" t="n">
        <v>0</v>
      </c>
      <c r="O749" t="n">
        <v>0</v>
      </c>
      <c r="P749" t="n">
        <v>0</v>
      </c>
      <c r="Q749" t="n">
        <v>0</v>
      </c>
      <c r="R749" s="2" t="inlineStr"/>
    </row>
    <row r="750" ht="15" customHeight="1">
      <c r="A750" t="inlineStr">
        <is>
          <t>A 62828-2023</t>
        </is>
      </c>
      <c r="B750" s="1" t="n">
        <v>45271</v>
      </c>
      <c r="C750" s="1" t="n">
        <v>45645</v>
      </c>
      <c r="D750" t="inlineStr">
        <is>
          <t>NORRBOTTENS LÄN</t>
        </is>
      </c>
      <c r="E750" t="inlineStr">
        <is>
          <t>PAJALA</t>
        </is>
      </c>
      <c r="G750" t="n">
        <v>1.8</v>
      </c>
      <c r="H750" t="n">
        <v>0</v>
      </c>
      <c r="I750" t="n">
        <v>0</v>
      </c>
      <c r="J750" t="n">
        <v>0</v>
      </c>
      <c r="K750" t="n">
        <v>0</v>
      </c>
      <c r="L750" t="n">
        <v>0</v>
      </c>
      <c r="M750" t="n">
        <v>0</v>
      </c>
      <c r="N750" t="n">
        <v>0</v>
      </c>
      <c r="O750" t="n">
        <v>0</v>
      </c>
      <c r="P750" t="n">
        <v>0</v>
      </c>
      <c r="Q750" t="n">
        <v>0</v>
      </c>
      <c r="R750" s="2" t="inlineStr"/>
    </row>
    <row r="751" ht="15" customHeight="1">
      <c r="A751" t="inlineStr">
        <is>
          <t>A 62830-2023</t>
        </is>
      </c>
      <c r="B751" s="1" t="n">
        <v>45271</v>
      </c>
      <c r="C751" s="1" t="n">
        <v>45645</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62881-2023</t>
        </is>
      </c>
      <c r="B752" s="1" t="n">
        <v>45272</v>
      </c>
      <c r="C752" s="1" t="n">
        <v>45645</v>
      </c>
      <c r="D752" t="inlineStr">
        <is>
          <t>NORRBOTTENS LÄN</t>
        </is>
      </c>
      <c r="E752" t="inlineStr">
        <is>
          <t>PAJALA</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62990-2023</t>
        </is>
      </c>
      <c r="B753" s="1" t="n">
        <v>45272</v>
      </c>
      <c r="C753" s="1" t="n">
        <v>45645</v>
      </c>
      <c r="D753" t="inlineStr">
        <is>
          <t>NORRBOTTENS LÄN</t>
        </is>
      </c>
      <c r="E753" t="inlineStr">
        <is>
          <t>PAJALA</t>
        </is>
      </c>
      <c r="G753" t="n">
        <v>2.3</v>
      </c>
      <c r="H753" t="n">
        <v>0</v>
      </c>
      <c r="I753" t="n">
        <v>0</v>
      </c>
      <c r="J753" t="n">
        <v>0</v>
      </c>
      <c r="K753" t="n">
        <v>0</v>
      </c>
      <c r="L753" t="n">
        <v>0</v>
      </c>
      <c r="M753" t="n">
        <v>0</v>
      </c>
      <c r="N753" t="n">
        <v>0</v>
      </c>
      <c r="O753" t="n">
        <v>0</v>
      </c>
      <c r="P753" t="n">
        <v>0</v>
      </c>
      <c r="Q753" t="n">
        <v>0</v>
      </c>
      <c r="R753" s="2" t="inlineStr"/>
    </row>
    <row r="754" ht="15" customHeight="1">
      <c r="A754" t="inlineStr">
        <is>
          <t>A 62989-2023</t>
        </is>
      </c>
      <c r="B754" s="1" t="n">
        <v>45272</v>
      </c>
      <c r="C754" s="1" t="n">
        <v>45645</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63772-2023</t>
        </is>
      </c>
      <c r="B755" s="1" t="n">
        <v>45275</v>
      </c>
      <c r="C755" s="1" t="n">
        <v>45645</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63937-2023</t>
        </is>
      </c>
      <c r="B756" s="1" t="n">
        <v>45278</v>
      </c>
      <c r="C756" s="1" t="n">
        <v>45645</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460-2024</t>
        </is>
      </c>
      <c r="B757" s="1" t="n">
        <v>45297</v>
      </c>
      <c r="C757" s="1" t="n">
        <v>45645</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1730-2024</t>
        </is>
      </c>
      <c r="B758" s="1" t="n">
        <v>45307</v>
      </c>
      <c r="C758" s="1" t="n">
        <v>45645</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2234-2024</t>
        </is>
      </c>
      <c r="B759" s="1" t="n">
        <v>45309</v>
      </c>
      <c r="C759" s="1" t="n">
        <v>45645</v>
      </c>
      <c r="D759" t="inlineStr">
        <is>
          <t>NORRBOTTENS LÄN</t>
        </is>
      </c>
      <c r="E759" t="inlineStr">
        <is>
          <t>PAJALA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2235-2024</t>
        </is>
      </c>
      <c r="B760" s="1" t="n">
        <v>45309</v>
      </c>
      <c r="C760" s="1" t="n">
        <v>45645</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2823-2024</t>
        </is>
      </c>
      <c r="B761" s="1" t="n">
        <v>45314</v>
      </c>
      <c r="C761" s="1" t="n">
        <v>45645</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3000-2024</t>
        </is>
      </c>
      <c r="B762" s="1" t="n">
        <v>45315</v>
      </c>
      <c r="C762" s="1" t="n">
        <v>45645</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2998-2024</t>
        </is>
      </c>
      <c r="B763" s="1" t="n">
        <v>45315</v>
      </c>
      <c r="C763" s="1" t="n">
        <v>45645</v>
      </c>
      <c r="D763" t="inlineStr">
        <is>
          <t>NORRBOTTENS LÄN</t>
        </is>
      </c>
      <c r="E763" t="inlineStr">
        <is>
          <t>PAJALA</t>
        </is>
      </c>
      <c r="G763" t="n">
        <v>2.6</v>
      </c>
      <c r="H763" t="n">
        <v>0</v>
      </c>
      <c r="I763" t="n">
        <v>0</v>
      </c>
      <c r="J763" t="n">
        <v>0</v>
      </c>
      <c r="K763" t="n">
        <v>0</v>
      </c>
      <c r="L763" t="n">
        <v>0</v>
      </c>
      <c r="M763" t="n">
        <v>0</v>
      </c>
      <c r="N763" t="n">
        <v>0</v>
      </c>
      <c r="O763" t="n">
        <v>0</v>
      </c>
      <c r="P763" t="n">
        <v>0</v>
      </c>
      <c r="Q763" t="n">
        <v>0</v>
      </c>
      <c r="R763" s="2" t="inlineStr"/>
    </row>
    <row r="764" ht="15" customHeight="1">
      <c r="A764" t="inlineStr">
        <is>
          <t>A 3153-2024</t>
        </is>
      </c>
      <c r="B764" s="1" t="n">
        <v>45316</v>
      </c>
      <c r="C764" s="1" t="n">
        <v>45645</v>
      </c>
      <c r="D764" t="inlineStr">
        <is>
          <t>NORRBOTTENS LÄN</t>
        </is>
      </c>
      <c r="E764" t="inlineStr">
        <is>
          <t>PAJALA</t>
        </is>
      </c>
      <c r="G764" t="n">
        <v>6.3</v>
      </c>
      <c r="H764" t="n">
        <v>0</v>
      </c>
      <c r="I764" t="n">
        <v>0</v>
      </c>
      <c r="J764" t="n">
        <v>0</v>
      </c>
      <c r="K764" t="n">
        <v>0</v>
      </c>
      <c r="L764" t="n">
        <v>0</v>
      </c>
      <c r="M764" t="n">
        <v>0</v>
      </c>
      <c r="N764" t="n">
        <v>0</v>
      </c>
      <c r="O764" t="n">
        <v>0</v>
      </c>
      <c r="P764" t="n">
        <v>0</v>
      </c>
      <c r="Q764" t="n">
        <v>0</v>
      </c>
      <c r="R764" s="2" t="inlineStr"/>
    </row>
    <row r="765" ht="15" customHeight="1">
      <c r="A765" t="inlineStr">
        <is>
          <t>A 4731-2024</t>
        </is>
      </c>
      <c r="B765" s="1" t="n">
        <v>45328</v>
      </c>
      <c r="C765" s="1" t="n">
        <v>45645</v>
      </c>
      <c r="D765" t="inlineStr">
        <is>
          <t>NORRBOTTENS LÄN</t>
        </is>
      </c>
      <c r="E765" t="inlineStr">
        <is>
          <t>PAJALA</t>
        </is>
      </c>
      <c r="F765" t="inlineStr">
        <is>
          <t>Sveaskog</t>
        </is>
      </c>
      <c r="G765" t="n">
        <v>15.6</v>
      </c>
      <c r="H765" t="n">
        <v>0</v>
      </c>
      <c r="I765" t="n">
        <v>0</v>
      </c>
      <c r="J765" t="n">
        <v>0</v>
      </c>
      <c r="K765" t="n">
        <v>0</v>
      </c>
      <c r="L765" t="n">
        <v>0</v>
      </c>
      <c r="M765" t="n">
        <v>0</v>
      </c>
      <c r="N765" t="n">
        <v>0</v>
      </c>
      <c r="O765" t="n">
        <v>0</v>
      </c>
      <c r="P765" t="n">
        <v>0</v>
      </c>
      <c r="Q765" t="n">
        <v>0</v>
      </c>
      <c r="R765" s="2" t="inlineStr"/>
    </row>
    <row r="766" ht="15" customHeight="1">
      <c r="A766" t="inlineStr">
        <is>
          <t>A 5729-2024</t>
        </is>
      </c>
      <c r="B766" s="1" t="n">
        <v>45334</v>
      </c>
      <c r="C766" s="1" t="n">
        <v>45645</v>
      </c>
      <c r="D766" t="inlineStr">
        <is>
          <t>NORRBOTTENS LÄN</t>
        </is>
      </c>
      <c r="E766" t="inlineStr">
        <is>
          <t>PAJALA</t>
        </is>
      </c>
      <c r="G766" t="n">
        <v>22.5</v>
      </c>
      <c r="H766" t="n">
        <v>0</v>
      </c>
      <c r="I766" t="n">
        <v>0</v>
      </c>
      <c r="J766" t="n">
        <v>0</v>
      </c>
      <c r="K766" t="n">
        <v>0</v>
      </c>
      <c r="L766" t="n">
        <v>0</v>
      </c>
      <c r="M766" t="n">
        <v>0</v>
      </c>
      <c r="N766" t="n">
        <v>0</v>
      </c>
      <c r="O766" t="n">
        <v>0</v>
      </c>
      <c r="P766" t="n">
        <v>0</v>
      </c>
      <c r="Q766" t="n">
        <v>0</v>
      </c>
      <c r="R766" s="2" t="inlineStr"/>
    </row>
    <row r="767" ht="15" customHeight="1">
      <c r="A767" t="inlineStr">
        <is>
          <t>A 5730-2024</t>
        </is>
      </c>
      <c r="B767" s="1" t="n">
        <v>45334</v>
      </c>
      <c r="C767" s="1" t="n">
        <v>45645</v>
      </c>
      <c r="D767" t="inlineStr">
        <is>
          <t>NORRBOTTENS LÄN</t>
        </is>
      </c>
      <c r="E767" t="inlineStr">
        <is>
          <t>PAJALA</t>
        </is>
      </c>
      <c r="G767" t="n">
        <v>26.2</v>
      </c>
      <c r="H767" t="n">
        <v>0</v>
      </c>
      <c r="I767" t="n">
        <v>0</v>
      </c>
      <c r="J767" t="n">
        <v>0</v>
      </c>
      <c r="K767" t="n">
        <v>0</v>
      </c>
      <c r="L767" t="n">
        <v>0</v>
      </c>
      <c r="M767" t="n">
        <v>0</v>
      </c>
      <c r="N767" t="n">
        <v>0</v>
      </c>
      <c r="O767" t="n">
        <v>0</v>
      </c>
      <c r="P767" t="n">
        <v>0</v>
      </c>
      <c r="Q767" t="n">
        <v>0</v>
      </c>
      <c r="R767" s="2" t="inlineStr"/>
    </row>
    <row r="768" ht="15" customHeight="1">
      <c r="A768" t="inlineStr">
        <is>
          <t>A 5739-2024</t>
        </is>
      </c>
      <c r="B768" s="1" t="n">
        <v>45334</v>
      </c>
      <c r="C768" s="1" t="n">
        <v>45645</v>
      </c>
      <c r="D768" t="inlineStr">
        <is>
          <t>NORRBOTTENS LÄN</t>
        </is>
      </c>
      <c r="E768" t="inlineStr">
        <is>
          <t>PAJALA</t>
        </is>
      </c>
      <c r="G768" t="n">
        <v>4.9</v>
      </c>
      <c r="H768" t="n">
        <v>0</v>
      </c>
      <c r="I768" t="n">
        <v>0</v>
      </c>
      <c r="J768" t="n">
        <v>0</v>
      </c>
      <c r="K768" t="n">
        <v>0</v>
      </c>
      <c r="L768" t="n">
        <v>0</v>
      </c>
      <c r="M768" t="n">
        <v>0</v>
      </c>
      <c r="N768" t="n">
        <v>0</v>
      </c>
      <c r="O768" t="n">
        <v>0</v>
      </c>
      <c r="P768" t="n">
        <v>0</v>
      </c>
      <c r="Q768" t="n">
        <v>0</v>
      </c>
      <c r="R768" s="2" t="inlineStr"/>
    </row>
    <row r="769" ht="15" customHeight="1">
      <c r="A769" t="inlineStr">
        <is>
          <t>A 5731-2024</t>
        </is>
      </c>
      <c r="B769" s="1" t="n">
        <v>45334</v>
      </c>
      <c r="C769" s="1" t="n">
        <v>45645</v>
      </c>
      <c r="D769" t="inlineStr">
        <is>
          <t>NORRBOTTENS LÄN</t>
        </is>
      </c>
      <c r="E769" t="inlineStr">
        <is>
          <t>PAJALA</t>
        </is>
      </c>
      <c r="G769" t="n">
        <v>11.3</v>
      </c>
      <c r="H769" t="n">
        <v>0</v>
      </c>
      <c r="I769" t="n">
        <v>0</v>
      </c>
      <c r="J769" t="n">
        <v>0</v>
      </c>
      <c r="K769" t="n">
        <v>0</v>
      </c>
      <c r="L769" t="n">
        <v>0</v>
      </c>
      <c r="M769" t="n">
        <v>0</v>
      </c>
      <c r="N769" t="n">
        <v>0</v>
      </c>
      <c r="O769" t="n">
        <v>0</v>
      </c>
      <c r="P769" t="n">
        <v>0</v>
      </c>
      <c r="Q769" t="n">
        <v>0</v>
      </c>
      <c r="R769" s="2" t="inlineStr"/>
    </row>
    <row r="770" ht="15" customHeight="1">
      <c r="A770" t="inlineStr">
        <is>
          <t>A 8179-2024</t>
        </is>
      </c>
      <c r="B770" s="1" t="n">
        <v>45349</v>
      </c>
      <c r="C770" s="1" t="n">
        <v>45645</v>
      </c>
      <c r="D770" t="inlineStr">
        <is>
          <t>NORRBOTTENS LÄN</t>
        </is>
      </c>
      <c r="E770" t="inlineStr">
        <is>
          <t>PAJALA</t>
        </is>
      </c>
      <c r="G770" t="n">
        <v>9.5</v>
      </c>
      <c r="H770" t="n">
        <v>0</v>
      </c>
      <c r="I770" t="n">
        <v>0</v>
      </c>
      <c r="J770" t="n">
        <v>0</v>
      </c>
      <c r="K770" t="n">
        <v>0</v>
      </c>
      <c r="L770" t="n">
        <v>0</v>
      </c>
      <c r="M770" t="n">
        <v>0</v>
      </c>
      <c r="N770" t="n">
        <v>0</v>
      </c>
      <c r="O770" t="n">
        <v>0</v>
      </c>
      <c r="P770" t="n">
        <v>0</v>
      </c>
      <c r="Q770" t="n">
        <v>0</v>
      </c>
      <c r="R770" s="2" t="inlineStr"/>
    </row>
    <row r="771" ht="15" customHeight="1">
      <c r="A771" t="inlineStr">
        <is>
          <t>A 7950-2024</t>
        </is>
      </c>
      <c r="B771" s="1" t="n">
        <v>45350</v>
      </c>
      <c r="C771" s="1" t="n">
        <v>45645</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7913-2024</t>
        </is>
      </c>
      <c r="B772" s="1" t="n">
        <v>45350</v>
      </c>
      <c r="C772" s="1" t="n">
        <v>45645</v>
      </c>
      <c r="D772" t="inlineStr">
        <is>
          <t>NORRBOTTENS LÄN</t>
        </is>
      </c>
      <c r="E772" t="inlineStr">
        <is>
          <t>PAJALA</t>
        </is>
      </c>
      <c r="G772" t="n">
        <v>2.8</v>
      </c>
      <c r="H772" t="n">
        <v>0</v>
      </c>
      <c r="I772" t="n">
        <v>0</v>
      </c>
      <c r="J772" t="n">
        <v>0</v>
      </c>
      <c r="K772" t="n">
        <v>0</v>
      </c>
      <c r="L772" t="n">
        <v>0</v>
      </c>
      <c r="M772" t="n">
        <v>0</v>
      </c>
      <c r="N772" t="n">
        <v>0</v>
      </c>
      <c r="O772" t="n">
        <v>0</v>
      </c>
      <c r="P772" t="n">
        <v>0</v>
      </c>
      <c r="Q772" t="n">
        <v>0</v>
      </c>
      <c r="R772" s="2" t="inlineStr"/>
    </row>
    <row r="773" ht="15" customHeight="1">
      <c r="A773" t="inlineStr">
        <is>
          <t>A 8212-2024</t>
        </is>
      </c>
      <c r="B773" s="1" t="n">
        <v>45351</v>
      </c>
      <c r="C773" s="1" t="n">
        <v>45645</v>
      </c>
      <c r="D773" t="inlineStr">
        <is>
          <t>NORRBOTTENS LÄN</t>
        </is>
      </c>
      <c r="E773" t="inlineStr">
        <is>
          <t>PAJALA</t>
        </is>
      </c>
      <c r="G773" t="n">
        <v>4.6</v>
      </c>
      <c r="H773" t="n">
        <v>0</v>
      </c>
      <c r="I773" t="n">
        <v>0</v>
      </c>
      <c r="J773" t="n">
        <v>0</v>
      </c>
      <c r="K773" t="n">
        <v>0</v>
      </c>
      <c r="L773" t="n">
        <v>0</v>
      </c>
      <c r="M773" t="n">
        <v>0</v>
      </c>
      <c r="N773" t="n">
        <v>0</v>
      </c>
      <c r="O773" t="n">
        <v>0</v>
      </c>
      <c r="P773" t="n">
        <v>0</v>
      </c>
      <c r="Q773" t="n">
        <v>0</v>
      </c>
      <c r="R773" s="2" t="inlineStr"/>
    </row>
    <row r="774" ht="15" customHeight="1">
      <c r="A774" t="inlineStr">
        <is>
          <t>A 8553-2024</t>
        </is>
      </c>
      <c r="B774" s="1" t="n">
        <v>45351</v>
      </c>
      <c r="C774" s="1" t="n">
        <v>45645</v>
      </c>
      <c r="D774" t="inlineStr">
        <is>
          <t>NORRBOTTENS LÄN</t>
        </is>
      </c>
      <c r="E774" t="inlineStr">
        <is>
          <t>PAJALA</t>
        </is>
      </c>
      <c r="G774" t="n">
        <v>9</v>
      </c>
      <c r="H774" t="n">
        <v>0</v>
      </c>
      <c r="I774" t="n">
        <v>0</v>
      </c>
      <c r="J774" t="n">
        <v>0</v>
      </c>
      <c r="K774" t="n">
        <v>0</v>
      </c>
      <c r="L774" t="n">
        <v>0</v>
      </c>
      <c r="M774" t="n">
        <v>0</v>
      </c>
      <c r="N774" t="n">
        <v>0</v>
      </c>
      <c r="O774" t="n">
        <v>0</v>
      </c>
      <c r="P774" t="n">
        <v>0</v>
      </c>
      <c r="Q774" t="n">
        <v>0</v>
      </c>
      <c r="R774" s="2" t="inlineStr"/>
    </row>
    <row r="775" ht="15" customHeight="1">
      <c r="A775" t="inlineStr">
        <is>
          <t>A 8530-2024</t>
        </is>
      </c>
      <c r="B775" s="1" t="n">
        <v>45351</v>
      </c>
      <c r="C775" s="1" t="n">
        <v>45645</v>
      </c>
      <c r="D775" t="inlineStr">
        <is>
          <t>NORRBOTTENS LÄN</t>
        </is>
      </c>
      <c r="E775" t="inlineStr">
        <is>
          <t>PAJALA</t>
        </is>
      </c>
      <c r="G775" t="n">
        <v>37.9</v>
      </c>
      <c r="H775" t="n">
        <v>0</v>
      </c>
      <c r="I775" t="n">
        <v>0</v>
      </c>
      <c r="J775" t="n">
        <v>0</v>
      </c>
      <c r="K775" t="n">
        <v>0</v>
      </c>
      <c r="L775" t="n">
        <v>0</v>
      </c>
      <c r="M775" t="n">
        <v>0</v>
      </c>
      <c r="N775" t="n">
        <v>0</v>
      </c>
      <c r="O775" t="n">
        <v>0</v>
      </c>
      <c r="P775" t="n">
        <v>0</v>
      </c>
      <c r="Q775" t="n">
        <v>0</v>
      </c>
      <c r="R775" s="2" t="inlineStr"/>
    </row>
    <row r="776" ht="15" customHeight="1">
      <c r="A776" t="inlineStr">
        <is>
          <t>A 8296-2024</t>
        </is>
      </c>
      <c r="B776" s="1" t="n">
        <v>45352</v>
      </c>
      <c r="C776" s="1" t="n">
        <v>45645</v>
      </c>
      <c r="D776" t="inlineStr">
        <is>
          <t>NORRBOTTENS LÄN</t>
        </is>
      </c>
      <c r="E776" t="inlineStr">
        <is>
          <t>PAJALA</t>
        </is>
      </c>
      <c r="G776" t="n">
        <v>22.2</v>
      </c>
      <c r="H776" t="n">
        <v>0</v>
      </c>
      <c r="I776" t="n">
        <v>0</v>
      </c>
      <c r="J776" t="n">
        <v>0</v>
      </c>
      <c r="K776" t="n">
        <v>0</v>
      </c>
      <c r="L776" t="n">
        <v>0</v>
      </c>
      <c r="M776" t="n">
        <v>0</v>
      </c>
      <c r="N776" t="n">
        <v>0</v>
      </c>
      <c r="O776" t="n">
        <v>0</v>
      </c>
      <c r="P776" t="n">
        <v>0</v>
      </c>
      <c r="Q776" t="n">
        <v>0</v>
      </c>
      <c r="R776" s="2" t="inlineStr"/>
    </row>
    <row r="777" ht="15" customHeight="1">
      <c r="A777" t="inlineStr">
        <is>
          <t>A 8858-2024</t>
        </is>
      </c>
      <c r="B777" s="1" t="n">
        <v>45356</v>
      </c>
      <c r="C777" s="1" t="n">
        <v>45645</v>
      </c>
      <c r="D777" t="inlineStr">
        <is>
          <t>NORRBOTTENS LÄN</t>
        </is>
      </c>
      <c r="E777" t="inlineStr">
        <is>
          <t>PAJALA</t>
        </is>
      </c>
      <c r="G777" t="n">
        <v>5.6</v>
      </c>
      <c r="H777" t="n">
        <v>0</v>
      </c>
      <c r="I777" t="n">
        <v>0</v>
      </c>
      <c r="J777" t="n">
        <v>0</v>
      </c>
      <c r="K777" t="n">
        <v>0</v>
      </c>
      <c r="L777" t="n">
        <v>0</v>
      </c>
      <c r="M777" t="n">
        <v>0</v>
      </c>
      <c r="N777" t="n">
        <v>0</v>
      </c>
      <c r="O777" t="n">
        <v>0</v>
      </c>
      <c r="P777" t="n">
        <v>0</v>
      </c>
      <c r="Q777" t="n">
        <v>0</v>
      </c>
      <c r="R777" s="2" t="inlineStr"/>
    </row>
    <row r="778" ht="15" customHeight="1">
      <c r="A778" t="inlineStr">
        <is>
          <t>A 8859-2024</t>
        </is>
      </c>
      <c r="B778" s="1" t="n">
        <v>45357</v>
      </c>
      <c r="C778" s="1" t="n">
        <v>45645</v>
      </c>
      <c r="D778" t="inlineStr">
        <is>
          <t>NORRBOTTENS LÄN</t>
        </is>
      </c>
      <c r="E778" t="inlineStr">
        <is>
          <t>PAJALA</t>
        </is>
      </c>
      <c r="G778" t="n">
        <v>3.3</v>
      </c>
      <c r="H778" t="n">
        <v>0</v>
      </c>
      <c r="I778" t="n">
        <v>0</v>
      </c>
      <c r="J778" t="n">
        <v>0</v>
      </c>
      <c r="K778" t="n">
        <v>0</v>
      </c>
      <c r="L778" t="n">
        <v>0</v>
      </c>
      <c r="M778" t="n">
        <v>0</v>
      </c>
      <c r="N778" t="n">
        <v>0</v>
      </c>
      <c r="O778" t="n">
        <v>0</v>
      </c>
      <c r="P778" t="n">
        <v>0</v>
      </c>
      <c r="Q778" t="n">
        <v>0</v>
      </c>
      <c r="R778" s="2" t="inlineStr"/>
    </row>
    <row r="779" ht="15" customHeight="1">
      <c r="A779" t="inlineStr">
        <is>
          <t>A 9585-2024</t>
        </is>
      </c>
      <c r="B779" s="1" t="n">
        <v>45360</v>
      </c>
      <c r="C779" s="1" t="n">
        <v>45645</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9700-2024</t>
        </is>
      </c>
      <c r="B780" s="1" t="n">
        <v>45362</v>
      </c>
      <c r="C780" s="1" t="n">
        <v>45645</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9838-2024</t>
        </is>
      </c>
      <c r="B781" s="1" t="n">
        <v>45362</v>
      </c>
      <c r="C781" s="1" t="n">
        <v>45645</v>
      </c>
      <c r="D781" t="inlineStr">
        <is>
          <t>NORRBOTTENS LÄN</t>
        </is>
      </c>
      <c r="E781" t="inlineStr">
        <is>
          <t>PAJALA</t>
        </is>
      </c>
      <c r="F781" t="inlineStr">
        <is>
          <t>Allmännings- och besparingsskogar</t>
        </is>
      </c>
      <c r="G781" t="n">
        <v>22.5</v>
      </c>
      <c r="H781" t="n">
        <v>0</v>
      </c>
      <c r="I781" t="n">
        <v>0</v>
      </c>
      <c r="J781" t="n">
        <v>0</v>
      </c>
      <c r="K781" t="n">
        <v>0</v>
      </c>
      <c r="L781" t="n">
        <v>0</v>
      </c>
      <c r="M781" t="n">
        <v>0</v>
      </c>
      <c r="N781" t="n">
        <v>0</v>
      </c>
      <c r="O781" t="n">
        <v>0</v>
      </c>
      <c r="P781" t="n">
        <v>0</v>
      </c>
      <c r="Q781" t="n">
        <v>0</v>
      </c>
      <c r="R781" s="2" t="inlineStr"/>
    </row>
    <row r="782" ht="15" customHeight="1">
      <c r="A782" t="inlineStr">
        <is>
          <t>A 9882-2024</t>
        </is>
      </c>
      <c r="B782" s="1" t="n">
        <v>45363</v>
      </c>
      <c r="C782" s="1" t="n">
        <v>45645</v>
      </c>
      <c r="D782" t="inlineStr">
        <is>
          <t>NORRBOTTENS LÄN</t>
        </is>
      </c>
      <c r="E782" t="inlineStr">
        <is>
          <t>PAJALA</t>
        </is>
      </c>
      <c r="G782" t="n">
        <v>10.6</v>
      </c>
      <c r="H782" t="n">
        <v>0</v>
      </c>
      <c r="I782" t="n">
        <v>0</v>
      </c>
      <c r="J782" t="n">
        <v>0</v>
      </c>
      <c r="K782" t="n">
        <v>0</v>
      </c>
      <c r="L782" t="n">
        <v>0</v>
      </c>
      <c r="M782" t="n">
        <v>0</v>
      </c>
      <c r="N782" t="n">
        <v>0</v>
      </c>
      <c r="O782" t="n">
        <v>0</v>
      </c>
      <c r="P782" t="n">
        <v>0</v>
      </c>
      <c r="Q782" t="n">
        <v>0</v>
      </c>
      <c r="R782" s="2" t="inlineStr"/>
    </row>
    <row r="783" ht="15" customHeight="1">
      <c r="A783" t="inlineStr">
        <is>
          <t>A 10801-2024</t>
        </is>
      </c>
      <c r="B783" s="1" t="n">
        <v>45369</v>
      </c>
      <c r="C783" s="1" t="n">
        <v>45645</v>
      </c>
      <c r="D783" t="inlineStr">
        <is>
          <t>NORRBOTTENS LÄN</t>
        </is>
      </c>
      <c r="E783" t="inlineStr">
        <is>
          <t>PAJALA</t>
        </is>
      </c>
      <c r="F783" t="inlineStr">
        <is>
          <t>Allmännings- och besparingsskogar</t>
        </is>
      </c>
      <c r="G783" t="n">
        <v>16.6</v>
      </c>
      <c r="H783" t="n">
        <v>0</v>
      </c>
      <c r="I783" t="n">
        <v>0</v>
      </c>
      <c r="J783" t="n">
        <v>0</v>
      </c>
      <c r="K783" t="n">
        <v>0</v>
      </c>
      <c r="L783" t="n">
        <v>0</v>
      </c>
      <c r="M783" t="n">
        <v>0</v>
      </c>
      <c r="N783" t="n">
        <v>0</v>
      </c>
      <c r="O783" t="n">
        <v>0</v>
      </c>
      <c r="P783" t="n">
        <v>0</v>
      </c>
      <c r="Q783" t="n">
        <v>0</v>
      </c>
      <c r="R783" s="2" t="inlineStr"/>
    </row>
    <row r="784" ht="15" customHeight="1">
      <c r="A784" t="inlineStr">
        <is>
          <t>A 10790-2024</t>
        </is>
      </c>
      <c r="B784" s="1" t="n">
        <v>45369</v>
      </c>
      <c r="C784" s="1" t="n">
        <v>45645</v>
      </c>
      <c r="D784" t="inlineStr">
        <is>
          <t>NORRBOTTENS LÄN</t>
        </is>
      </c>
      <c r="E784" t="inlineStr">
        <is>
          <t>PAJALA</t>
        </is>
      </c>
      <c r="F784" t="inlineStr">
        <is>
          <t>Allmännings- och besparingsskogar</t>
        </is>
      </c>
      <c r="G784" t="n">
        <v>4.7</v>
      </c>
      <c r="H784" t="n">
        <v>0</v>
      </c>
      <c r="I784" t="n">
        <v>0</v>
      </c>
      <c r="J784" t="n">
        <v>0</v>
      </c>
      <c r="K784" t="n">
        <v>0</v>
      </c>
      <c r="L784" t="n">
        <v>0</v>
      </c>
      <c r="M784" t="n">
        <v>0</v>
      </c>
      <c r="N784" t="n">
        <v>0</v>
      </c>
      <c r="O784" t="n">
        <v>0</v>
      </c>
      <c r="P784" t="n">
        <v>0</v>
      </c>
      <c r="Q784" t="n">
        <v>0</v>
      </c>
      <c r="R784" s="2" t="inlineStr"/>
    </row>
    <row r="785" ht="15" customHeight="1">
      <c r="A785" t="inlineStr">
        <is>
          <t>A 10757-2024</t>
        </is>
      </c>
      <c r="B785" s="1" t="n">
        <v>45369</v>
      </c>
      <c r="C785" s="1" t="n">
        <v>45645</v>
      </c>
      <c r="D785" t="inlineStr">
        <is>
          <t>NORRBOTTENS LÄN</t>
        </is>
      </c>
      <c r="E785" t="inlineStr">
        <is>
          <t>PAJALA</t>
        </is>
      </c>
      <c r="G785" t="n">
        <v>10.3</v>
      </c>
      <c r="H785" t="n">
        <v>0</v>
      </c>
      <c r="I785" t="n">
        <v>0</v>
      </c>
      <c r="J785" t="n">
        <v>0</v>
      </c>
      <c r="K785" t="n">
        <v>0</v>
      </c>
      <c r="L785" t="n">
        <v>0</v>
      </c>
      <c r="M785" t="n">
        <v>0</v>
      </c>
      <c r="N785" t="n">
        <v>0</v>
      </c>
      <c r="O785" t="n">
        <v>0</v>
      </c>
      <c r="P785" t="n">
        <v>0</v>
      </c>
      <c r="Q785" t="n">
        <v>0</v>
      </c>
      <c r="R785" s="2" t="inlineStr"/>
    </row>
    <row r="786" ht="15" customHeight="1">
      <c r="A786" t="inlineStr">
        <is>
          <t>A 11080-2024</t>
        </is>
      </c>
      <c r="B786" s="1" t="n">
        <v>45370</v>
      </c>
      <c r="C786" s="1" t="n">
        <v>45645</v>
      </c>
      <c r="D786" t="inlineStr">
        <is>
          <t>NORRBOTTENS LÄN</t>
        </is>
      </c>
      <c r="E786" t="inlineStr">
        <is>
          <t>PAJALA</t>
        </is>
      </c>
      <c r="G786" t="n">
        <v>14.6</v>
      </c>
      <c r="H786" t="n">
        <v>0</v>
      </c>
      <c r="I786" t="n">
        <v>0</v>
      </c>
      <c r="J786" t="n">
        <v>0</v>
      </c>
      <c r="K786" t="n">
        <v>0</v>
      </c>
      <c r="L786" t="n">
        <v>0</v>
      </c>
      <c r="M786" t="n">
        <v>0</v>
      </c>
      <c r="N786" t="n">
        <v>0</v>
      </c>
      <c r="O786" t="n">
        <v>0</v>
      </c>
      <c r="P786" t="n">
        <v>0</v>
      </c>
      <c r="Q786" t="n">
        <v>0</v>
      </c>
      <c r="R786" s="2" t="inlineStr"/>
    </row>
    <row r="787" ht="15" customHeight="1">
      <c r="A787" t="inlineStr">
        <is>
          <t>A 11265-2024</t>
        </is>
      </c>
      <c r="B787" s="1" t="n">
        <v>45371</v>
      </c>
      <c r="C787" s="1" t="n">
        <v>45645</v>
      </c>
      <c r="D787" t="inlineStr">
        <is>
          <t>NORRBOTTENS LÄN</t>
        </is>
      </c>
      <c r="E787" t="inlineStr">
        <is>
          <t>PAJALA</t>
        </is>
      </c>
      <c r="F787" t="inlineStr">
        <is>
          <t>Allmännings- och besparingsskogar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11120-2024</t>
        </is>
      </c>
      <c r="B788" s="1" t="n">
        <v>45371</v>
      </c>
      <c r="C788" s="1" t="n">
        <v>45645</v>
      </c>
      <c r="D788" t="inlineStr">
        <is>
          <t>NORRBOTTENS LÄN</t>
        </is>
      </c>
      <c r="E788" t="inlineStr">
        <is>
          <t>PAJALA</t>
        </is>
      </c>
      <c r="F788" t="inlineStr">
        <is>
          <t>Allmännings- och besparingsskogar</t>
        </is>
      </c>
      <c r="G788" t="n">
        <v>4.9</v>
      </c>
      <c r="H788" t="n">
        <v>0</v>
      </c>
      <c r="I788" t="n">
        <v>0</v>
      </c>
      <c r="J788" t="n">
        <v>0</v>
      </c>
      <c r="K788" t="n">
        <v>0</v>
      </c>
      <c r="L788" t="n">
        <v>0</v>
      </c>
      <c r="M788" t="n">
        <v>0</v>
      </c>
      <c r="N788" t="n">
        <v>0</v>
      </c>
      <c r="O788" t="n">
        <v>0</v>
      </c>
      <c r="P788" t="n">
        <v>0</v>
      </c>
      <c r="Q788" t="n">
        <v>0</v>
      </c>
      <c r="R788" s="2" t="inlineStr"/>
    </row>
    <row r="789" ht="15" customHeight="1">
      <c r="A789" t="inlineStr">
        <is>
          <t>A 11501-2024</t>
        </is>
      </c>
      <c r="B789" s="1" t="n">
        <v>45372</v>
      </c>
      <c r="C789" s="1" t="n">
        <v>45645</v>
      </c>
      <c r="D789" t="inlineStr">
        <is>
          <t>NORRBOTTENS LÄN</t>
        </is>
      </c>
      <c r="E789" t="inlineStr">
        <is>
          <t>PAJALA</t>
        </is>
      </c>
      <c r="F789" t="inlineStr">
        <is>
          <t>Allmännings- och besparingsskogar</t>
        </is>
      </c>
      <c r="G789" t="n">
        <v>55.8</v>
      </c>
      <c r="H789" t="n">
        <v>0</v>
      </c>
      <c r="I789" t="n">
        <v>0</v>
      </c>
      <c r="J789" t="n">
        <v>0</v>
      </c>
      <c r="K789" t="n">
        <v>0</v>
      </c>
      <c r="L789" t="n">
        <v>0</v>
      </c>
      <c r="M789" t="n">
        <v>0</v>
      </c>
      <c r="N789" t="n">
        <v>0</v>
      </c>
      <c r="O789" t="n">
        <v>0</v>
      </c>
      <c r="P789" t="n">
        <v>0</v>
      </c>
      <c r="Q789" t="n">
        <v>0</v>
      </c>
      <c r="R789" s="2" t="inlineStr"/>
    </row>
    <row r="790" ht="15" customHeight="1">
      <c r="A790" t="inlineStr">
        <is>
          <t>A 11679-2024</t>
        </is>
      </c>
      <c r="B790" s="1" t="n">
        <v>45373</v>
      </c>
      <c r="C790" s="1" t="n">
        <v>45645</v>
      </c>
      <c r="D790" t="inlineStr">
        <is>
          <t>NORRBOTTENS LÄN</t>
        </is>
      </c>
      <c r="E790" t="inlineStr">
        <is>
          <t>PAJALA</t>
        </is>
      </c>
      <c r="G790" t="n">
        <v>3.6</v>
      </c>
      <c r="H790" t="n">
        <v>0</v>
      </c>
      <c r="I790" t="n">
        <v>0</v>
      </c>
      <c r="J790" t="n">
        <v>0</v>
      </c>
      <c r="K790" t="n">
        <v>0</v>
      </c>
      <c r="L790" t="n">
        <v>0</v>
      </c>
      <c r="M790" t="n">
        <v>0</v>
      </c>
      <c r="N790" t="n">
        <v>0</v>
      </c>
      <c r="O790" t="n">
        <v>0</v>
      </c>
      <c r="P790" t="n">
        <v>0</v>
      </c>
      <c r="Q790" t="n">
        <v>0</v>
      </c>
      <c r="R790" s="2" t="inlineStr"/>
    </row>
    <row r="791" ht="15" customHeight="1">
      <c r="A791" t="inlineStr">
        <is>
          <t>A 12639-2024</t>
        </is>
      </c>
      <c r="B791" s="1" t="n">
        <v>45379</v>
      </c>
      <c r="C791" s="1" t="n">
        <v>45645</v>
      </c>
      <c r="D791" t="inlineStr">
        <is>
          <t>NORRBOTTENS LÄN</t>
        </is>
      </c>
      <c r="E791" t="inlineStr">
        <is>
          <t>PAJALA</t>
        </is>
      </c>
      <c r="F791" t="inlineStr">
        <is>
          <t>Allmännings- och besparingsskogar</t>
        </is>
      </c>
      <c r="G791" t="n">
        <v>92</v>
      </c>
      <c r="H791" t="n">
        <v>0</v>
      </c>
      <c r="I791" t="n">
        <v>0</v>
      </c>
      <c r="J791" t="n">
        <v>0</v>
      </c>
      <c r="K791" t="n">
        <v>0</v>
      </c>
      <c r="L791" t="n">
        <v>0</v>
      </c>
      <c r="M791" t="n">
        <v>0</v>
      </c>
      <c r="N791" t="n">
        <v>0</v>
      </c>
      <c r="O791" t="n">
        <v>0</v>
      </c>
      <c r="P791" t="n">
        <v>0</v>
      </c>
      <c r="Q791" t="n">
        <v>0</v>
      </c>
      <c r="R791" s="2" t="inlineStr"/>
    </row>
    <row r="792" ht="15" customHeight="1">
      <c r="A792" t="inlineStr">
        <is>
          <t>A 12749-2024</t>
        </is>
      </c>
      <c r="B792" s="1" t="n">
        <v>45384</v>
      </c>
      <c r="C792" s="1" t="n">
        <v>45645</v>
      </c>
      <c r="D792" t="inlineStr">
        <is>
          <t>NORRBOTTENS LÄN</t>
        </is>
      </c>
      <c r="E792" t="inlineStr">
        <is>
          <t>PAJALA</t>
        </is>
      </c>
      <c r="G792" t="n">
        <v>2.7</v>
      </c>
      <c r="H792" t="n">
        <v>0</v>
      </c>
      <c r="I792" t="n">
        <v>0</v>
      </c>
      <c r="J792" t="n">
        <v>0</v>
      </c>
      <c r="K792" t="n">
        <v>0</v>
      </c>
      <c r="L792" t="n">
        <v>0</v>
      </c>
      <c r="M792" t="n">
        <v>0</v>
      </c>
      <c r="N792" t="n">
        <v>0</v>
      </c>
      <c r="O792" t="n">
        <v>0</v>
      </c>
      <c r="P792" t="n">
        <v>0</v>
      </c>
      <c r="Q792" t="n">
        <v>0</v>
      </c>
      <c r="R792" s="2" t="inlineStr"/>
    </row>
    <row r="793" ht="15" customHeight="1">
      <c r="A793" t="inlineStr">
        <is>
          <t>A 12795-2024</t>
        </is>
      </c>
      <c r="B793" s="1" t="n">
        <v>45384</v>
      </c>
      <c r="C793" s="1" t="n">
        <v>45645</v>
      </c>
      <c r="D793" t="inlineStr">
        <is>
          <t>NORRBOTTENS LÄN</t>
        </is>
      </c>
      <c r="E793" t="inlineStr">
        <is>
          <t>PAJALA</t>
        </is>
      </c>
      <c r="G793" t="n">
        <v>20.6</v>
      </c>
      <c r="H793" t="n">
        <v>0</v>
      </c>
      <c r="I793" t="n">
        <v>0</v>
      </c>
      <c r="J793" t="n">
        <v>0</v>
      </c>
      <c r="K793" t="n">
        <v>0</v>
      </c>
      <c r="L793" t="n">
        <v>0</v>
      </c>
      <c r="M793" t="n">
        <v>0</v>
      </c>
      <c r="N793" t="n">
        <v>0</v>
      </c>
      <c r="O793" t="n">
        <v>0</v>
      </c>
      <c r="P793" t="n">
        <v>0</v>
      </c>
      <c r="Q793" t="n">
        <v>0</v>
      </c>
      <c r="R793" s="2" t="inlineStr"/>
    </row>
    <row r="794" ht="15" customHeight="1">
      <c r="A794" t="inlineStr">
        <is>
          <t>A 12881-2024</t>
        </is>
      </c>
      <c r="B794" s="1" t="n">
        <v>45385</v>
      </c>
      <c r="C794" s="1" t="n">
        <v>45645</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13167-2024</t>
        </is>
      </c>
      <c r="B795" s="1" t="n">
        <v>45386</v>
      </c>
      <c r="C795" s="1" t="n">
        <v>45645</v>
      </c>
      <c r="D795" t="inlineStr">
        <is>
          <t>NORRBOTTENS LÄN</t>
        </is>
      </c>
      <c r="E795" t="inlineStr">
        <is>
          <t>PAJALA</t>
        </is>
      </c>
      <c r="F795" t="inlineStr">
        <is>
          <t>Allmännings- och besparingsskogar</t>
        </is>
      </c>
      <c r="G795" t="n">
        <v>30.1</v>
      </c>
      <c r="H795" t="n">
        <v>0</v>
      </c>
      <c r="I795" t="n">
        <v>0</v>
      </c>
      <c r="J795" t="n">
        <v>0</v>
      </c>
      <c r="K795" t="n">
        <v>0</v>
      </c>
      <c r="L795" t="n">
        <v>0</v>
      </c>
      <c r="M795" t="n">
        <v>0</v>
      </c>
      <c r="N795" t="n">
        <v>0</v>
      </c>
      <c r="O795" t="n">
        <v>0</v>
      </c>
      <c r="P795" t="n">
        <v>0</v>
      </c>
      <c r="Q795" t="n">
        <v>0</v>
      </c>
      <c r="R795" s="2" t="inlineStr"/>
    </row>
    <row r="796" ht="15" customHeight="1">
      <c r="A796" t="inlineStr">
        <is>
          <t>A 13725-2024</t>
        </is>
      </c>
      <c r="B796" s="1" t="n">
        <v>45387</v>
      </c>
      <c r="C796" s="1" t="n">
        <v>45645</v>
      </c>
      <c r="D796" t="inlineStr">
        <is>
          <t>NORRBOTTENS LÄN</t>
        </is>
      </c>
      <c r="E796" t="inlineStr">
        <is>
          <t>PAJALA</t>
        </is>
      </c>
      <c r="F796" t="inlineStr">
        <is>
          <t>Allmännings- och besparingsskogar</t>
        </is>
      </c>
      <c r="G796" t="n">
        <v>19.5</v>
      </c>
      <c r="H796" t="n">
        <v>0</v>
      </c>
      <c r="I796" t="n">
        <v>0</v>
      </c>
      <c r="J796" t="n">
        <v>0</v>
      </c>
      <c r="K796" t="n">
        <v>0</v>
      </c>
      <c r="L796" t="n">
        <v>0</v>
      </c>
      <c r="M796" t="n">
        <v>0</v>
      </c>
      <c r="N796" t="n">
        <v>0</v>
      </c>
      <c r="O796" t="n">
        <v>0</v>
      </c>
      <c r="P796" t="n">
        <v>0</v>
      </c>
      <c r="Q796" t="n">
        <v>0</v>
      </c>
      <c r="R796" s="2" t="inlineStr"/>
    </row>
    <row r="797" ht="15" customHeight="1">
      <c r="A797" t="inlineStr">
        <is>
          <t>A 13884-2024</t>
        </is>
      </c>
      <c r="B797" s="1" t="n">
        <v>45391</v>
      </c>
      <c r="C797" s="1" t="n">
        <v>45645</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14072-2024</t>
        </is>
      </c>
      <c r="B798" s="1" t="n">
        <v>45392</v>
      </c>
      <c r="C798" s="1" t="n">
        <v>45645</v>
      </c>
      <c r="D798" t="inlineStr">
        <is>
          <t>NORRBOTTENS LÄN</t>
        </is>
      </c>
      <c r="E798" t="inlineStr">
        <is>
          <t>PAJALA</t>
        </is>
      </c>
      <c r="G798" t="n">
        <v>2.5</v>
      </c>
      <c r="H798" t="n">
        <v>0</v>
      </c>
      <c r="I798" t="n">
        <v>0</v>
      </c>
      <c r="J798" t="n">
        <v>0</v>
      </c>
      <c r="K798" t="n">
        <v>0</v>
      </c>
      <c r="L798" t="n">
        <v>0</v>
      </c>
      <c r="M798" t="n">
        <v>0</v>
      </c>
      <c r="N798" t="n">
        <v>0</v>
      </c>
      <c r="O798" t="n">
        <v>0</v>
      </c>
      <c r="P798" t="n">
        <v>0</v>
      </c>
      <c r="Q798" t="n">
        <v>0</v>
      </c>
      <c r="R798" s="2" t="inlineStr"/>
    </row>
    <row r="799" ht="15" customHeight="1">
      <c r="A799" t="inlineStr">
        <is>
          <t>A 14360-2024</t>
        </is>
      </c>
      <c r="B799" s="1" t="n">
        <v>45394</v>
      </c>
      <c r="C799" s="1" t="n">
        <v>45645</v>
      </c>
      <c r="D799" t="inlineStr">
        <is>
          <t>NORRBOTTENS LÄN</t>
        </is>
      </c>
      <c r="E799" t="inlineStr">
        <is>
          <t>PAJALA</t>
        </is>
      </c>
      <c r="G799" t="n">
        <v>9.1</v>
      </c>
      <c r="H799" t="n">
        <v>0</v>
      </c>
      <c r="I799" t="n">
        <v>0</v>
      </c>
      <c r="J799" t="n">
        <v>0</v>
      </c>
      <c r="K799" t="n">
        <v>0</v>
      </c>
      <c r="L799" t="n">
        <v>0</v>
      </c>
      <c r="M799" t="n">
        <v>0</v>
      </c>
      <c r="N799" t="n">
        <v>0</v>
      </c>
      <c r="O799" t="n">
        <v>0</v>
      </c>
      <c r="P799" t="n">
        <v>0</v>
      </c>
      <c r="Q799" t="n">
        <v>0</v>
      </c>
      <c r="R799" s="2" t="inlineStr"/>
    </row>
    <row r="800" ht="15" customHeight="1">
      <c r="A800" t="inlineStr">
        <is>
          <t>A 14932-2024</t>
        </is>
      </c>
      <c r="B800" s="1" t="n">
        <v>45398</v>
      </c>
      <c r="C800" s="1" t="n">
        <v>45645</v>
      </c>
      <c r="D800" t="inlineStr">
        <is>
          <t>NORRBOTTENS LÄN</t>
        </is>
      </c>
      <c r="E800" t="inlineStr">
        <is>
          <t>PAJALA</t>
        </is>
      </c>
      <c r="G800" t="n">
        <v>4.7</v>
      </c>
      <c r="H800" t="n">
        <v>0</v>
      </c>
      <c r="I800" t="n">
        <v>0</v>
      </c>
      <c r="J800" t="n">
        <v>0</v>
      </c>
      <c r="K800" t="n">
        <v>0</v>
      </c>
      <c r="L800" t="n">
        <v>0</v>
      </c>
      <c r="M800" t="n">
        <v>0</v>
      </c>
      <c r="N800" t="n">
        <v>0</v>
      </c>
      <c r="O800" t="n">
        <v>0</v>
      </c>
      <c r="P800" t="n">
        <v>0</v>
      </c>
      <c r="Q800" t="n">
        <v>0</v>
      </c>
      <c r="R800" s="2" t="inlineStr"/>
    </row>
    <row r="801" ht="15" customHeight="1">
      <c r="A801" t="inlineStr">
        <is>
          <t>A 15124-2024</t>
        </is>
      </c>
      <c r="B801" s="1" t="n">
        <v>45399</v>
      </c>
      <c r="C801" s="1" t="n">
        <v>45645</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15570-2024</t>
        </is>
      </c>
      <c r="B802" s="1" t="n">
        <v>45401</v>
      </c>
      <c r="C802" s="1" t="n">
        <v>45645</v>
      </c>
      <c r="D802" t="inlineStr">
        <is>
          <t>NORRBOTTENS LÄN</t>
        </is>
      </c>
      <c r="E802" t="inlineStr">
        <is>
          <t>PAJALA</t>
        </is>
      </c>
      <c r="F802" t="inlineStr">
        <is>
          <t>Allmännings- och besparingsskogar</t>
        </is>
      </c>
      <c r="G802" t="n">
        <v>22.1</v>
      </c>
      <c r="H802" t="n">
        <v>0</v>
      </c>
      <c r="I802" t="n">
        <v>0</v>
      </c>
      <c r="J802" t="n">
        <v>0</v>
      </c>
      <c r="K802" t="n">
        <v>0</v>
      </c>
      <c r="L802" t="n">
        <v>0</v>
      </c>
      <c r="M802" t="n">
        <v>0</v>
      </c>
      <c r="N802" t="n">
        <v>0</v>
      </c>
      <c r="O802" t="n">
        <v>0</v>
      </c>
      <c r="P802" t="n">
        <v>0</v>
      </c>
      <c r="Q802" t="n">
        <v>0</v>
      </c>
      <c r="R802" s="2" t="inlineStr"/>
    </row>
    <row r="803" ht="15" customHeight="1">
      <c r="A803" t="inlineStr">
        <is>
          <t>A 15573-2024</t>
        </is>
      </c>
      <c r="B803" s="1" t="n">
        <v>45401</v>
      </c>
      <c r="C803" s="1" t="n">
        <v>45645</v>
      </c>
      <c r="D803" t="inlineStr">
        <is>
          <t>NORRBOTTENS LÄN</t>
        </is>
      </c>
      <c r="E803" t="inlineStr">
        <is>
          <t>PAJALA</t>
        </is>
      </c>
      <c r="F803" t="inlineStr">
        <is>
          <t>Allmännings- och besparingsskogar</t>
        </is>
      </c>
      <c r="G803" t="n">
        <v>8.5</v>
      </c>
      <c r="H803" t="n">
        <v>0</v>
      </c>
      <c r="I803" t="n">
        <v>0</v>
      </c>
      <c r="J803" t="n">
        <v>0</v>
      </c>
      <c r="K803" t="n">
        <v>0</v>
      </c>
      <c r="L803" t="n">
        <v>0</v>
      </c>
      <c r="M803" t="n">
        <v>0</v>
      </c>
      <c r="N803" t="n">
        <v>0</v>
      </c>
      <c r="O803" t="n">
        <v>0</v>
      </c>
      <c r="P803" t="n">
        <v>0</v>
      </c>
      <c r="Q803" t="n">
        <v>0</v>
      </c>
      <c r="R803" s="2" t="inlineStr"/>
    </row>
    <row r="804" ht="15" customHeight="1">
      <c r="A804" t="inlineStr">
        <is>
          <t>A 15609-2024</t>
        </is>
      </c>
      <c r="B804" s="1" t="n">
        <v>45402</v>
      </c>
      <c r="C804" s="1" t="n">
        <v>45645</v>
      </c>
      <c r="D804" t="inlineStr">
        <is>
          <t>NORRBOTTENS LÄN</t>
        </is>
      </c>
      <c r="E804" t="inlineStr">
        <is>
          <t>PAJALA</t>
        </is>
      </c>
      <c r="G804" t="n">
        <v>17</v>
      </c>
      <c r="H804" t="n">
        <v>0</v>
      </c>
      <c r="I804" t="n">
        <v>0</v>
      </c>
      <c r="J804" t="n">
        <v>0</v>
      </c>
      <c r="K804" t="n">
        <v>0</v>
      </c>
      <c r="L804" t="n">
        <v>0</v>
      </c>
      <c r="M804" t="n">
        <v>0</v>
      </c>
      <c r="N804" t="n">
        <v>0</v>
      </c>
      <c r="O804" t="n">
        <v>0</v>
      </c>
      <c r="P804" t="n">
        <v>0</v>
      </c>
      <c r="Q804" t="n">
        <v>0</v>
      </c>
      <c r="R804" s="2" t="inlineStr"/>
    </row>
    <row r="805" ht="15" customHeight="1">
      <c r="A805" t="inlineStr">
        <is>
          <t>A 15738-2024</t>
        </is>
      </c>
      <c r="B805" s="1" t="n">
        <v>45404</v>
      </c>
      <c r="C805" s="1" t="n">
        <v>45645</v>
      </c>
      <c r="D805" t="inlineStr">
        <is>
          <t>NORRBOTTENS LÄN</t>
        </is>
      </c>
      <c r="E805" t="inlineStr">
        <is>
          <t>PAJALA</t>
        </is>
      </c>
      <c r="G805" t="n">
        <v>21.1</v>
      </c>
      <c r="H805" t="n">
        <v>0</v>
      </c>
      <c r="I805" t="n">
        <v>0</v>
      </c>
      <c r="J805" t="n">
        <v>0</v>
      </c>
      <c r="K805" t="n">
        <v>0</v>
      </c>
      <c r="L805" t="n">
        <v>0</v>
      </c>
      <c r="M805" t="n">
        <v>0</v>
      </c>
      <c r="N805" t="n">
        <v>0</v>
      </c>
      <c r="O805" t="n">
        <v>0</v>
      </c>
      <c r="P805" t="n">
        <v>0</v>
      </c>
      <c r="Q805" t="n">
        <v>0</v>
      </c>
      <c r="R805" s="2" t="inlineStr"/>
    </row>
    <row r="806" ht="15" customHeight="1">
      <c r="A806" t="inlineStr">
        <is>
          <t>A 16209-2024</t>
        </is>
      </c>
      <c r="B806" s="1" t="n">
        <v>45406</v>
      </c>
      <c r="C806" s="1" t="n">
        <v>45645</v>
      </c>
      <c r="D806" t="inlineStr">
        <is>
          <t>NORRBOTTENS LÄN</t>
        </is>
      </c>
      <c r="E806" t="inlineStr">
        <is>
          <t>PAJALA</t>
        </is>
      </c>
      <c r="G806" t="n">
        <v>6.5</v>
      </c>
      <c r="H806" t="n">
        <v>0</v>
      </c>
      <c r="I806" t="n">
        <v>0</v>
      </c>
      <c r="J806" t="n">
        <v>0</v>
      </c>
      <c r="K806" t="n">
        <v>0</v>
      </c>
      <c r="L806" t="n">
        <v>0</v>
      </c>
      <c r="M806" t="n">
        <v>0</v>
      </c>
      <c r="N806" t="n">
        <v>0</v>
      </c>
      <c r="O806" t="n">
        <v>0</v>
      </c>
      <c r="P806" t="n">
        <v>0</v>
      </c>
      <c r="Q806" t="n">
        <v>0</v>
      </c>
      <c r="R806" s="2" t="inlineStr"/>
    </row>
    <row r="807" ht="15" customHeight="1">
      <c r="A807" t="inlineStr">
        <is>
          <t>A 16208-2024</t>
        </is>
      </c>
      <c r="B807" s="1" t="n">
        <v>45406</v>
      </c>
      <c r="C807" s="1" t="n">
        <v>45645</v>
      </c>
      <c r="D807" t="inlineStr">
        <is>
          <t>NORRBOTTENS LÄN</t>
        </is>
      </c>
      <c r="E807" t="inlineStr">
        <is>
          <t>PAJALA</t>
        </is>
      </c>
      <c r="G807" t="n">
        <v>6.3</v>
      </c>
      <c r="H807" t="n">
        <v>0</v>
      </c>
      <c r="I807" t="n">
        <v>0</v>
      </c>
      <c r="J807" t="n">
        <v>0</v>
      </c>
      <c r="K807" t="n">
        <v>0</v>
      </c>
      <c r="L807" t="n">
        <v>0</v>
      </c>
      <c r="M807" t="n">
        <v>0</v>
      </c>
      <c r="N807" t="n">
        <v>0</v>
      </c>
      <c r="O807" t="n">
        <v>0</v>
      </c>
      <c r="P807" t="n">
        <v>0</v>
      </c>
      <c r="Q807" t="n">
        <v>0</v>
      </c>
      <c r="R807" s="2" t="inlineStr"/>
    </row>
    <row r="808" ht="15" customHeight="1">
      <c r="A808" t="inlineStr">
        <is>
          <t>A 16207-2024</t>
        </is>
      </c>
      <c r="B808" s="1" t="n">
        <v>45406</v>
      </c>
      <c r="C808" s="1" t="n">
        <v>45645</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16447-2024</t>
        </is>
      </c>
      <c r="B809" s="1" t="n">
        <v>45408</v>
      </c>
      <c r="C809" s="1" t="n">
        <v>45645</v>
      </c>
      <c r="D809" t="inlineStr">
        <is>
          <t>NORRBOTTENS LÄN</t>
        </is>
      </c>
      <c r="E809" t="inlineStr">
        <is>
          <t>PAJALA</t>
        </is>
      </c>
      <c r="G809" t="n">
        <v>1</v>
      </c>
      <c r="H809" t="n">
        <v>0</v>
      </c>
      <c r="I809" t="n">
        <v>0</v>
      </c>
      <c r="J809" t="n">
        <v>0</v>
      </c>
      <c r="K809" t="n">
        <v>0</v>
      </c>
      <c r="L809" t="n">
        <v>0</v>
      </c>
      <c r="M809" t="n">
        <v>0</v>
      </c>
      <c r="N809" t="n">
        <v>0</v>
      </c>
      <c r="O809" t="n">
        <v>0</v>
      </c>
      <c r="P809" t="n">
        <v>0</v>
      </c>
      <c r="Q809" t="n">
        <v>0</v>
      </c>
      <c r="R809" s="2" t="inlineStr"/>
    </row>
    <row r="810" ht="15" customHeight="1">
      <c r="A810" t="inlineStr">
        <is>
          <t>A 16449-2024</t>
        </is>
      </c>
      <c r="B810" s="1" t="n">
        <v>45408</v>
      </c>
      <c r="C810" s="1" t="n">
        <v>45645</v>
      </c>
      <c r="D810" t="inlineStr">
        <is>
          <t>NORRBOTTENS LÄN</t>
        </is>
      </c>
      <c r="E810" t="inlineStr">
        <is>
          <t>PAJALA</t>
        </is>
      </c>
      <c r="G810" t="n">
        <v>1.5</v>
      </c>
      <c r="H810" t="n">
        <v>0</v>
      </c>
      <c r="I810" t="n">
        <v>0</v>
      </c>
      <c r="J810" t="n">
        <v>0</v>
      </c>
      <c r="K810" t="n">
        <v>0</v>
      </c>
      <c r="L810" t="n">
        <v>0</v>
      </c>
      <c r="M810" t="n">
        <v>0</v>
      </c>
      <c r="N810" t="n">
        <v>0</v>
      </c>
      <c r="O810" t="n">
        <v>0</v>
      </c>
      <c r="P810" t="n">
        <v>0</v>
      </c>
      <c r="Q810" t="n">
        <v>0</v>
      </c>
      <c r="R810" s="2" t="inlineStr"/>
    </row>
    <row r="811" ht="15" customHeight="1">
      <c r="A811" t="inlineStr">
        <is>
          <t>A 16446-2024</t>
        </is>
      </c>
      <c r="B811" s="1" t="n">
        <v>45408</v>
      </c>
      <c r="C811" s="1" t="n">
        <v>45645</v>
      </c>
      <c r="D811" t="inlineStr">
        <is>
          <t>NORRBOTTENS LÄN</t>
        </is>
      </c>
      <c r="E811" t="inlineStr">
        <is>
          <t>PAJALA</t>
        </is>
      </c>
      <c r="G811" t="n">
        <v>3.2</v>
      </c>
      <c r="H811" t="n">
        <v>0</v>
      </c>
      <c r="I811" t="n">
        <v>0</v>
      </c>
      <c r="J811" t="n">
        <v>0</v>
      </c>
      <c r="K811" t="n">
        <v>0</v>
      </c>
      <c r="L811" t="n">
        <v>0</v>
      </c>
      <c r="M811" t="n">
        <v>0</v>
      </c>
      <c r="N811" t="n">
        <v>0</v>
      </c>
      <c r="O811" t="n">
        <v>0</v>
      </c>
      <c r="P811" t="n">
        <v>0</v>
      </c>
      <c r="Q811" t="n">
        <v>0</v>
      </c>
      <c r="R811" s="2" t="inlineStr"/>
    </row>
    <row r="812" ht="15" customHeight="1">
      <c r="A812" t="inlineStr">
        <is>
          <t>A 16450-2024</t>
        </is>
      </c>
      <c r="B812" s="1" t="n">
        <v>45408</v>
      </c>
      <c r="C812" s="1" t="n">
        <v>45645</v>
      </c>
      <c r="D812" t="inlineStr">
        <is>
          <t>NORRBOTTENS LÄN</t>
        </is>
      </c>
      <c r="E812" t="inlineStr">
        <is>
          <t>PAJALA</t>
        </is>
      </c>
      <c r="G812" t="n">
        <v>7.1</v>
      </c>
      <c r="H812" t="n">
        <v>0</v>
      </c>
      <c r="I812" t="n">
        <v>0</v>
      </c>
      <c r="J812" t="n">
        <v>0</v>
      </c>
      <c r="K812" t="n">
        <v>0</v>
      </c>
      <c r="L812" t="n">
        <v>0</v>
      </c>
      <c r="M812" t="n">
        <v>0</v>
      </c>
      <c r="N812" t="n">
        <v>0</v>
      </c>
      <c r="O812" t="n">
        <v>0</v>
      </c>
      <c r="P812" t="n">
        <v>0</v>
      </c>
      <c r="Q812" t="n">
        <v>0</v>
      </c>
      <c r="R812" s="2" t="inlineStr"/>
    </row>
    <row r="813" ht="15" customHeight="1">
      <c r="A813" t="inlineStr">
        <is>
          <t>A 16454-2024</t>
        </is>
      </c>
      <c r="B813" s="1" t="n">
        <v>45408</v>
      </c>
      <c r="C813" s="1" t="n">
        <v>45645</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16448-2024</t>
        </is>
      </c>
      <c r="B814" s="1" t="n">
        <v>45408</v>
      </c>
      <c r="C814" s="1" t="n">
        <v>45645</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16474-2024</t>
        </is>
      </c>
      <c r="B815" s="1" t="n">
        <v>45408</v>
      </c>
      <c r="C815" s="1" t="n">
        <v>45645</v>
      </c>
      <c r="D815" t="inlineStr">
        <is>
          <t>NORRBOTTENS LÄN</t>
        </is>
      </c>
      <c r="E815" t="inlineStr">
        <is>
          <t>PAJALA</t>
        </is>
      </c>
      <c r="F815" t="inlineStr">
        <is>
          <t>SCA</t>
        </is>
      </c>
      <c r="G815" t="n">
        <v>30.1</v>
      </c>
      <c r="H815" t="n">
        <v>0</v>
      </c>
      <c r="I815" t="n">
        <v>0</v>
      </c>
      <c r="J815" t="n">
        <v>0</v>
      </c>
      <c r="K815" t="n">
        <v>0</v>
      </c>
      <c r="L815" t="n">
        <v>0</v>
      </c>
      <c r="M815" t="n">
        <v>0</v>
      </c>
      <c r="N815" t="n">
        <v>0</v>
      </c>
      <c r="O815" t="n">
        <v>0</v>
      </c>
      <c r="P815" t="n">
        <v>0</v>
      </c>
      <c r="Q815" t="n">
        <v>0</v>
      </c>
      <c r="R815" s="2" t="inlineStr"/>
    </row>
    <row r="816" ht="15" customHeight="1">
      <c r="A816" t="inlineStr">
        <is>
          <t>A 17088-2024</t>
        </is>
      </c>
      <c r="B816" s="1" t="n">
        <v>45412</v>
      </c>
      <c r="C816" s="1" t="n">
        <v>45645</v>
      </c>
      <c r="D816" t="inlineStr">
        <is>
          <t>NORRBOTTENS LÄN</t>
        </is>
      </c>
      <c r="E816" t="inlineStr">
        <is>
          <t>PAJALA</t>
        </is>
      </c>
      <c r="F816" t="inlineStr">
        <is>
          <t>Allmännings- och besparingsskogar</t>
        </is>
      </c>
      <c r="G816" t="n">
        <v>27.7</v>
      </c>
      <c r="H816" t="n">
        <v>0</v>
      </c>
      <c r="I816" t="n">
        <v>0</v>
      </c>
      <c r="J816" t="n">
        <v>0</v>
      </c>
      <c r="K816" t="n">
        <v>0</v>
      </c>
      <c r="L816" t="n">
        <v>0</v>
      </c>
      <c r="M816" t="n">
        <v>0</v>
      </c>
      <c r="N816" t="n">
        <v>0</v>
      </c>
      <c r="O816" t="n">
        <v>0</v>
      </c>
      <c r="P816" t="n">
        <v>0</v>
      </c>
      <c r="Q816" t="n">
        <v>0</v>
      </c>
      <c r="R816" s="2" t="inlineStr"/>
    </row>
    <row r="817" ht="15" customHeight="1">
      <c r="A817" t="inlineStr">
        <is>
          <t>A 17565-2024</t>
        </is>
      </c>
      <c r="B817" s="1" t="n">
        <v>45415</v>
      </c>
      <c r="C817" s="1" t="n">
        <v>45645</v>
      </c>
      <c r="D817" t="inlineStr">
        <is>
          <t>NORRBOTTENS LÄN</t>
        </is>
      </c>
      <c r="E817" t="inlineStr">
        <is>
          <t>PAJALA</t>
        </is>
      </c>
      <c r="G817" t="n">
        <v>11.2</v>
      </c>
      <c r="H817" t="n">
        <v>0</v>
      </c>
      <c r="I817" t="n">
        <v>0</v>
      </c>
      <c r="J817" t="n">
        <v>0</v>
      </c>
      <c r="K817" t="n">
        <v>0</v>
      </c>
      <c r="L817" t="n">
        <v>0</v>
      </c>
      <c r="M817" t="n">
        <v>0</v>
      </c>
      <c r="N817" t="n">
        <v>0</v>
      </c>
      <c r="O817" t="n">
        <v>0</v>
      </c>
      <c r="P817" t="n">
        <v>0</v>
      </c>
      <c r="Q817" t="n">
        <v>0</v>
      </c>
      <c r="R817" s="2" t="inlineStr"/>
    </row>
    <row r="818" ht="15" customHeight="1">
      <c r="A818" t="inlineStr">
        <is>
          <t>A 17608-2024</t>
        </is>
      </c>
      <c r="B818" s="1" t="n">
        <v>45416</v>
      </c>
      <c r="C818" s="1" t="n">
        <v>45645</v>
      </c>
      <c r="D818" t="inlineStr">
        <is>
          <t>NORRBOTTENS LÄN</t>
        </is>
      </c>
      <c r="E818" t="inlineStr">
        <is>
          <t>PAJALA</t>
        </is>
      </c>
      <c r="G818" t="n">
        <v>3.8</v>
      </c>
      <c r="H818" t="n">
        <v>0</v>
      </c>
      <c r="I818" t="n">
        <v>0</v>
      </c>
      <c r="J818" t="n">
        <v>0</v>
      </c>
      <c r="K818" t="n">
        <v>0</v>
      </c>
      <c r="L818" t="n">
        <v>0</v>
      </c>
      <c r="M818" t="n">
        <v>0</v>
      </c>
      <c r="N818" t="n">
        <v>0</v>
      </c>
      <c r="O818" t="n">
        <v>0</v>
      </c>
      <c r="P818" t="n">
        <v>0</v>
      </c>
      <c r="Q818" t="n">
        <v>0</v>
      </c>
      <c r="R818" s="2" t="inlineStr"/>
    </row>
    <row r="819" ht="15" customHeight="1">
      <c r="A819" t="inlineStr">
        <is>
          <t>A 17607-2024</t>
        </is>
      </c>
      <c r="B819" s="1" t="n">
        <v>45416</v>
      </c>
      <c r="C819" s="1" t="n">
        <v>45645</v>
      </c>
      <c r="D819" t="inlineStr">
        <is>
          <t>NORRBOTTENS LÄN</t>
        </is>
      </c>
      <c r="E819" t="inlineStr">
        <is>
          <t>PAJALA</t>
        </is>
      </c>
      <c r="G819" t="n">
        <v>5</v>
      </c>
      <c r="H819" t="n">
        <v>0</v>
      </c>
      <c r="I819" t="n">
        <v>0</v>
      </c>
      <c r="J819" t="n">
        <v>0</v>
      </c>
      <c r="K819" t="n">
        <v>0</v>
      </c>
      <c r="L819" t="n">
        <v>0</v>
      </c>
      <c r="M819" t="n">
        <v>0</v>
      </c>
      <c r="N819" t="n">
        <v>0</v>
      </c>
      <c r="O819" t="n">
        <v>0</v>
      </c>
      <c r="P819" t="n">
        <v>0</v>
      </c>
      <c r="Q819" t="n">
        <v>0</v>
      </c>
      <c r="R819" s="2" t="inlineStr"/>
    </row>
    <row r="820" ht="15" customHeight="1">
      <c r="A820" t="inlineStr">
        <is>
          <t>A 17799-2024</t>
        </is>
      </c>
      <c r="B820" s="1" t="n">
        <v>45418</v>
      </c>
      <c r="C820" s="1" t="n">
        <v>45645</v>
      </c>
      <c r="D820" t="inlineStr">
        <is>
          <t>NORRBOTTENS LÄN</t>
        </is>
      </c>
      <c r="E820" t="inlineStr">
        <is>
          <t>PAJALA</t>
        </is>
      </c>
      <c r="G820" t="n">
        <v>11.5</v>
      </c>
      <c r="H820" t="n">
        <v>0</v>
      </c>
      <c r="I820" t="n">
        <v>0</v>
      </c>
      <c r="J820" t="n">
        <v>0</v>
      </c>
      <c r="K820" t="n">
        <v>0</v>
      </c>
      <c r="L820" t="n">
        <v>0</v>
      </c>
      <c r="M820" t="n">
        <v>0</v>
      </c>
      <c r="N820" t="n">
        <v>0</v>
      </c>
      <c r="O820" t="n">
        <v>0</v>
      </c>
      <c r="P820" t="n">
        <v>0</v>
      </c>
      <c r="Q820" t="n">
        <v>0</v>
      </c>
      <c r="R820" s="2" t="inlineStr"/>
    </row>
    <row r="821" ht="15" customHeight="1">
      <c r="A821" t="inlineStr">
        <is>
          <t>A 17803-2024</t>
        </is>
      </c>
      <c r="B821" s="1" t="n">
        <v>45418</v>
      </c>
      <c r="C821" s="1" t="n">
        <v>45645</v>
      </c>
      <c r="D821" t="inlineStr">
        <is>
          <t>NORRBOTTENS LÄN</t>
        </is>
      </c>
      <c r="E821" t="inlineStr">
        <is>
          <t>PAJALA</t>
        </is>
      </c>
      <c r="G821" t="n">
        <v>2.1</v>
      </c>
      <c r="H821" t="n">
        <v>0</v>
      </c>
      <c r="I821" t="n">
        <v>0</v>
      </c>
      <c r="J821" t="n">
        <v>0</v>
      </c>
      <c r="K821" t="n">
        <v>0</v>
      </c>
      <c r="L821" t="n">
        <v>0</v>
      </c>
      <c r="M821" t="n">
        <v>0</v>
      </c>
      <c r="N821" t="n">
        <v>0</v>
      </c>
      <c r="O821" t="n">
        <v>0</v>
      </c>
      <c r="P821" t="n">
        <v>0</v>
      </c>
      <c r="Q821" t="n">
        <v>0</v>
      </c>
      <c r="R821" s="2" t="inlineStr"/>
    </row>
    <row r="822" ht="15" customHeight="1">
      <c r="A822" t="inlineStr">
        <is>
          <t>A 17801-2024</t>
        </is>
      </c>
      <c r="B822" s="1" t="n">
        <v>45418</v>
      </c>
      <c r="C822" s="1" t="n">
        <v>45645</v>
      </c>
      <c r="D822" t="inlineStr">
        <is>
          <t>NORRBOTTENS LÄN</t>
        </is>
      </c>
      <c r="E822" t="inlineStr">
        <is>
          <t>PAJALA</t>
        </is>
      </c>
      <c r="G822" t="n">
        <v>1.1</v>
      </c>
      <c r="H822" t="n">
        <v>0</v>
      </c>
      <c r="I822" t="n">
        <v>0</v>
      </c>
      <c r="J822" t="n">
        <v>0</v>
      </c>
      <c r="K822" t="n">
        <v>0</v>
      </c>
      <c r="L822" t="n">
        <v>0</v>
      </c>
      <c r="M822" t="n">
        <v>0</v>
      </c>
      <c r="N822" t="n">
        <v>0</v>
      </c>
      <c r="O822" t="n">
        <v>0</v>
      </c>
      <c r="P822" t="n">
        <v>0</v>
      </c>
      <c r="Q822" t="n">
        <v>0</v>
      </c>
      <c r="R822" s="2" t="inlineStr"/>
    </row>
    <row r="823" ht="15" customHeight="1">
      <c r="A823" t="inlineStr">
        <is>
          <t>A 17805-2024</t>
        </is>
      </c>
      <c r="B823" s="1" t="n">
        <v>45418</v>
      </c>
      <c r="C823" s="1" t="n">
        <v>45645</v>
      </c>
      <c r="D823" t="inlineStr">
        <is>
          <t>NORRBOTTENS LÄN</t>
        </is>
      </c>
      <c r="E823" t="inlineStr">
        <is>
          <t>PAJALA</t>
        </is>
      </c>
      <c r="G823" t="n">
        <v>2.3</v>
      </c>
      <c r="H823" t="n">
        <v>0</v>
      </c>
      <c r="I823" t="n">
        <v>0</v>
      </c>
      <c r="J823" t="n">
        <v>0</v>
      </c>
      <c r="K823" t="n">
        <v>0</v>
      </c>
      <c r="L823" t="n">
        <v>0</v>
      </c>
      <c r="M823" t="n">
        <v>0</v>
      </c>
      <c r="N823" t="n">
        <v>0</v>
      </c>
      <c r="O823" t="n">
        <v>0</v>
      </c>
      <c r="P823" t="n">
        <v>0</v>
      </c>
      <c r="Q823" t="n">
        <v>0</v>
      </c>
      <c r="R823" s="2" t="inlineStr"/>
    </row>
    <row r="824" ht="15" customHeight="1">
      <c r="A824" t="inlineStr">
        <is>
          <t>A 17813-2024</t>
        </is>
      </c>
      <c r="B824" s="1" t="n">
        <v>45418</v>
      </c>
      <c r="C824" s="1" t="n">
        <v>45645</v>
      </c>
      <c r="D824" t="inlineStr">
        <is>
          <t>NORRBOTTENS LÄN</t>
        </is>
      </c>
      <c r="E824" t="inlineStr">
        <is>
          <t>PAJALA</t>
        </is>
      </c>
      <c r="G824" t="n">
        <v>7.5</v>
      </c>
      <c r="H824" t="n">
        <v>0</v>
      </c>
      <c r="I824" t="n">
        <v>0</v>
      </c>
      <c r="J824" t="n">
        <v>0</v>
      </c>
      <c r="K824" t="n">
        <v>0</v>
      </c>
      <c r="L824" t="n">
        <v>0</v>
      </c>
      <c r="M824" t="n">
        <v>0</v>
      </c>
      <c r="N824" t="n">
        <v>0</v>
      </c>
      <c r="O824" t="n">
        <v>0</v>
      </c>
      <c r="P824" t="n">
        <v>0</v>
      </c>
      <c r="Q824" t="n">
        <v>0</v>
      </c>
      <c r="R824" s="2" t="inlineStr"/>
    </row>
    <row r="825" ht="15" customHeight="1">
      <c r="A825" t="inlineStr">
        <is>
          <t>A 17806-2024</t>
        </is>
      </c>
      <c r="B825" s="1" t="n">
        <v>45419</v>
      </c>
      <c r="C825" s="1" t="n">
        <v>45645</v>
      </c>
      <c r="D825" t="inlineStr">
        <is>
          <t>NORRBOTTENS LÄN</t>
        </is>
      </c>
      <c r="E825" t="inlineStr">
        <is>
          <t>PAJALA</t>
        </is>
      </c>
      <c r="G825" t="n">
        <v>0.2</v>
      </c>
      <c r="H825" t="n">
        <v>0</v>
      </c>
      <c r="I825" t="n">
        <v>0</v>
      </c>
      <c r="J825" t="n">
        <v>0</v>
      </c>
      <c r="K825" t="n">
        <v>0</v>
      </c>
      <c r="L825" t="n">
        <v>0</v>
      </c>
      <c r="M825" t="n">
        <v>0</v>
      </c>
      <c r="N825" t="n">
        <v>0</v>
      </c>
      <c r="O825" t="n">
        <v>0</v>
      </c>
      <c r="P825" t="n">
        <v>0</v>
      </c>
      <c r="Q825" t="n">
        <v>0</v>
      </c>
      <c r="R825" s="2" t="inlineStr"/>
    </row>
    <row r="826" ht="15" customHeight="1">
      <c r="A826" t="inlineStr">
        <is>
          <t>A 17814-2024</t>
        </is>
      </c>
      <c r="B826" s="1" t="n">
        <v>45418</v>
      </c>
      <c r="C826" s="1" t="n">
        <v>45645</v>
      </c>
      <c r="D826" t="inlineStr">
        <is>
          <t>NORRBOTTENS LÄN</t>
        </is>
      </c>
      <c r="E826" t="inlineStr">
        <is>
          <t>PAJALA</t>
        </is>
      </c>
      <c r="G826" t="n">
        <v>7.1</v>
      </c>
      <c r="H826" t="n">
        <v>0</v>
      </c>
      <c r="I826" t="n">
        <v>0</v>
      </c>
      <c r="J826" t="n">
        <v>0</v>
      </c>
      <c r="K826" t="n">
        <v>0</v>
      </c>
      <c r="L826" t="n">
        <v>0</v>
      </c>
      <c r="M826" t="n">
        <v>0</v>
      </c>
      <c r="N826" t="n">
        <v>0</v>
      </c>
      <c r="O826" t="n">
        <v>0</v>
      </c>
      <c r="P826" t="n">
        <v>0</v>
      </c>
      <c r="Q826" t="n">
        <v>0</v>
      </c>
      <c r="R826" s="2" t="inlineStr"/>
    </row>
    <row r="827" ht="15" customHeight="1">
      <c r="A827" t="inlineStr">
        <is>
          <t>A 18351-2024</t>
        </is>
      </c>
      <c r="B827" s="1" t="n">
        <v>45422</v>
      </c>
      <c r="C827" s="1" t="n">
        <v>45645</v>
      </c>
      <c r="D827" t="inlineStr">
        <is>
          <t>NORRBOTTENS LÄN</t>
        </is>
      </c>
      <c r="E827" t="inlineStr">
        <is>
          <t>PAJALA</t>
        </is>
      </c>
      <c r="F827" t="inlineStr">
        <is>
          <t>Sveaskog</t>
        </is>
      </c>
      <c r="G827" t="n">
        <v>25.9</v>
      </c>
      <c r="H827" t="n">
        <v>0</v>
      </c>
      <c r="I827" t="n">
        <v>0</v>
      </c>
      <c r="J827" t="n">
        <v>0</v>
      </c>
      <c r="K827" t="n">
        <v>0</v>
      </c>
      <c r="L827" t="n">
        <v>0</v>
      </c>
      <c r="M827" t="n">
        <v>0</v>
      </c>
      <c r="N827" t="n">
        <v>0</v>
      </c>
      <c r="O827" t="n">
        <v>0</v>
      </c>
      <c r="P827" t="n">
        <v>0</v>
      </c>
      <c r="Q827" t="n">
        <v>0</v>
      </c>
      <c r="R827" s="2" t="inlineStr"/>
    </row>
    <row r="828" ht="15" customHeight="1">
      <c r="A828" t="inlineStr">
        <is>
          <t>A 19046-2024</t>
        </is>
      </c>
      <c r="B828" s="1" t="n">
        <v>45427</v>
      </c>
      <c r="C828" s="1" t="n">
        <v>45645</v>
      </c>
      <c r="D828" t="inlineStr">
        <is>
          <t>NORRBOTTENS LÄN</t>
        </is>
      </c>
      <c r="E828" t="inlineStr">
        <is>
          <t>PAJALA</t>
        </is>
      </c>
      <c r="G828" t="n">
        <v>2.9</v>
      </c>
      <c r="H828" t="n">
        <v>0</v>
      </c>
      <c r="I828" t="n">
        <v>0</v>
      </c>
      <c r="J828" t="n">
        <v>0</v>
      </c>
      <c r="K828" t="n">
        <v>0</v>
      </c>
      <c r="L828" t="n">
        <v>0</v>
      </c>
      <c r="M828" t="n">
        <v>0</v>
      </c>
      <c r="N828" t="n">
        <v>0</v>
      </c>
      <c r="O828" t="n">
        <v>0</v>
      </c>
      <c r="P828" t="n">
        <v>0</v>
      </c>
      <c r="Q828" t="n">
        <v>0</v>
      </c>
      <c r="R828" s="2" t="inlineStr"/>
    </row>
    <row r="829" ht="15" customHeight="1">
      <c r="A829" t="inlineStr">
        <is>
          <t>A 18918-2024</t>
        </is>
      </c>
      <c r="B829" s="1" t="n">
        <v>45427</v>
      </c>
      <c r="C829" s="1" t="n">
        <v>45645</v>
      </c>
      <c r="D829" t="inlineStr">
        <is>
          <t>NORRBOTTENS LÄN</t>
        </is>
      </c>
      <c r="E829" t="inlineStr">
        <is>
          <t>PAJALA</t>
        </is>
      </c>
      <c r="G829" t="n">
        <v>7</v>
      </c>
      <c r="H829" t="n">
        <v>0</v>
      </c>
      <c r="I829" t="n">
        <v>0</v>
      </c>
      <c r="J829" t="n">
        <v>0</v>
      </c>
      <c r="K829" t="n">
        <v>0</v>
      </c>
      <c r="L829" t="n">
        <v>0</v>
      </c>
      <c r="M829" t="n">
        <v>0</v>
      </c>
      <c r="N829" t="n">
        <v>0</v>
      </c>
      <c r="O829" t="n">
        <v>0</v>
      </c>
      <c r="P829" t="n">
        <v>0</v>
      </c>
      <c r="Q829" t="n">
        <v>0</v>
      </c>
      <c r="R829" s="2" t="inlineStr"/>
    </row>
    <row r="830" ht="15" customHeight="1">
      <c r="A830" t="inlineStr">
        <is>
          <t>A 19047-2024</t>
        </is>
      </c>
      <c r="B830" s="1" t="n">
        <v>45427</v>
      </c>
      <c r="C830" s="1" t="n">
        <v>45645</v>
      </c>
      <c r="D830" t="inlineStr">
        <is>
          <t>NORRBOTTENS LÄN</t>
        </is>
      </c>
      <c r="E830" t="inlineStr">
        <is>
          <t>PAJALA</t>
        </is>
      </c>
      <c r="G830" t="n">
        <v>9.4</v>
      </c>
      <c r="H830" t="n">
        <v>0</v>
      </c>
      <c r="I830" t="n">
        <v>0</v>
      </c>
      <c r="J830" t="n">
        <v>0</v>
      </c>
      <c r="K830" t="n">
        <v>0</v>
      </c>
      <c r="L830" t="n">
        <v>0</v>
      </c>
      <c r="M830" t="n">
        <v>0</v>
      </c>
      <c r="N830" t="n">
        <v>0</v>
      </c>
      <c r="O830" t="n">
        <v>0</v>
      </c>
      <c r="P830" t="n">
        <v>0</v>
      </c>
      <c r="Q830" t="n">
        <v>0</v>
      </c>
      <c r="R830" s="2" t="inlineStr"/>
    </row>
    <row r="831" ht="15" customHeight="1">
      <c r="A831" t="inlineStr">
        <is>
          <t>A 19045-2024</t>
        </is>
      </c>
      <c r="B831" s="1" t="n">
        <v>45427</v>
      </c>
      <c r="C831" s="1" t="n">
        <v>45645</v>
      </c>
      <c r="D831" t="inlineStr">
        <is>
          <t>NORRBOTTENS LÄN</t>
        </is>
      </c>
      <c r="E831" t="inlineStr">
        <is>
          <t>PAJALA</t>
        </is>
      </c>
      <c r="G831" t="n">
        <v>4.2</v>
      </c>
      <c r="H831" t="n">
        <v>0</v>
      </c>
      <c r="I831" t="n">
        <v>0</v>
      </c>
      <c r="J831" t="n">
        <v>0</v>
      </c>
      <c r="K831" t="n">
        <v>0</v>
      </c>
      <c r="L831" t="n">
        <v>0</v>
      </c>
      <c r="M831" t="n">
        <v>0</v>
      </c>
      <c r="N831" t="n">
        <v>0</v>
      </c>
      <c r="O831" t="n">
        <v>0</v>
      </c>
      <c r="P831" t="n">
        <v>0</v>
      </c>
      <c r="Q831" t="n">
        <v>0</v>
      </c>
      <c r="R831" s="2" t="inlineStr"/>
    </row>
    <row r="832" ht="15" customHeight="1">
      <c r="A832" t="inlineStr">
        <is>
          <t>A 19250-2024</t>
        </is>
      </c>
      <c r="B832" s="1" t="n">
        <v>45428</v>
      </c>
      <c r="C832" s="1" t="n">
        <v>45645</v>
      </c>
      <c r="D832" t="inlineStr">
        <is>
          <t>NORRBOTTENS LÄN</t>
        </is>
      </c>
      <c r="E832" t="inlineStr">
        <is>
          <t>PAJALA</t>
        </is>
      </c>
      <c r="G832" t="n">
        <v>4.1</v>
      </c>
      <c r="H832" t="n">
        <v>0</v>
      </c>
      <c r="I832" t="n">
        <v>0</v>
      </c>
      <c r="J832" t="n">
        <v>0</v>
      </c>
      <c r="K832" t="n">
        <v>0</v>
      </c>
      <c r="L832" t="n">
        <v>0</v>
      </c>
      <c r="M832" t="n">
        <v>0</v>
      </c>
      <c r="N832" t="n">
        <v>0</v>
      </c>
      <c r="O832" t="n">
        <v>0</v>
      </c>
      <c r="P832" t="n">
        <v>0</v>
      </c>
      <c r="Q832" t="n">
        <v>0</v>
      </c>
      <c r="R832" s="2" t="inlineStr"/>
    </row>
    <row r="833" ht="15" customHeight="1">
      <c r="A833" t="inlineStr">
        <is>
          <t>A 20239-2024</t>
        </is>
      </c>
      <c r="B833" s="1" t="n">
        <v>45434</v>
      </c>
      <c r="C833" s="1" t="n">
        <v>45645</v>
      </c>
      <c r="D833" t="inlineStr">
        <is>
          <t>NORRBOTTENS LÄN</t>
        </is>
      </c>
      <c r="E833" t="inlineStr">
        <is>
          <t>PAJALA</t>
        </is>
      </c>
      <c r="G833" t="n">
        <v>1.7</v>
      </c>
      <c r="H833" t="n">
        <v>0</v>
      </c>
      <c r="I833" t="n">
        <v>0</v>
      </c>
      <c r="J833" t="n">
        <v>0</v>
      </c>
      <c r="K833" t="n">
        <v>0</v>
      </c>
      <c r="L833" t="n">
        <v>0</v>
      </c>
      <c r="M833" t="n">
        <v>0</v>
      </c>
      <c r="N833" t="n">
        <v>0</v>
      </c>
      <c r="O833" t="n">
        <v>0</v>
      </c>
      <c r="P833" t="n">
        <v>0</v>
      </c>
      <c r="Q833" t="n">
        <v>0</v>
      </c>
      <c r="R833" s="2" t="inlineStr"/>
    </row>
    <row r="834" ht="15" customHeight="1">
      <c r="A834" t="inlineStr">
        <is>
          <t>A 20360-2024</t>
        </is>
      </c>
      <c r="B834" s="1" t="n">
        <v>45435</v>
      </c>
      <c r="C834" s="1" t="n">
        <v>45645</v>
      </c>
      <c r="D834" t="inlineStr">
        <is>
          <t>NORRBOTTENS LÄN</t>
        </is>
      </c>
      <c r="E834" t="inlineStr">
        <is>
          <t>PAJALA</t>
        </is>
      </c>
      <c r="F834" t="inlineStr">
        <is>
          <t>Allmännings- och besparingsskogar</t>
        </is>
      </c>
      <c r="G834" t="n">
        <v>4</v>
      </c>
      <c r="H834" t="n">
        <v>0</v>
      </c>
      <c r="I834" t="n">
        <v>0</v>
      </c>
      <c r="J834" t="n">
        <v>0</v>
      </c>
      <c r="K834" t="n">
        <v>0</v>
      </c>
      <c r="L834" t="n">
        <v>0</v>
      </c>
      <c r="M834" t="n">
        <v>0</v>
      </c>
      <c r="N834" t="n">
        <v>0</v>
      </c>
      <c r="O834" t="n">
        <v>0</v>
      </c>
      <c r="P834" t="n">
        <v>0</v>
      </c>
      <c r="Q834" t="n">
        <v>0</v>
      </c>
      <c r="R834" s="2" t="inlineStr"/>
    </row>
    <row r="835" ht="15" customHeight="1">
      <c r="A835" t="inlineStr">
        <is>
          <t>A 20813-2024</t>
        </is>
      </c>
      <c r="B835" s="1" t="n">
        <v>45439</v>
      </c>
      <c r="C835" s="1" t="n">
        <v>45645</v>
      </c>
      <c r="D835" t="inlineStr">
        <is>
          <t>NORRBOTTENS LÄN</t>
        </is>
      </c>
      <c r="E835" t="inlineStr">
        <is>
          <t>PAJALA</t>
        </is>
      </c>
      <c r="G835" t="n">
        <v>8.9</v>
      </c>
      <c r="H835" t="n">
        <v>0</v>
      </c>
      <c r="I835" t="n">
        <v>0</v>
      </c>
      <c r="J835" t="n">
        <v>0</v>
      </c>
      <c r="K835" t="n">
        <v>0</v>
      </c>
      <c r="L835" t="n">
        <v>0</v>
      </c>
      <c r="M835" t="n">
        <v>0</v>
      </c>
      <c r="N835" t="n">
        <v>0</v>
      </c>
      <c r="O835" t="n">
        <v>0</v>
      </c>
      <c r="P835" t="n">
        <v>0</v>
      </c>
      <c r="Q835" t="n">
        <v>0</v>
      </c>
      <c r="R835" s="2" t="inlineStr"/>
    </row>
    <row r="836" ht="15" customHeight="1">
      <c r="A836" t="inlineStr">
        <is>
          <t>A 21172-2024</t>
        </is>
      </c>
      <c r="B836" s="1" t="n">
        <v>45440</v>
      </c>
      <c r="C836" s="1" t="n">
        <v>45645</v>
      </c>
      <c r="D836" t="inlineStr">
        <is>
          <t>NORRBOTTENS LÄN</t>
        </is>
      </c>
      <c r="E836" t="inlineStr">
        <is>
          <t>PAJALA</t>
        </is>
      </c>
      <c r="G836" t="n">
        <v>6.5</v>
      </c>
      <c r="H836" t="n">
        <v>0</v>
      </c>
      <c r="I836" t="n">
        <v>0</v>
      </c>
      <c r="J836" t="n">
        <v>0</v>
      </c>
      <c r="K836" t="n">
        <v>0</v>
      </c>
      <c r="L836" t="n">
        <v>0</v>
      </c>
      <c r="M836" t="n">
        <v>0</v>
      </c>
      <c r="N836" t="n">
        <v>0</v>
      </c>
      <c r="O836" t="n">
        <v>0</v>
      </c>
      <c r="P836" t="n">
        <v>0</v>
      </c>
      <c r="Q836" t="n">
        <v>0</v>
      </c>
      <c r="R836" s="2" t="inlineStr"/>
    </row>
    <row r="837" ht="15" customHeight="1">
      <c r="A837" t="inlineStr">
        <is>
          <t>A 21250-2024</t>
        </is>
      </c>
      <c r="B837" s="1" t="n">
        <v>45440</v>
      </c>
      <c r="C837" s="1" t="n">
        <v>45645</v>
      </c>
      <c r="D837" t="inlineStr">
        <is>
          <t>NORRBOTTENS LÄN</t>
        </is>
      </c>
      <c r="E837" t="inlineStr">
        <is>
          <t>PAJALA</t>
        </is>
      </c>
      <c r="G837" t="n">
        <v>0.4</v>
      </c>
      <c r="H837" t="n">
        <v>0</v>
      </c>
      <c r="I837" t="n">
        <v>0</v>
      </c>
      <c r="J837" t="n">
        <v>0</v>
      </c>
      <c r="K837" t="n">
        <v>0</v>
      </c>
      <c r="L837" t="n">
        <v>0</v>
      </c>
      <c r="M837" t="n">
        <v>0</v>
      </c>
      <c r="N837" t="n">
        <v>0</v>
      </c>
      <c r="O837" t="n">
        <v>0</v>
      </c>
      <c r="P837" t="n">
        <v>0</v>
      </c>
      <c r="Q837" t="n">
        <v>0</v>
      </c>
      <c r="R837" s="2" t="inlineStr"/>
    </row>
    <row r="838" ht="15" customHeight="1">
      <c r="A838" t="inlineStr">
        <is>
          <t>A 22046-2024</t>
        </is>
      </c>
      <c r="B838" s="1" t="n">
        <v>45443</v>
      </c>
      <c r="C838" s="1" t="n">
        <v>45645</v>
      </c>
      <c r="D838" t="inlineStr">
        <is>
          <t>NORRBOTTENS LÄN</t>
        </is>
      </c>
      <c r="E838" t="inlineStr">
        <is>
          <t>PAJALA</t>
        </is>
      </c>
      <c r="F838" t="inlineStr">
        <is>
          <t>Sveaskog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22039-2024</t>
        </is>
      </c>
      <c r="B839" s="1" t="n">
        <v>45443</v>
      </c>
      <c r="C839" s="1" t="n">
        <v>45645</v>
      </c>
      <c r="D839" t="inlineStr">
        <is>
          <t>NORRBOTTENS LÄN</t>
        </is>
      </c>
      <c r="E839" t="inlineStr">
        <is>
          <t>PAJALA</t>
        </is>
      </c>
      <c r="F839" t="inlineStr">
        <is>
          <t>Sveaskog</t>
        </is>
      </c>
      <c r="G839" t="n">
        <v>3</v>
      </c>
      <c r="H839" t="n">
        <v>0</v>
      </c>
      <c r="I839" t="n">
        <v>0</v>
      </c>
      <c r="J839" t="n">
        <v>0</v>
      </c>
      <c r="K839" t="n">
        <v>0</v>
      </c>
      <c r="L839" t="n">
        <v>0</v>
      </c>
      <c r="M839" t="n">
        <v>0</v>
      </c>
      <c r="N839" t="n">
        <v>0</v>
      </c>
      <c r="O839" t="n">
        <v>0</v>
      </c>
      <c r="P839" t="n">
        <v>0</v>
      </c>
      <c r="Q839" t="n">
        <v>0</v>
      </c>
      <c r="R839" s="2" t="inlineStr"/>
    </row>
    <row r="840" ht="15" customHeight="1">
      <c r="A840" t="inlineStr">
        <is>
          <t>A 22043-2024</t>
        </is>
      </c>
      <c r="B840" s="1" t="n">
        <v>45443</v>
      </c>
      <c r="C840" s="1" t="n">
        <v>45645</v>
      </c>
      <c r="D840" t="inlineStr">
        <is>
          <t>NORRBOTTENS LÄN</t>
        </is>
      </c>
      <c r="E840" t="inlineStr">
        <is>
          <t>PAJALA</t>
        </is>
      </c>
      <c r="F840" t="inlineStr">
        <is>
          <t>Sveaskog</t>
        </is>
      </c>
      <c r="G840" t="n">
        <v>9.1</v>
      </c>
      <c r="H840" t="n">
        <v>0</v>
      </c>
      <c r="I840" t="n">
        <v>0</v>
      </c>
      <c r="J840" t="n">
        <v>0</v>
      </c>
      <c r="K840" t="n">
        <v>0</v>
      </c>
      <c r="L840" t="n">
        <v>0</v>
      </c>
      <c r="M840" t="n">
        <v>0</v>
      </c>
      <c r="N840" t="n">
        <v>0</v>
      </c>
      <c r="O840" t="n">
        <v>0</v>
      </c>
      <c r="P840" t="n">
        <v>0</v>
      </c>
      <c r="Q840" t="n">
        <v>0</v>
      </c>
      <c r="R840" s="2" t="inlineStr"/>
    </row>
    <row r="841" ht="15" customHeight="1">
      <c r="A841" t="inlineStr">
        <is>
          <t>A 21945-2024</t>
        </is>
      </c>
      <c r="B841" s="1" t="n">
        <v>45443</v>
      </c>
      <c r="C841" s="1" t="n">
        <v>45645</v>
      </c>
      <c r="D841" t="inlineStr">
        <is>
          <t>NORRBOTTENS LÄN</t>
        </is>
      </c>
      <c r="E841" t="inlineStr">
        <is>
          <t>PAJALA</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22098-2024</t>
        </is>
      </c>
      <c r="B842" s="1" t="n">
        <v>45444</v>
      </c>
      <c r="C842" s="1" t="n">
        <v>45645</v>
      </c>
      <c r="D842" t="inlineStr">
        <is>
          <t>NORRBOTTENS LÄN</t>
        </is>
      </c>
      <c r="E842" t="inlineStr">
        <is>
          <t>PAJALA</t>
        </is>
      </c>
      <c r="G842" t="n">
        <v>3.3</v>
      </c>
      <c r="H842" t="n">
        <v>0</v>
      </c>
      <c r="I842" t="n">
        <v>0</v>
      </c>
      <c r="J842" t="n">
        <v>0</v>
      </c>
      <c r="K842" t="n">
        <v>0</v>
      </c>
      <c r="L842" t="n">
        <v>0</v>
      </c>
      <c r="M842" t="n">
        <v>0</v>
      </c>
      <c r="N842" t="n">
        <v>0</v>
      </c>
      <c r="O842" t="n">
        <v>0</v>
      </c>
      <c r="P842" t="n">
        <v>0</v>
      </c>
      <c r="Q842" t="n">
        <v>0</v>
      </c>
      <c r="R842" s="2" t="inlineStr"/>
    </row>
    <row r="843" ht="15" customHeight="1">
      <c r="A843" t="inlineStr">
        <is>
          <t>A 22042-2024</t>
        </is>
      </c>
      <c r="B843" s="1" t="n">
        <v>45443</v>
      </c>
      <c r="C843" s="1" t="n">
        <v>45645</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22097-2024</t>
        </is>
      </c>
      <c r="B844" s="1" t="n">
        <v>45444</v>
      </c>
      <c r="C844" s="1" t="n">
        <v>45645</v>
      </c>
      <c r="D844" t="inlineStr">
        <is>
          <t>NORRBOTTENS LÄN</t>
        </is>
      </c>
      <c r="E844" t="inlineStr">
        <is>
          <t>PAJALA</t>
        </is>
      </c>
      <c r="G844" t="n">
        <v>1.5</v>
      </c>
      <c r="H844" t="n">
        <v>0</v>
      </c>
      <c r="I844" t="n">
        <v>0</v>
      </c>
      <c r="J844" t="n">
        <v>0</v>
      </c>
      <c r="K844" t="n">
        <v>0</v>
      </c>
      <c r="L844" t="n">
        <v>0</v>
      </c>
      <c r="M844" t="n">
        <v>0</v>
      </c>
      <c r="N844" t="n">
        <v>0</v>
      </c>
      <c r="O844" t="n">
        <v>0</v>
      </c>
      <c r="P844" t="n">
        <v>0</v>
      </c>
      <c r="Q844" t="n">
        <v>0</v>
      </c>
      <c r="R844" s="2" t="inlineStr"/>
    </row>
    <row r="845" ht="15" customHeight="1">
      <c r="A845" t="inlineStr">
        <is>
          <t>A 22054-2024</t>
        </is>
      </c>
      <c r="B845" s="1" t="n">
        <v>45443</v>
      </c>
      <c r="C845" s="1" t="n">
        <v>45645</v>
      </c>
      <c r="D845" t="inlineStr">
        <is>
          <t>NORRBOTTENS LÄN</t>
        </is>
      </c>
      <c r="E845" t="inlineStr">
        <is>
          <t>PAJALA</t>
        </is>
      </c>
      <c r="G845" t="n">
        <v>6.8</v>
      </c>
      <c r="H845" t="n">
        <v>0</v>
      </c>
      <c r="I845" t="n">
        <v>0</v>
      </c>
      <c r="J845" t="n">
        <v>0</v>
      </c>
      <c r="K845" t="n">
        <v>0</v>
      </c>
      <c r="L845" t="n">
        <v>0</v>
      </c>
      <c r="M845" t="n">
        <v>0</v>
      </c>
      <c r="N845" t="n">
        <v>0</v>
      </c>
      <c r="O845" t="n">
        <v>0</v>
      </c>
      <c r="P845" t="n">
        <v>0</v>
      </c>
      <c r="Q845" t="n">
        <v>0</v>
      </c>
      <c r="R845" s="2" t="inlineStr"/>
    </row>
    <row r="846" ht="15" customHeight="1">
      <c r="A846" t="inlineStr">
        <is>
          <t>A 22427-2024</t>
        </is>
      </c>
      <c r="B846" s="1" t="n">
        <v>45446</v>
      </c>
      <c r="C846" s="1" t="n">
        <v>45645</v>
      </c>
      <c r="D846" t="inlineStr">
        <is>
          <t>NORRBOTTENS LÄN</t>
        </is>
      </c>
      <c r="E846" t="inlineStr">
        <is>
          <t>PAJALA</t>
        </is>
      </c>
      <c r="F846" t="inlineStr">
        <is>
          <t>Sveaskog</t>
        </is>
      </c>
      <c r="G846" t="n">
        <v>14.9</v>
      </c>
      <c r="H846" t="n">
        <v>0</v>
      </c>
      <c r="I846" t="n">
        <v>0</v>
      </c>
      <c r="J846" t="n">
        <v>0</v>
      </c>
      <c r="K846" t="n">
        <v>0</v>
      </c>
      <c r="L846" t="n">
        <v>0</v>
      </c>
      <c r="M846" t="n">
        <v>0</v>
      </c>
      <c r="N846" t="n">
        <v>0</v>
      </c>
      <c r="O846" t="n">
        <v>0</v>
      </c>
      <c r="P846" t="n">
        <v>0</v>
      </c>
      <c r="Q846" t="n">
        <v>0</v>
      </c>
      <c r="R846" s="2" t="inlineStr"/>
    </row>
    <row r="847" ht="15" customHeight="1">
      <c r="A847" t="inlineStr">
        <is>
          <t>A 22428-2024</t>
        </is>
      </c>
      <c r="B847" s="1" t="n">
        <v>45446</v>
      </c>
      <c r="C847" s="1" t="n">
        <v>45645</v>
      </c>
      <c r="D847" t="inlineStr">
        <is>
          <t>NORRBOTTENS LÄN</t>
        </is>
      </c>
      <c r="E847" t="inlineStr">
        <is>
          <t>PAJALA</t>
        </is>
      </c>
      <c r="F847" t="inlineStr">
        <is>
          <t>Sveaskog</t>
        </is>
      </c>
      <c r="G847" t="n">
        <v>10.4</v>
      </c>
      <c r="H847" t="n">
        <v>0</v>
      </c>
      <c r="I847" t="n">
        <v>0</v>
      </c>
      <c r="J847" t="n">
        <v>0</v>
      </c>
      <c r="K847" t="n">
        <v>0</v>
      </c>
      <c r="L847" t="n">
        <v>0</v>
      </c>
      <c r="M847" t="n">
        <v>0</v>
      </c>
      <c r="N847" t="n">
        <v>0</v>
      </c>
      <c r="O847" t="n">
        <v>0</v>
      </c>
      <c r="P847" t="n">
        <v>0</v>
      </c>
      <c r="Q847" t="n">
        <v>0</v>
      </c>
      <c r="R847" s="2" t="inlineStr"/>
    </row>
    <row r="848" ht="15" customHeight="1">
      <c r="A848" t="inlineStr">
        <is>
          <t>A 22526-2024</t>
        </is>
      </c>
      <c r="B848" s="1" t="n">
        <v>45447</v>
      </c>
      <c r="C848" s="1" t="n">
        <v>45645</v>
      </c>
      <c r="D848" t="inlineStr">
        <is>
          <t>NORRBOTTENS LÄN</t>
        </is>
      </c>
      <c r="E848" t="inlineStr">
        <is>
          <t>PAJALA</t>
        </is>
      </c>
      <c r="G848" t="n">
        <v>1.8</v>
      </c>
      <c r="H848" t="n">
        <v>0</v>
      </c>
      <c r="I848" t="n">
        <v>0</v>
      </c>
      <c r="J848" t="n">
        <v>0</v>
      </c>
      <c r="K848" t="n">
        <v>0</v>
      </c>
      <c r="L848" t="n">
        <v>0</v>
      </c>
      <c r="M848" t="n">
        <v>0</v>
      </c>
      <c r="N848" t="n">
        <v>0</v>
      </c>
      <c r="O848" t="n">
        <v>0</v>
      </c>
      <c r="P848" t="n">
        <v>0</v>
      </c>
      <c r="Q848" t="n">
        <v>0</v>
      </c>
      <c r="R848" s="2" t="inlineStr"/>
    </row>
    <row r="849" ht="15" customHeight="1">
      <c r="A849" t="inlineStr">
        <is>
          <t>A 22514-2024</t>
        </is>
      </c>
      <c r="B849" s="1" t="n">
        <v>45447</v>
      </c>
      <c r="C849" s="1" t="n">
        <v>45645</v>
      </c>
      <c r="D849" t="inlineStr">
        <is>
          <t>NORRBOTTENS LÄN</t>
        </is>
      </c>
      <c r="E849" t="inlineStr">
        <is>
          <t>PAJALA</t>
        </is>
      </c>
      <c r="G849" t="n">
        <v>8.1</v>
      </c>
      <c r="H849" t="n">
        <v>0</v>
      </c>
      <c r="I849" t="n">
        <v>0</v>
      </c>
      <c r="J849" t="n">
        <v>0</v>
      </c>
      <c r="K849" t="n">
        <v>0</v>
      </c>
      <c r="L849" t="n">
        <v>0</v>
      </c>
      <c r="M849" t="n">
        <v>0</v>
      </c>
      <c r="N849" t="n">
        <v>0</v>
      </c>
      <c r="O849" t="n">
        <v>0</v>
      </c>
      <c r="P849" t="n">
        <v>0</v>
      </c>
      <c r="Q849" t="n">
        <v>0</v>
      </c>
      <c r="R849" s="2" t="inlineStr"/>
    </row>
    <row r="850" ht="15" customHeight="1">
      <c r="A850" t="inlineStr">
        <is>
          <t>A 23278-2024</t>
        </is>
      </c>
      <c r="B850" s="1" t="n">
        <v>45449</v>
      </c>
      <c r="C850" s="1" t="n">
        <v>45645</v>
      </c>
      <c r="D850" t="inlineStr">
        <is>
          <t>NORRBOTTENS LÄN</t>
        </is>
      </c>
      <c r="E850" t="inlineStr">
        <is>
          <t>PAJALA</t>
        </is>
      </c>
      <c r="G850" t="n">
        <v>13.6</v>
      </c>
      <c r="H850" t="n">
        <v>0</v>
      </c>
      <c r="I850" t="n">
        <v>0</v>
      </c>
      <c r="J850" t="n">
        <v>0</v>
      </c>
      <c r="K850" t="n">
        <v>0</v>
      </c>
      <c r="L850" t="n">
        <v>0</v>
      </c>
      <c r="M850" t="n">
        <v>0</v>
      </c>
      <c r="N850" t="n">
        <v>0</v>
      </c>
      <c r="O850" t="n">
        <v>0</v>
      </c>
      <c r="P850" t="n">
        <v>0</v>
      </c>
      <c r="Q850" t="n">
        <v>0</v>
      </c>
      <c r="R850" s="2" t="inlineStr"/>
    </row>
    <row r="851" ht="15" customHeight="1">
      <c r="A851" t="inlineStr">
        <is>
          <t>A 23073-2024</t>
        </is>
      </c>
      <c r="B851" s="1" t="n">
        <v>45450</v>
      </c>
      <c r="C851" s="1" t="n">
        <v>45645</v>
      </c>
      <c r="D851" t="inlineStr">
        <is>
          <t>NORRBOTTENS LÄN</t>
        </is>
      </c>
      <c r="E851" t="inlineStr">
        <is>
          <t>PAJALA</t>
        </is>
      </c>
      <c r="F851" t="inlineStr">
        <is>
          <t>Sveaskog</t>
        </is>
      </c>
      <c r="G851" t="n">
        <v>27.1</v>
      </c>
      <c r="H851" t="n">
        <v>0</v>
      </c>
      <c r="I851" t="n">
        <v>0</v>
      </c>
      <c r="J851" t="n">
        <v>0</v>
      </c>
      <c r="K851" t="n">
        <v>0</v>
      </c>
      <c r="L851" t="n">
        <v>0</v>
      </c>
      <c r="M851" t="n">
        <v>0</v>
      </c>
      <c r="N851" t="n">
        <v>0</v>
      </c>
      <c r="O851" t="n">
        <v>0</v>
      </c>
      <c r="P851" t="n">
        <v>0</v>
      </c>
      <c r="Q851" t="n">
        <v>0</v>
      </c>
      <c r="R851" s="2" t="inlineStr"/>
    </row>
    <row r="852" ht="15" customHeight="1">
      <c r="A852" t="inlineStr">
        <is>
          <t>A 23166-2024</t>
        </is>
      </c>
      <c r="B852" s="1" t="n">
        <v>45450</v>
      </c>
      <c r="C852" s="1" t="n">
        <v>45645</v>
      </c>
      <c r="D852" t="inlineStr">
        <is>
          <t>NORRBOTTENS LÄN</t>
        </is>
      </c>
      <c r="E852" t="inlineStr">
        <is>
          <t>PAJALA</t>
        </is>
      </c>
      <c r="F852" t="inlineStr">
        <is>
          <t>Allmännings- och besparingsskogar</t>
        </is>
      </c>
      <c r="G852" t="n">
        <v>17</v>
      </c>
      <c r="H852" t="n">
        <v>0</v>
      </c>
      <c r="I852" t="n">
        <v>0</v>
      </c>
      <c r="J852" t="n">
        <v>0</v>
      </c>
      <c r="K852" t="n">
        <v>0</v>
      </c>
      <c r="L852" t="n">
        <v>0</v>
      </c>
      <c r="M852" t="n">
        <v>0</v>
      </c>
      <c r="N852" t="n">
        <v>0</v>
      </c>
      <c r="O852" t="n">
        <v>0</v>
      </c>
      <c r="P852" t="n">
        <v>0</v>
      </c>
      <c r="Q852" t="n">
        <v>0</v>
      </c>
      <c r="R852" s="2" t="inlineStr"/>
    </row>
    <row r="853" ht="15" customHeight="1">
      <c r="A853" t="inlineStr">
        <is>
          <t>A 23102-2024</t>
        </is>
      </c>
      <c r="B853" s="1" t="n">
        <v>45450</v>
      </c>
      <c r="C853" s="1" t="n">
        <v>45645</v>
      </c>
      <c r="D853" t="inlineStr">
        <is>
          <t>NORRBOTTENS LÄN</t>
        </is>
      </c>
      <c r="E853" t="inlineStr">
        <is>
          <t>PAJALA</t>
        </is>
      </c>
      <c r="F853" t="inlineStr">
        <is>
          <t>Sveaskog</t>
        </is>
      </c>
      <c r="G853" t="n">
        <v>8.1</v>
      </c>
      <c r="H853" t="n">
        <v>0</v>
      </c>
      <c r="I853" t="n">
        <v>0</v>
      </c>
      <c r="J853" t="n">
        <v>0</v>
      </c>
      <c r="K853" t="n">
        <v>0</v>
      </c>
      <c r="L853" t="n">
        <v>0</v>
      </c>
      <c r="M853" t="n">
        <v>0</v>
      </c>
      <c r="N853" t="n">
        <v>0</v>
      </c>
      <c r="O853" t="n">
        <v>0</v>
      </c>
      <c r="P853" t="n">
        <v>0</v>
      </c>
      <c r="Q853" t="n">
        <v>0</v>
      </c>
      <c r="R853" s="2" t="inlineStr"/>
    </row>
    <row r="854" ht="15" customHeight="1">
      <c r="A854" t="inlineStr">
        <is>
          <t>A 23524-2024</t>
        </is>
      </c>
      <c r="B854" s="1" t="n">
        <v>45453</v>
      </c>
      <c r="C854" s="1" t="n">
        <v>45645</v>
      </c>
      <c r="D854" t="inlineStr">
        <is>
          <t>NORRBOTTENS LÄN</t>
        </is>
      </c>
      <c r="E854" t="inlineStr">
        <is>
          <t>PAJALA</t>
        </is>
      </c>
      <c r="G854" t="n">
        <v>0.7</v>
      </c>
      <c r="H854" t="n">
        <v>0</v>
      </c>
      <c r="I854" t="n">
        <v>0</v>
      </c>
      <c r="J854" t="n">
        <v>0</v>
      </c>
      <c r="K854" t="n">
        <v>0</v>
      </c>
      <c r="L854" t="n">
        <v>0</v>
      </c>
      <c r="M854" t="n">
        <v>0</v>
      </c>
      <c r="N854" t="n">
        <v>0</v>
      </c>
      <c r="O854" t="n">
        <v>0</v>
      </c>
      <c r="P854" t="n">
        <v>0</v>
      </c>
      <c r="Q854" t="n">
        <v>0</v>
      </c>
      <c r="R854" s="2" t="inlineStr"/>
    </row>
    <row r="855" ht="15" customHeight="1">
      <c r="A855" t="inlineStr">
        <is>
          <t>A 23623-2024</t>
        </is>
      </c>
      <c r="B855" s="1" t="n">
        <v>45454</v>
      </c>
      <c r="C855" s="1" t="n">
        <v>45645</v>
      </c>
      <c r="D855" t="inlineStr">
        <is>
          <t>NORRBOTTENS LÄN</t>
        </is>
      </c>
      <c r="E855" t="inlineStr">
        <is>
          <t>PAJALA</t>
        </is>
      </c>
      <c r="G855" t="n">
        <v>11.4</v>
      </c>
      <c r="H855" t="n">
        <v>0</v>
      </c>
      <c r="I855" t="n">
        <v>0</v>
      </c>
      <c r="J855" t="n">
        <v>0</v>
      </c>
      <c r="K855" t="n">
        <v>0</v>
      </c>
      <c r="L855" t="n">
        <v>0</v>
      </c>
      <c r="M855" t="n">
        <v>0</v>
      </c>
      <c r="N855" t="n">
        <v>0</v>
      </c>
      <c r="O855" t="n">
        <v>0</v>
      </c>
      <c r="P855" t="n">
        <v>0</v>
      </c>
      <c r="Q855" t="n">
        <v>0</v>
      </c>
      <c r="R855" s="2" t="inlineStr"/>
    </row>
    <row r="856" ht="15" customHeight="1">
      <c r="A856" t="inlineStr">
        <is>
          <t>A 23630-2024</t>
        </is>
      </c>
      <c r="B856" s="1" t="n">
        <v>45454</v>
      </c>
      <c r="C856" s="1" t="n">
        <v>45645</v>
      </c>
      <c r="D856" t="inlineStr">
        <is>
          <t>NORRBOTTENS LÄN</t>
        </is>
      </c>
      <c r="E856" t="inlineStr">
        <is>
          <t>PAJALA</t>
        </is>
      </c>
      <c r="G856" t="n">
        <v>5.9</v>
      </c>
      <c r="H856" t="n">
        <v>0</v>
      </c>
      <c r="I856" t="n">
        <v>0</v>
      </c>
      <c r="J856" t="n">
        <v>0</v>
      </c>
      <c r="K856" t="n">
        <v>0</v>
      </c>
      <c r="L856" t="n">
        <v>0</v>
      </c>
      <c r="M856" t="n">
        <v>0</v>
      </c>
      <c r="N856" t="n">
        <v>0</v>
      </c>
      <c r="O856" t="n">
        <v>0</v>
      </c>
      <c r="P856" t="n">
        <v>0</v>
      </c>
      <c r="Q856" t="n">
        <v>0</v>
      </c>
      <c r="R856" s="2" t="inlineStr"/>
    </row>
    <row r="857" ht="15" customHeight="1">
      <c r="A857" t="inlineStr">
        <is>
          <t>A 23684-2024</t>
        </is>
      </c>
      <c r="B857" s="1" t="n">
        <v>45454</v>
      </c>
      <c r="C857" s="1" t="n">
        <v>45645</v>
      </c>
      <c r="D857" t="inlineStr">
        <is>
          <t>NORRBOTTENS LÄN</t>
        </is>
      </c>
      <c r="E857" t="inlineStr">
        <is>
          <t>PAJALA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23890-2024</t>
        </is>
      </c>
      <c r="B858" s="1" t="n">
        <v>45455</v>
      </c>
      <c r="C858" s="1" t="n">
        <v>45645</v>
      </c>
      <c r="D858" t="inlineStr">
        <is>
          <t>NORRBOTTENS LÄN</t>
        </is>
      </c>
      <c r="E858" t="inlineStr">
        <is>
          <t>PAJALA</t>
        </is>
      </c>
      <c r="F858" t="inlineStr">
        <is>
          <t>Sveaskog</t>
        </is>
      </c>
      <c r="G858" t="n">
        <v>7.7</v>
      </c>
      <c r="H858" t="n">
        <v>0</v>
      </c>
      <c r="I858" t="n">
        <v>0</v>
      </c>
      <c r="J858" t="n">
        <v>0</v>
      </c>
      <c r="K858" t="n">
        <v>0</v>
      </c>
      <c r="L858" t="n">
        <v>0</v>
      </c>
      <c r="M858" t="n">
        <v>0</v>
      </c>
      <c r="N858" t="n">
        <v>0</v>
      </c>
      <c r="O858" t="n">
        <v>0</v>
      </c>
      <c r="P858" t="n">
        <v>0</v>
      </c>
      <c r="Q858" t="n">
        <v>0</v>
      </c>
      <c r="R858" s="2" t="inlineStr"/>
    </row>
    <row r="859" ht="15" customHeight="1">
      <c r="A859" t="inlineStr">
        <is>
          <t>A 23893-2024</t>
        </is>
      </c>
      <c r="B859" s="1" t="n">
        <v>45455</v>
      </c>
      <c r="C859" s="1" t="n">
        <v>45645</v>
      </c>
      <c r="D859" t="inlineStr">
        <is>
          <t>NORRBOTTENS LÄN</t>
        </is>
      </c>
      <c r="E859" t="inlineStr">
        <is>
          <t>PAJALA</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23745-2024</t>
        </is>
      </c>
      <c r="B860" s="1" t="n">
        <v>45455</v>
      </c>
      <c r="C860" s="1" t="n">
        <v>45645</v>
      </c>
      <c r="D860" t="inlineStr">
        <is>
          <t>NORRBOTTENS LÄN</t>
        </is>
      </c>
      <c r="E860" t="inlineStr">
        <is>
          <t>PAJALA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24420-2024</t>
        </is>
      </c>
      <c r="B861" s="1" t="n">
        <v>45458</v>
      </c>
      <c r="C861" s="1" t="n">
        <v>45645</v>
      </c>
      <c r="D861" t="inlineStr">
        <is>
          <t>NORRBOTTENS LÄN</t>
        </is>
      </c>
      <c r="E861" t="inlineStr">
        <is>
          <t>PAJALA</t>
        </is>
      </c>
      <c r="G861" t="n">
        <v>7.9</v>
      </c>
      <c r="H861" t="n">
        <v>0</v>
      </c>
      <c r="I861" t="n">
        <v>0</v>
      </c>
      <c r="J861" t="n">
        <v>0</v>
      </c>
      <c r="K861" t="n">
        <v>0</v>
      </c>
      <c r="L861" t="n">
        <v>0</v>
      </c>
      <c r="M861" t="n">
        <v>0</v>
      </c>
      <c r="N861" t="n">
        <v>0</v>
      </c>
      <c r="O861" t="n">
        <v>0</v>
      </c>
      <c r="P861" t="n">
        <v>0</v>
      </c>
      <c r="Q861" t="n">
        <v>0</v>
      </c>
      <c r="R861" s="2" t="inlineStr"/>
    </row>
    <row r="862" ht="15" customHeight="1">
      <c r="A862" t="inlineStr">
        <is>
          <t>A 24963-2024</t>
        </is>
      </c>
      <c r="B862" s="1" t="n">
        <v>45461</v>
      </c>
      <c r="C862" s="1" t="n">
        <v>45645</v>
      </c>
      <c r="D862" t="inlineStr">
        <is>
          <t>NORRBOTTENS LÄN</t>
        </is>
      </c>
      <c r="E862" t="inlineStr">
        <is>
          <t>PAJALA</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25259-2024</t>
        </is>
      </c>
      <c r="B863" s="1" t="n">
        <v>45462</v>
      </c>
      <c r="C863" s="1" t="n">
        <v>45645</v>
      </c>
      <c r="D863" t="inlineStr">
        <is>
          <t>NORRBOTTENS LÄN</t>
        </is>
      </c>
      <c r="E863" t="inlineStr">
        <is>
          <t>PAJALA</t>
        </is>
      </c>
      <c r="G863" t="n">
        <v>1.2</v>
      </c>
      <c r="H863" t="n">
        <v>0</v>
      </c>
      <c r="I863" t="n">
        <v>0</v>
      </c>
      <c r="J863" t="n">
        <v>0</v>
      </c>
      <c r="K863" t="n">
        <v>0</v>
      </c>
      <c r="L863" t="n">
        <v>0</v>
      </c>
      <c r="M863" t="n">
        <v>0</v>
      </c>
      <c r="N863" t="n">
        <v>0</v>
      </c>
      <c r="O863" t="n">
        <v>0</v>
      </c>
      <c r="P863" t="n">
        <v>0</v>
      </c>
      <c r="Q863" t="n">
        <v>0</v>
      </c>
      <c r="R863" s="2" t="inlineStr"/>
    </row>
    <row r="864" ht="15" customHeight="1">
      <c r="A864" t="inlineStr">
        <is>
          <t>A 25497-2024</t>
        </is>
      </c>
      <c r="B864" s="1" t="n">
        <v>45463</v>
      </c>
      <c r="C864" s="1" t="n">
        <v>45645</v>
      </c>
      <c r="D864" t="inlineStr">
        <is>
          <t>NORRBOTTENS LÄN</t>
        </is>
      </c>
      <c r="E864" t="inlineStr">
        <is>
          <t>PAJALA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25693-2024</t>
        </is>
      </c>
      <c r="B865" s="1" t="n">
        <v>45464</v>
      </c>
      <c r="C865" s="1" t="n">
        <v>45645</v>
      </c>
      <c r="D865" t="inlineStr">
        <is>
          <t>NORRBOTTENS LÄN</t>
        </is>
      </c>
      <c r="E865" t="inlineStr">
        <is>
          <t>PAJALA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25733-2024</t>
        </is>
      </c>
      <c r="B866" s="1" t="n">
        <v>45464</v>
      </c>
      <c r="C866" s="1" t="n">
        <v>45645</v>
      </c>
      <c r="D866" t="inlineStr">
        <is>
          <t>NORRBOTTENS LÄN</t>
        </is>
      </c>
      <c r="E866" t="inlineStr">
        <is>
          <t>PAJALA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25734-2024</t>
        </is>
      </c>
      <c r="B867" s="1" t="n">
        <v>45464</v>
      </c>
      <c r="C867" s="1" t="n">
        <v>45645</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25947-2024</t>
        </is>
      </c>
      <c r="B868" s="1" t="n">
        <v>45467</v>
      </c>
      <c r="C868" s="1" t="n">
        <v>45645</v>
      </c>
      <c r="D868" t="inlineStr">
        <is>
          <t>NORRBOTTENS LÄN</t>
        </is>
      </c>
      <c r="E868" t="inlineStr">
        <is>
          <t>PAJALA</t>
        </is>
      </c>
      <c r="G868" t="n">
        <v>3.4</v>
      </c>
      <c r="H868" t="n">
        <v>0</v>
      </c>
      <c r="I868" t="n">
        <v>0</v>
      </c>
      <c r="J868" t="n">
        <v>0</v>
      </c>
      <c r="K868" t="n">
        <v>0</v>
      </c>
      <c r="L868" t="n">
        <v>0</v>
      </c>
      <c r="M868" t="n">
        <v>0</v>
      </c>
      <c r="N868" t="n">
        <v>0</v>
      </c>
      <c r="O868" t="n">
        <v>0</v>
      </c>
      <c r="P868" t="n">
        <v>0</v>
      </c>
      <c r="Q868" t="n">
        <v>0</v>
      </c>
      <c r="R868" s="2" t="inlineStr"/>
    </row>
    <row r="869" ht="15" customHeight="1">
      <c r="A869" t="inlineStr">
        <is>
          <t>A 26434-2024</t>
        </is>
      </c>
      <c r="B869" s="1" t="n">
        <v>45468</v>
      </c>
      <c r="C869" s="1" t="n">
        <v>45645</v>
      </c>
      <c r="D869" t="inlineStr">
        <is>
          <t>NORRBOTTENS LÄN</t>
        </is>
      </c>
      <c r="E869" t="inlineStr">
        <is>
          <t>PAJALA</t>
        </is>
      </c>
      <c r="G869" t="n">
        <v>24.4</v>
      </c>
      <c r="H869" t="n">
        <v>0</v>
      </c>
      <c r="I869" t="n">
        <v>0</v>
      </c>
      <c r="J869" t="n">
        <v>0</v>
      </c>
      <c r="K869" t="n">
        <v>0</v>
      </c>
      <c r="L869" t="n">
        <v>0</v>
      </c>
      <c r="M869" t="n">
        <v>0</v>
      </c>
      <c r="N869" t="n">
        <v>0</v>
      </c>
      <c r="O869" t="n">
        <v>0</v>
      </c>
      <c r="P869" t="n">
        <v>0</v>
      </c>
      <c r="Q869" t="n">
        <v>0</v>
      </c>
      <c r="R869" s="2" t="inlineStr"/>
    </row>
    <row r="870" ht="15" customHeight="1">
      <c r="A870" t="inlineStr">
        <is>
          <t>A 26643-2024</t>
        </is>
      </c>
      <c r="B870" s="1" t="n">
        <v>45470</v>
      </c>
      <c r="C870" s="1" t="n">
        <v>45645</v>
      </c>
      <c r="D870" t="inlineStr">
        <is>
          <t>NORRBOTTENS LÄN</t>
        </is>
      </c>
      <c r="E870" t="inlineStr">
        <is>
          <t>PAJALA</t>
        </is>
      </c>
      <c r="G870" t="n">
        <v>3.2</v>
      </c>
      <c r="H870" t="n">
        <v>0</v>
      </c>
      <c r="I870" t="n">
        <v>0</v>
      </c>
      <c r="J870" t="n">
        <v>0</v>
      </c>
      <c r="K870" t="n">
        <v>0</v>
      </c>
      <c r="L870" t="n">
        <v>0</v>
      </c>
      <c r="M870" t="n">
        <v>0</v>
      </c>
      <c r="N870" t="n">
        <v>0</v>
      </c>
      <c r="O870" t="n">
        <v>0</v>
      </c>
      <c r="P870" t="n">
        <v>0</v>
      </c>
      <c r="Q870" t="n">
        <v>0</v>
      </c>
      <c r="R870" s="2" t="inlineStr"/>
    </row>
    <row r="871" ht="15" customHeight="1">
      <c r="A871" t="inlineStr">
        <is>
          <t>A 27099-2024</t>
        </is>
      </c>
      <c r="B871" s="1" t="n">
        <v>45471</v>
      </c>
      <c r="C871" s="1" t="n">
        <v>45645</v>
      </c>
      <c r="D871" t="inlineStr">
        <is>
          <t>NORRBOTTENS LÄN</t>
        </is>
      </c>
      <c r="E871" t="inlineStr">
        <is>
          <t>PAJALA</t>
        </is>
      </c>
      <c r="F871" t="inlineStr">
        <is>
          <t>Sveaskog</t>
        </is>
      </c>
      <c r="G871" t="n">
        <v>16.3</v>
      </c>
      <c r="H871" t="n">
        <v>0</v>
      </c>
      <c r="I871" t="n">
        <v>0</v>
      </c>
      <c r="J871" t="n">
        <v>0</v>
      </c>
      <c r="K871" t="n">
        <v>0</v>
      </c>
      <c r="L871" t="n">
        <v>0</v>
      </c>
      <c r="M871" t="n">
        <v>0</v>
      </c>
      <c r="N871" t="n">
        <v>0</v>
      </c>
      <c r="O871" t="n">
        <v>0</v>
      </c>
      <c r="P871" t="n">
        <v>0</v>
      </c>
      <c r="Q871" t="n">
        <v>0</v>
      </c>
      <c r="R871" s="2" t="inlineStr"/>
    </row>
    <row r="872" ht="15" customHeight="1">
      <c r="A872" t="inlineStr">
        <is>
          <t>A 27326-2024</t>
        </is>
      </c>
      <c r="B872" s="1" t="n">
        <v>45472</v>
      </c>
      <c r="C872" s="1" t="n">
        <v>45645</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27325-2024</t>
        </is>
      </c>
      <c r="B873" s="1" t="n">
        <v>45472</v>
      </c>
      <c r="C873" s="1" t="n">
        <v>45645</v>
      </c>
      <c r="D873" t="inlineStr">
        <is>
          <t>NORRBOTTENS LÄN</t>
        </is>
      </c>
      <c r="E873" t="inlineStr">
        <is>
          <t>PAJALA</t>
        </is>
      </c>
      <c r="G873" t="n">
        <v>4.8</v>
      </c>
      <c r="H873" t="n">
        <v>0</v>
      </c>
      <c r="I873" t="n">
        <v>0</v>
      </c>
      <c r="J873" t="n">
        <v>0</v>
      </c>
      <c r="K873" t="n">
        <v>0</v>
      </c>
      <c r="L873" t="n">
        <v>0</v>
      </c>
      <c r="M873" t="n">
        <v>0</v>
      </c>
      <c r="N873" t="n">
        <v>0</v>
      </c>
      <c r="O873" t="n">
        <v>0</v>
      </c>
      <c r="P873" t="n">
        <v>0</v>
      </c>
      <c r="Q873" t="n">
        <v>0</v>
      </c>
      <c r="R873" s="2" t="inlineStr"/>
    </row>
    <row r="874" ht="15" customHeight="1">
      <c r="A874" t="inlineStr">
        <is>
          <t>A 27448-2024</t>
        </is>
      </c>
      <c r="B874" s="1" t="n">
        <v>45474</v>
      </c>
      <c r="C874" s="1" t="n">
        <v>45645</v>
      </c>
      <c r="D874" t="inlineStr">
        <is>
          <t>NORRBOTTENS LÄN</t>
        </is>
      </c>
      <c r="E874" t="inlineStr">
        <is>
          <t>PAJALA</t>
        </is>
      </c>
      <c r="G874" t="n">
        <v>4.7</v>
      </c>
      <c r="H874" t="n">
        <v>0</v>
      </c>
      <c r="I874" t="n">
        <v>0</v>
      </c>
      <c r="J874" t="n">
        <v>0</v>
      </c>
      <c r="K874" t="n">
        <v>0</v>
      </c>
      <c r="L874" t="n">
        <v>0</v>
      </c>
      <c r="M874" t="n">
        <v>0</v>
      </c>
      <c r="N874" t="n">
        <v>0</v>
      </c>
      <c r="O874" t="n">
        <v>0</v>
      </c>
      <c r="P874" t="n">
        <v>0</v>
      </c>
      <c r="Q874" t="n">
        <v>0</v>
      </c>
      <c r="R874" s="2" t="inlineStr"/>
    </row>
    <row r="875" ht="15" customHeight="1">
      <c r="A875" t="inlineStr">
        <is>
          <t>A 27625-2024</t>
        </is>
      </c>
      <c r="B875" s="1" t="n">
        <v>45475</v>
      </c>
      <c r="C875" s="1" t="n">
        <v>45645</v>
      </c>
      <c r="D875" t="inlineStr">
        <is>
          <t>NORRBOTTENS LÄN</t>
        </is>
      </c>
      <c r="E875" t="inlineStr">
        <is>
          <t>PAJALA</t>
        </is>
      </c>
      <c r="G875" t="n">
        <v>1.1</v>
      </c>
      <c r="H875" t="n">
        <v>0</v>
      </c>
      <c r="I875" t="n">
        <v>0</v>
      </c>
      <c r="J875" t="n">
        <v>0</v>
      </c>
      <c r="K875" t="n">
        <v>0</v>
      </c>
      <c r="L875" t="n">
        <v>0</v>
      </c>
      <c r="M875" t="n">
        <v>0</v>
      </c>
      <c r="N875" t="n">
        <v>0</v>
      </c>
      <c r="O875" t="n">
        <v>0</v>
      </c>
      <c r="P875" t="n">
        <v>0</v>
      </c>
      <c r="Q875" t="n">
        <v>0</v>
      </c>
      <c r="R875" s="2" t="inlineStr"/>
    </row>
    <row r="876" ht="15" customHeight="1">
      <c r="A876" t="inlineStr">
        <is>
          <t>A 27770-2024</t>
        </is>
      </c>
      <c r="B876" s="1" t="n">
        <v>45475</v>
      </c>
      <c r="C876" s="1" t="n">
        <v>45645</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27776-2024</t>
        </is>
      </c>
      <c r="B877" s="1" t="n">
        <v>45475</v>
      </c>
      <c r="C877" s="1" t="n">
        <v>45645</v>
      </c>
      <c r="D877" t="inlineStr">
        <is>
          <t>NORRBOTTENS LÄN</t>
        </is>
      </c>
      <c r="E877" t="inlineStr">
        <is>
          <t>PAJALA</t>
        </is>
      </c>
      <c r="G877" t="n">
        <v>20.5</v>
      </c>
      <c r="H877" t="n">
        <v>0</v>
      </c>
      <c r="I877" t="n">
        <v>0</v>
      </c>
      <c r="J877" t="n">
        <v>0</v>
      </c>
      <c r="K877" t="n">
        <v>0</v>
      </c>
      <c r="L877" t="n">
        <v>0</v>
      </c>
      <c r="M877" t="n">
        <v>0</v>
      </c>
      <c r="N877" t="n">
        <v>0</v>
      </c>
      <c r="O877" t="n">
        <v>0</v>
      </c>
      <c r="P877" t="n">
        <v>0</v>
      </c>
      <c r="Q877" t="n">
        <v>0</v>
      </c>
      <c r="R877" s="2" t="inlineStr"/>
    </row>
    <row r="878" ht="15" customHeight="1">
      <c r="A878" t="inlineStr">
        <is>
          <t>A 27777-2024</t>
        </is>
      </c>
      <c r="B878" s="1" t="n">
        <v>45475</v>
      </c>
      <c r="C878" s="1" t="n">
        <v>45645</v>
      </c>
      <c r="D878" t="inlineStr">
        <is>
          <t>NORRBOTTENS LÄN</t>
        </is>
      </c>
      <c r="E878" t="inlineStr">
        <is>
          <t>PAJALA</t>
        </is>
      </c>
      <c r="G878" t="n">
        <v>5.4</v>
      </c>
      <c r="H878" t="n">
        <v>0</v>
      </c>
      <c r="I878" t="n">
        <v>0</v>
      </c>
      <c r="J878" t="n">
        <v>0</v>
      </c>
      <c r="K878" t="n">
        <v>0</v>
      </c>
      <c r="L878" t="n">
        <v>0</v>
      </c>
      <c r="M878" t="n">
        <v>0</v>
      </c>
      <c r="N878" t="n">
        <v>0</v>
      </c>
      <c r="O878" t="n">
        <v>0</v>
      </c>
      <c r="P878" t="n">
        <v>0</v>
      </c>
      <c r="Q878" t="n">
        <v>0</v>
      </c>
      <c r="R878" s="2" t="inlineStr"/>
    </row>
    <row r="879" ht="15" customHeight="1">
      <c r="A879" t="inlineStr">
        <is>
          <t>A 27767-2024</t>
        </is>
      </c>
      <c r="B879" s="1" t="n">
        <v>45475</v>
      </c>
      <c r="C879" s="1" t="n">
        <v>45645</v>
      </c>
      <c r="D879" t="inlineStr">
        <is>
          <t>NORRBOTTENS LÄN</t>
        </is>
      </c>
      <c r="E879" t="inlineStr">
        <is>
          <t>PAJALA</t>
        </is>
      </c>
      <c r="G879" t="n">
        <v>13.4</v>
      </c>
      <c r="H879" t="n">
        <v>0</v>
      </c>
      <c r="I879" t="n">
        <v>0</v>
      </c>
      <c r="J879" t="n">
        <v>0</v>
      </c>
      <c r="K879" t="n">
        <v>0</v>
      </c>
      <c r="L879" t="n">
        <v>0</v>
      </c>
      <c r="M879" t="n">
        <v>0</v>
      </c>
      <c r="N879" t="n">
        <v>0</v>
      </c>
      <c r="O879" t="n">
        <v>0</v>
      </c>
      <c r="P879" t="n">
        <v>0</v>
      </c>
      <c r="Q879" t="n">
        <v>0</v>
      </c>
      <c r="R879" s="2" t="inlineStr"/>
    </row>
    <row r="880" ht="15" customHeight="1">
      <c r="A880" t="inlineStr">
        <is>
          <t>A 28007-2024</t>
        </is>
      </c>
      <c r="B880" s="1" t="n">
        <v>45476</v>
      </c>
      <c r="C880" s="1" t="n">
        <v>45645</v>
      </c>
      <c r="D880" t="inlineStr">
        <is>
          <t>NORRBOTTENS LÄN</t>
        </is>
      </c>
      <c r="E880" t="inlineStr">
        <is>
          <t>PAJALA</t>
        </is>
      </c>
      <c r="G880" t="n">
        <v>16.5</v>
      </c>
      <c r="H880" t="n">
        <v>0</v>
      </c>
      <c r="I880" t="n">
        <v>0</v>
      </c>
      <c r="J880" t="n">
        <v>0</v>
      </c>
      <c r="K880" t="n">
        <v>0</v>
      </c>
      <c r="L880" t="n">
        <v>0</v>
      </c>
      <c r="M880" t="n">
        <v>0</v>
      </c>
      <c r="N880" t="n">
        <v>0</v>
      </c>
      <c r="O880" t="n">
        <v>0</v>
      </c>
      <c r="P880" t="n">
        <v>0</v>
      </c>
      <c r="Q880" t="n">
        <v>0</v>
      </c>
      <c r="R880" s="2" t="inlineStr"/>
    </row>
    <row r="881" ht="15" customHeight="1">
      <c r="A881" t="inlineStr">
        <is>
          <t>A 28452-2024</t>
        </is>
      </c>
      <c r="B881" s="1" t="n">
        <v>45477</v>
      </c>
      <c r="C881" s="1" t="n">
        <v>45645</v>
      </c>
      <c r="D881" t="inlineStr">
        <is>
          <t>NORRBOTTENS LÄN</t>
        </is>
      </c>
      <c r="E881" t="inlineStr">
        <is>
          <t>PAJALA</t>
        </is>
      </c>
      <c r="G881" t="n">
        <v>25.2</v>
      </c>
      <c r="H881" t="n">
        <v>0</v>
      </c>
      <c r="I881" t="n">
        <v>0</v>
      </c>
      <c r="J881" t="n">
        <v>0</v>
      </c>
      <c r="K881" t="n">
        <v>0</v>
      </c>
      <c r="L881" t="n">
        <v>0</v>
      </c>
      <c r="M881" t="n">
        <v>0</v>
      </c>
      <c r="N881" t="n">
        <v>0</v>
      </c>
      <c r="O881" t="n">
        <v>0</v>
      </c>
      <c r="P881" t="n">
        <v>0</v>
      </c>
      <c r="Q881" t="n">
        <v>0</v>
      </c>
      <c r="R881" s="2" t="inlineStr"/>
    </row>
    <row r="882" ht="15" customHeight="1">
      <c r="A882" t="inlineStr">
        <is>
          <t>A 28440-2024</t>
        </is>
      </c>
      <c r="B882" s="1" t="n">
        <v>45477</v>
      </c>
      <c r="C882" s="1" t="n">
        <v>45645</v>
      </c>
      <c r="D882" t="inlineStr">
        <is>
          <t>NORRBOTTENS LÄN</t>
        </is>
      </c>
      <c r="E882" t="inlineStr">
        <is>
          <t>PAJALA</t>
        </is>
      </c>
      <c r="G882" t="n">
        <v>2</v>
      </c>
      <c r="H882" t="n">
        <v>0</v>
      </c>
      <c r="I882" t="n">
        <v>0</v>
      </c>
      <c r="J882" t="n">
        <v>0</v>
      </c>
      <c r="K882" t="n">
        <v>0</v>
      </c>
      <c r="L882" t="n">
        <v>0</v>
      </c>
      <c r="M882" t="n">
        <v>0</v>
      </c>
      <c r="N882" t="n">
        <v>0</v>
      </c>
      <c r="O882" t="n">
        <v>0</v>
      </c>
      <c r="P882" t="n">
        <v>0</v>
      </c>
      <c r="Q882" t="n">
        <v>0</v>
      </c>
      <c r="R882" s="2" t="inlineStr"/>
    </row>
    <row r="883" ht="15" customHeight="1">
      <c r="A883" t="inlineStr">
        <is>
          <t>A 28387-2024</t>
        </is>
      </c>
      <c r="B883" s="1" t="n">
        <v>45477</v>
      </c>
      <c r="C883" s="1" t="n">
        <v>45645</v>
      </c>
      <c r="D883" t="inlineStr">
        <is>
          <t>NORRBOTTENS LÄN</t>
        </is>
      </c>
      <c r="E883" t="inlineStr">
        <is>
          <t>PAJALA</t>
        </is>
      </c>
      <c r="G883" t="n">
        <v>1.2</v>
      </c>
      <c r="H883" t="n">
        <v>0</v>
      </c>
      <c r="I883" t="n">
        <v>0</v>
      </c>
      <c r="J883" t="n">
        <v>0</v>
      </c>
      <c r="K883" t="n">
        <v>0</v>
      </c>
      <c r="L883" t="n">
        <v>0</v>
      </c>
      <c r="M883" t="n">
        <v>0</v>
      </c>
      <c r="N883" t="n">
        <v>0</v>
      </c>
      <c r="O883" t="n">
        <v>0</v>
      </c>
      <c r="P883" t="n">
        <v>0</v>
      </c>
      <c r="Q883" t="n">
        <v>0</v>
      </c>
      <c r="R883" s="2" t="inlineStr"/>
    </row>
    <row r="884" ht="15" customHeight="1">
      <c r="A884" t="inlineStr">
        <is>
          <t>A 28405-2024</t>
        </is>
      </c>
      <c r="B884" s="1" t="n">
        <v>45477</v>
      </c>
      <c r="C884" s="1" t="n">
        <v>45645</v>
      </c>
      <c r="D884" t="inlineStr">
        <is>
          <t>NORRBOTTENS LÄN</t>
        </is>
      </c>
      <c r="E884" t="inlineStr">
        <is>
          <t>PAJALA</t>
        </is>
      </c>
      <c r="G884" t="n">
        <v>5</v>
      </c>
      <c r="H884" t="n">
        <v>0</v>
      </c>
      <c r="I884" t="n">
        <v>0</v>
      </c>
      <c r="J884" t="n">
        <v>0</v>
      </c>
      <c r="K884" t="n">
        <v>0</v>
      </c>
      <c r="L884" t="n">
        <v>0</v>
      </c>
      <c r="M884" t="n">
        <v>0</v>
      </c>
      <c r="N884" t="n">
        <v>0</v>
      </c>
      <c r="O884" t="n">
        <v>0</v>
      </c>
      <c r="P884" t="n">
        <v>0</v>
      </c>
      <c r="Q884" t="n">
        <v>0</v>
      </c>
      <c r="R884" s="2" t="inlineStr"/>
    </row>
    <row r="885" ht="15" customHeight="1">
      <c r="A885" t="inlineStr">
        <is>
          <t>A 28447-2024</t>
        </is>
      </c>
      <c r="B885" s="1" t="n">
        <v>45477</v>
      </c>
      <c r="C885" s="1" t="n">
        <v>45645</v>
      </c>
      <c r="D885" t="inlineStr">
        <is>
          <t>NORRBOTTENS LÄN</t>
        </is>
      </c>
      <c r="E885" t="inlineStr">
        <is>
          <t>PAJALA</t>
        </is>
      </c>
      <c r="G885" t="n">
        <v>23.6</v>
      </c>
      <c r="H885" t="n">
        <v>0</v>
      </c>
      <c r="I885" t="n">
        <v>0</v>
      </c>
      <c r="J885" t="n">
        <v>0</v>
      </c>
      <c r="K885" t="n">
        <v>0</v>
      </c>
      <c r="L885" t="n">
        <v>0</v>
      </c>
      <c r="M885" t="n">
        <v>0</v>
      </c>
      <c r="N885" t="n">
        <v>0</v>
      </c>
      <c r="O885" t="n">
        <v>0</v>
      </c>
      <c r="P885" t="n">
        <v>0</v>
      </c>
      <c r="Q885" t="n">
        <v>0</v>
      </c>
      <c r="R885" s="2" t="inlineStr"/>
    </row>
    <row r="886" ht="15" customHeight="1">
      <c r="A886" t="inlineStr">
        <is>
          <t>A 28434-2024</t>
        </is>
      </c>
      <c r="B886" s="1" t="n">
        <v>45477</v>
      </c>
      <c r="C886" s="1" t="n">
        <v>45645</v>
      </c>
      <c r="D886" t="inlineStr">
        <is>
          <t>NORRBOTTENS LÄN</t>
        </is>
      </c>
      <c r="E886" t="inlineStr">
        <is>
          <t>PAJALA</t>
        </is>
      </c>
      <c r="G886" t="n">
        <v>0.9</v>
      </c>
      <c r="H886" t="n">
        <v>0</v>
      </c>
      <c r="I886" t="n">
        <v>0</v>
      </c>
      <c r="J886" t="n">
        <v>0</v>
      </c>
      <c r="K886" t="n">
        <v>0</v>
      </c>
      <c r="L886" t="n">
        <v>0</v>
      </c>
      <c r="M886" t="n">
        <v>0</v>
      </c>
      <c r="N886" t="n">
        <v>0</v>
      </c>
      <c r="O886" t="n">
        <v>0</v>
      </c>
      <c r="P886" t="n">
        <v>0</v>
      </c>
      <c r="Q886" t="n">
        <v>0</v>
      </c>
      <c r="R886" s="2" t="inlineStr"/>
    </row>
    <row r="887" ht="15" customHeight="1">
      <c r="A887" t="inlineStr">
        <is>
          <t>A 29078-2024</t>
        </is>
      </c>
      <c r="B887" s="1" t="n">
        <v>45481</v>
      </c>
      <c r="C887" s="1" t="n">
        <v>45645</v>
      </c>
      <c r="D887" t="inlineStr">
        <is>
          <t>NORRBOTTENS LÄN</t>
        </is>
      </c>
      <c r="E887" t="inlineStr">
        <is>
          <t>PAJALA</t>
        </is>
      </c>
      <c r="G887" t="n">
        <v>21.3</v>
      </c>
      <c r="H887" t="n">
        <v>0</v>
      </c>
      <c r="I887" t="n">
        <v>0</v>
      </c>
      <c r="J887" t="n">
        <v>0</v>
      </c>
      <c r="K887" t="n">
        <v>0</v>
      </c>
      <c r="L887" t="n">
        <v>0</v>
      </c>
      <c r="M887" t="n">
        <v>0</v>
      </c>
      <c r="N887" t="n">
        <v>0</v>
      </c>
      <c r="O887" t="n">
        <v>0</v>
      </c>
      <c r="P887" t="n">
        <v>0</v>
      </c>
      <c r="Q887" t="n">
        <v>0</v>
      </c>
      <c r="R887" s="2" t="inlineStr"/>
    </row>
    <row r="888" ht="15" customHeight="1">
      <c r="A888" t="inlineStr">
        <is>
          <t>A 29238-2024</t>
        </is>
      </c>
      <c r="B888" s="1" t="n">
        <v>45483</v>
      </c>
      <c r="C888" s="1" t="n">
        <v>45645</v>
      </c>
      <c r="D888" t="inlineStr">
        <is>
          <t>NORRBOTTENS LÄN</t>
        </is>
      </c>
      <c r="E888" t="inlineStr">
        <is>
          <t>PAJALA</t>
        </is>
      </c>
      <c r="G888" t="n">
        <v>1.9</v>
      </c>
      <c r="H888" t="n">
        <v>0</v>
      </c>
      <c r="I888" t="n">
        <v>0</v>
      </c>
      <c r="J888" t="n">
        <v>0</v>
      </c>
      <c r="K888" t="n">
        <v>0</v>
      </c>
      <c r="L888" t="n">
        <v>0</v>
      </c>
      <c r="M888" t="n">
        <v>0</v>
      </c>
      <c r="N888" t="n">
        <v>0</v>
      </c>
      <c r="O888" t="n">
        <v>0</v>
      </c>
      <c r="P888" t="n">
        <v>0</v>
      </c>
      <c r="Q888" t="n">
        <v>0</v>
      </c>
      <c r="R888" s="2" t="inlineStr"/>
    </row>
    <row r="889" ht="15" customHeight="1">
      <c r="A889" t="inlineStr">
        <is>
          <t>A 29604-2024</t>
        </is>
      </c>
      <c r="B889" s="1" t="n">
        <v>45484</v>
      </c>
      <c r="C889" s="1" t="n">
        <v>45645</v>
      </c>
      <c r="D889" t="inlineStr">
        <is>
          <t>NORRBOTTENS LÄN</t>
        </is>
      </c>
      <c r="E889" t="inlineStr">
        <is>
          <t>PAJALA</t>
        </is>
      </c>
      <c r="G889" t="n">
        <v>6.6</v>
      </c>
      <c r="H889" t="n">
        <v>0</v>
      </c>
      <c r="I889" t="n">
        <v>0</v>
      </c>
      <c r="J889" t="n">
        <v>0</v>
      </c>
      <c r="K889" t="n">
        <v>0</v>
      </c>
      <c r="L889" t="n">
        <v>0</v>
      </c>
      <c r="M889" t="n">
        <v>0</v>
      </c>
      <c r="N889" t="n">
        <v>0</v>
      </c>
      <c r="O889" t="n">
        <v>0</v>
      </c>
      <c r="P889" t="n">
        <v>0</v>
      </c>
      <c r="Q889" t="n">
        <v>0</v>
      </c>
      <c r="R889" s="2" t="inlineStr"/>
    </row>
    <row r="890" ht="15" customHeight="1">
      <c r="A890" t="inlineStr">
        <is>
          <t>A 29551-2024</t>
        </is>
      </c>
      <c r="B890" s="1" t="n">
        <v>45484</v>
      </c>
      <c r="C890" s="1" t="n">
        <v>45645</v>
      </c>
      <c r="D890" t="inlineStr">
        <is>
          <t>NORRBOTTENS LÄN</t>
        </is>
      </c>
      <c r="E890" t="inlineStr">
        <is>
          <t>PAJALA</t>
        </is>
      </c>
      <c r="F890" t="inlineStr">
        <is>
          <t>Sveaskog</t>
        </is>
      </c>
      <c r="G890" t="n">
        <v>9.9</v>
      </c>
      <c r="H890" t="n">
        <v>0</v>
      </c>
      <c r="I890" t="n">
        <v>0</v>
      </c>
      <c r="J890" t="n">
        <v>0</v>
      </c>
      <c r="K890" t="n">
        <v>0</v>
      </c>
      <c r="L890" t="n">
        <v>0</v>
      </c>
      <c r="M890" t="n">
        <v>0</v>
      </c>
      <c r="N890" t="n">
        <v>0</v>
      </c>
      <c r="O890" t="n">
        <v>0</v>
      </c>
      <c r="P890" t="n">
        <v>0</v>
      </c>
      <c r="Q890" t="n">
        <v>0</v>
      </c>
      <c r="R890" s="2" t="inlineStr"/>
    </row>
    <row r="891" ht="15" customHeight="1">
      <c r="A891" t="inlineStr">
        <is>
          <t>A 29542-2024</t>
        </is>
      </c>
      <c r="B891" s="1" t="n">
        <v>45484</v>
      </c>
      <c r="C891" s="1" t="n">
        <v>45645</v>
      </c>
      <c r="D891" t="inlineStr">
        <is>
          <t>NORRBOTTENS LÄN</t>
        </is>
      </c>
      <c r="E891" t="inlineStr">
        <is>
          <t>PAJALA</t>
        </is>
      </c>
      <c r="G891" t="n">
        <v>10.4</v>
      </c>
      <c r="H891" t="n">
        <v>0</v>
      </c>
      <c r="I891" t="n">
        <v>0</v>
      </c>
      <c r="J891" t="n">
        <v>0</v>
      </c>
      <c r="K891" t="n">
        <v>0</v>
      </c>
      <c r="L891" t="n">
        <v>0</v>
      </c>
      <c r="M891" t="n">
        <v>0</v>
      </c>
      <c r="N891" t="n">
        <v>0</v>
      </c>
      <c r="O891" t="n">
        <v>0</v>
      </c>
      <c r="P891" t="n">
        <v>0</v>
      </c>
      <c r="Q891" t="n">
        <v>0</v>
      </c>
      <c r="R891" s="2" t="inlineStr"/>
    </row>
    <row r="892" ht="15" customHeight="1">
      <c r="A892" t="inlineStr">
        <is>
          <t>A 29814-2024</t>
        </is>
      </c>
      <c r="B892" s="1" t="n">
        <v>45485</v>
      </c>
      <c r="C892" s="1" t="n">
        <v>45645</v>
      </c>
      <c r="D892" t="inlineStr">
        <is>
          <t>NORRBOTTENS LÄN</t>
        </is>
      </c>
      <c r="E892" t="inlineStr">
        <is>
          <t>PAJALA</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29804-2024</t>
        </is>
      </c>
      <c r="B893" s="1" t="n">
        <v>45485</v>
      </c>
      <c r="C893" s="1" t="n">
        <v>45645</v>
      </c>
      <c r="D893" t="inlineStr">
        <is>
          <t>NORRBOTTENS LÄN</t>
        </is>
      </c>
      <c r="E893" t="inlineStr">
        <is>
          <t>PAJALA</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29805-2024</t>
        </is>
      </c>
      <c r="B894" s="1" t="n">
        <v>45485</v>
      </c>
      <c r="C894" s="1" t="n">
        <v>45645</v>
      </c>
      <c r="D894" t="inlineStr">
        <is>
          <t>NORRBOTTENS LÄN</t>
        </is>
      </c>
      <c r="E894" t="inlineStr">
        <is>
          <t>PAJALA</t>
        </is>
      </c>
      <c r="F894" t="inlineStr">
        <is>
          <t>Sveaskog</t>
        </is>
      </c>
      <c r="G894" t="n">
        <v>14.8</v>
      </c>
      <c r="H894" t="n">
        <v>0</v>
      </c>
      <c r="I894" t="n">
        <v>0</v>
      </c>
      <c r="J894" t="n">
        <v>0</v>
      </c>
      <c r="K894" t="n">
        <v>0</v>
      </c>
      <c r="L894" t="n">
        <v>0</v>
      </c>
      <c r="M894" t="n">
        <v>0</v>
      </c>
      <c r="N894" t="n">
        <v>0</v>
      </c>
      <c r="O894" t="n">
        <v>0</v>
      </c>
      <c r="P894" t="n">
        <v>0</v>
      </c>
      <c r="Q894" t="n">
        <v>0</v>
      </c>
      <c r="R894" s="2" t="inlineStr"/>
    </row>
    <row r="895" ht="15" customHeight="1">
      <c r="A895" t="inlineStr">
        <is>
          <t>A 29809-2024</t>
        </is>
      </c>
      <c r="B895" s="1" t="n">
        <v>45485</v>
      </c>
      <c r="C895" s="1" t="n">
        <v>45645</v>
      </c>
      <c r="D895" t="inlineStr">
        <is>
          <t>NORRBOTTENS LÄN</t>
        </is>
      </c>
      <c r="E895" t="inlineStr">
        <is>
          <t>PAJALA</t>
        </is>
      </c>
      <c r="F895" t="inlineStr">
        <is>
          <t>Sveaskog</t>
        </is>
      </c>
      <c r="G895" t="n">
        <v>9.4</v>
      </c>
      <c r="H895" t="n">
        <v>0</v>
      </c>
      <c r="I895" t="n">
        <v>0</v>
      </c>
      <c r="J895" t="n">
        <v>0</v>
      </c>
      <c r="K895" t="n">
        <v>0</v>
      </c>
      <c r="L895" t="n">
        <v>0</v>
      </c>
      <c r="M895" t="n">
        <v>0</v>
      </c>
      <c r="N895" t="n">
        <v>0</v>
      </c>
      <c r="O895" t="n">
        <v>0</v>
      </c>
      <c r="P895" t="n">
        <v>0</v>
      </c>
      <c r="Q895" t="n">
        <v>0</v>
      </c>
      <c r="R895" s="2" t="inlineStr"/>
    </row>
    <row r="896" ht="15" customHeight="1">
      <c r="A896" t="inlineStr">
        <is>
          <t>A 29817-2024</t>
        </is>
      </c>
      <c r="B896" s="1" t="n">
        <v>45485</v>
      </c>
      <c r="C896" s="1" t="n">
        <v>45645</v>
      </c>
      <c r="D896" t="inlineStr">
        <is>
          <t>NORRBOTTENS LÄN</t>
        </is>
      </c>
      <c r="E896" t="inlineStr">
        <is>
          <t>PAJALA</t>
        </is>
      </c>
      <c r="F896" t="inlineStr">
        <is>
          <t>Sveaskog</t>
        </is>
      </c>
      <c r="G896" t="n">
        <v>25.7</v>
      </c>
      <c r="H896" t="n">
        <v>0</v>
      </c>
      <c r="I896" t="n">
        <v>0</v>
      </c>
      <c r="J896" t="n">
        <v>0</v>
      </c>
      <c r="K896" t="n">
        <v>0</v>
      </c>
      <c r="L896" t="n">
        <v>0</v>
      </c>
      <c r="M896" t="n">
        <v>0</v>
      </c>
      <c r="N896" t="n">
        <v>0</v>
      </c>
      <c r="O896" t="n">
        <v>0</v>
      </c>
      <c r="P896" t="n">
        <v>0</v>
      </c>
      <c r="Q896" t="n">
        <v>0</v>
      </c>
      <c r="R896" s="2" t="inlineStr"/>
    </row>
    <row r="897" ht="15" customHeight="1">
      <c r="A897" t="inlineStr">
        <is>
          <t>A 29878-2024</t>
        </is>
      </c>
      <c r="B897" s="1" t="n">
        <v>45486</v>
      </c>
      <c r="C897" s="1" t="n">
        <v>45645</v>
      </c>
      <c r="D897" t="inlineStr">
        <is>
          <t>NORRBOTTENS LÄN</t>
        </is>
      </c>
      <c r="E897" t="inlineStr">
        <is>
          <t>PAJALA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29924-2024</t>
        </is>
      </c>
      <c r="B898" s="1" t="n">
        <v>45488</v>
      </c>
      <c r="C898" s="1" t="n">
        <v>45645</v>
      </c>
      <c r="D898" t="inlineStr">
        <is>
          <t>NORRBOTTENS LÄN</t>
        </is>
      </c>
      <c r="E898" t="inlineStr">
        <is>
          <t>PAJALA</t>
        </is>
      </c>
      <c r="F898" t="inlineStr">
        <is>
          <t>Sveaskog</t>
        </is>
      </c>
      <c r="G898" t="n">
        <v>12.4</v>
      </c>
      <c r="H898" t="n">
        <v>0</v>
      </c>
      <c r="I898" t="n">
        <v>0</v>
      </c>
      <c r="J898" t="n">
        <v>0</v>
      </c>
      <c r="K898" t="n">
        <v>0</v>
      </c>
      <c r="L898" t="n">
        <v>0</v>
      </c>
      <c r="M898" t="n">
        <v>0</v>
      </c>
      <c r="N898" t="n">
        <v>0</v>
      </c>
      <c r="O898" t="n">
        <v>0</v>
      </c>
      <c r="P898" t="n">
        <v>0</v>
      </c>
      <c r="Q898" t="n">
        <v>0</v>
      </c>
      <c r="R898" s="2" t="inlineStr"/>
    </row>
    <row r="899" ht="15" customHeight="1">
      <c r="A899" t="inlineStr">
        <is>
          <t>A 29992-2024</t>
        </is>
      </c>
      <c r="B899" s="1" t="n">
        <v>45488</v>
      </c>
      <c r="C899" s="1" t="n">
        <v>45645</v>
      </c>
      <c r="D899" t="inlineStr">
        <is>
          <t>NORRBOTTENS LÄN</t>
        </is>
      </c>
      <c r="E899" t="inlineStr">
        <is>
          <t>PAJALA</t>
        </is>
      </c>
      <c r="F899" t="inlineStr">
        <is>
          <t>Sveaskog</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30355-2024</t>
        </is>
      </c>
      <c r="B900" s="1" t="n">
        <v>45491</v>
      </c>
      <c r="C900" s="1" t="n">
        <v>45645</v>
      </c>
      <c r="D900" t="inlineStr">
        <is>
          <t>NORRBOTTENS LÄN</t>
        </is>
      </c>
      <c r="E900" t="inlineStr">
        <is>
          <t>PAJALA</t>
        </is>
      </c>
      <c r="G900" t="n">
        <v>24.6</v>
      </c>
      <c r="H900" t="n">
        <v>0</v>
      </c>
      <c r="I900" t="n">
        <v>0</v>
      </c>
      <c r="J900" t="n">
        <v>0</v>
      </c>
      <c r="K900" t="n">
        <v>0</v>
      </c>
      <c r="L900" t="n">
        <v>0</v>
      </c>
      <c r="M900" t="n">
        <v>0</v>
      </c>
      <c r="N900" t="n">
        <v>0</v>
      </c>
      <c r="O900" t="n">
        <v>0</v>
      </c>
      <c r="P900" t="n">
        <v>0</v>
      </c>
      <c r="Q900" t="n">
        <v>0</v>
      </c>
      <c r="R900" s="2" t="inlineStr"/>
    </row>
    <row r="901" ht="15" customHeight="1">
      <c r="A901" t="inlineStr">
        <is>
          <t>A 30409-2024</t>
        </is>
      </c>
      <c r="B901" s="1" t="n">
        <v>45491</v>
      </c>
      <c r="C901" s="1" t="n">
        <v>45645</v>
      </c>
      <c r="D901" t="inlineStr">
        <is>
          <t>NORRBOTTENS LÄN</t>
        </is>
      </c>
      <c r="E901" t="inlineStr">
        <is>
          <t>PAJALA</t>
        </is>
      </c>
      <c r="G901" t="n">
        <v>8.1</v>
      </c>
      <c r="H901" t="n">
        <v>0</v>
      </c>
      <c r="I901" t="n">
        <v>0</v>
      </c>
      <c r="J901" t="n">
        <v>0</v>
      </c>
      <c r="K901" t="n">
        <v>0</v>
      </c>
      <c r="L901" t="n">
        <v>0</v>
      </c>
      <c r="M901" t="n">
        <v>0</v>
      </c>
      <c r="N901" t="n">
        <v>0</v>
      </c>
      <c r="O901" t="n">
        <v>0</v>
      </c>
      <c r="P901" t="n">
        <v>0</v>
      </c>
      <c r="Q901" t="n">
        <v>0</v>
      </c>
      <c r="R901" s="2" t="inlineStr"/>
    </row>
    <row r="902" ht="15" customHeight="1">
      <c r="A902" t="inlineStr">
        <is>
          <t>A 30413-2024</t>
        </is>
      </c>
      <c r="B902" s="1" t="n">
        <v>45491</v>
      </c>
      <c r="C902" s="1" t="n">
        <v>45645</v>
      </c>
      <c r="D902" t="inlineStr">
        <is>
          <t>NORRBOTTENS LÄN</t>
        </is>
      </c>
      <c r="E902" t="inlineStr">
        <is>
          <t>PAJALA</t>
        </is>
      </c>
      <c r="G902" t="n">
        <v>11</v>
      </c>
      <c r="H902" t="n">
        <v>0</v>
      </c>
      <c r="I902" t="n">
        <v>0</v>
      </c>
      <c r="J902" t="n">
        <v>0</v>
      </c>
      <c r="K902" t="n">
        <v>0</v>
      </c>
      <c r="L902" t="n">
        <v>0</v>
      </c>
      <c r="M902" t="n">
        <v>0</v>
      </c>
      <c r="N902" t="n">
        <v>0</v>
      </c>
      <c r="O902" t="n">
        <v>0</v>
      </c>
      <c r="P902" t="n">
        <v>0</v>
      </c>
      <c r="Q902" t="n">
        <v>0</v>
      </c>
      <c r="R902" s="2" t="inlineStr"/>
    </row>
    <row r="903" ht="15" customHeight="1">
      <c r="A903" t="inlineStr">
        <is>
          <t>A 30416-2024</t>
        </is>
      </c>
      <c r="B903" s="1" t="n">
        <v>45491</v>
      </c>
      <c r="C903" s="1" t="n">
        <v>45645</v>
      </c>
      <c r="D903" t="inlineStr">
        <is>
          <t>NORRBOTTENS LÄN</t>
        </is>
      </c>
      <c r="E903" t="inlineStr">
        <is>
          <t>PAJALA</t>
        </is>
      </c>
      <c r="G903" t="n">
        <v>61.1</v>
      </c>
      <c r="H903" t="n">
        <v>0</v>
      </c>
      <c r="I903" t="n">
        <v>0</v>
      </c>
      <c r="J903" t="n">
        <v>0</v>
      </c>
      <c r="K903" t="n">
        <v>0</v>
      </c>
      <c r="L903" t="n">
        <v>0</v>
      </c>
      <c r="M903" t="n">
        <v>0</v>
      </c>
      <c r="N903" t="n">
        <v>0</v>
      </c>
      <c r="O903" t="n">
        <v>0</v>
      </c>
      <c r="P903" t="n">
        <v>0</v>
      </c>
      <c r="Q903" t="n">
        <v>0</v>
      </c>
      <c r="R903" s="2" t="inlineStr"/>
    </row>
    <row r="904" ht="15" customHeight="1">
      <c r="A904" t="inlineStr">
        <is>
          <t>A 30866-2024</t>
        </is>
      </c>
      <c r="B904" s="1" t="n">
        <v>45497</v>
      </c>
      <c r="C904" s="1" t="n">
        <v>45645</v>
      </c>
      <c r="D904" t="inlineStr">
        <is>
          <t>NORRBOTTENS LÄN</t>
        </is>
      </c>
      <c r="E904" t="inlineStr">
        <is>
          <t>PAJALA</t>
        </is>
      </c>
      <c r="G904" t="n">
        <v>84.3</v>
      </c>
      <c r="H904" t="n">
        <v>0</v>
      </c>
      <c r="I904" t="n">
        <v>0</v>
      </c>
      <c r="J904" t="n">
        <v>0</v>
      </c>
      <c r="K904" t="n">
        <v>0</v>
      </c>
      <c r="L904" t="n">
        <v>0</v>
      </c>
      <c r="M904" t="n">
        <v>0</v>
      </c>
      <c r="N904" t="n">
        <v>0</v>
      </c>
      <c r="O904" t="n">
        <v>0</v>
      </c>
      <c r="P904" t="n">
        <v>0</v>
      </c>
      <c r="Q904" t="n">
        <v>0</v>
      </c>
      <c r="R904" s="2" t="inlineStr"/>
    </row>
    <row r="905" ht="15" customHeight="1">
      <c r="A905" t="inlineStr">
        <is>
          <t>A 30914-2024</t>
        </is>
      </c>
      <c r="B905" s="1" t="n">
        <v>45498</v>
      </c>
      <c r="C905" s="1" t="n">
        <v>45645</v>
      </c>
      <c r="D905" t="inlineStr">
        <is>
          <t>NORRBOTTENS LÄN</t>
        </is>
      </c>
      <c r="E905" t="inlineStr">
        <is>
          <t>PAJALA</t>
        </is>
      </c>
      <c r="G905" t="n">
        <v>0.3</v>
      </c>
      <c r="H905" t="n">
        <v>0</v>
      </c>
      <c r="I905" t="n">
        <v>0</v>
      </c>
      <c r="J905" t="n">
        <v>0</v>
      </c>
      <c r="K905" t="n">
        <v>0</v>
      </c>
      <c r="L905" t="n">
        <v>0</v>
      </c>
      <c r="M905" t="n">
        <v>0</v>
      </c>
      <c r="N905" t="n">
        <v>0</v>
      </c>
      <c r="O905" t="n">
        <v>0</v>
      </c>
      <c r="P905" t="n">
        <v>0</v>
      </c>
      <c r="Q905" t="n">
        <v>0</v>
      </c>
      <c r="R905" s="2" t="inlineStr"/>
    </row>
    <row r="906" ht="15" customHeight="1">
      <c r="A906" t="inlineStr">
        <is>
          <t>A 31097-2024</t>
        </is>
      </c>
      <c r="B906" s="1" t="n">
        <v>45502</v>
      </c>
      <c r="C906" s="1" t="n">
        <v>45645</v>
      </c>
      <c r="D906" t="inlineStr">
        <is>
          <t>NORRBOTTENS LÄN</t>
        </is>
      </c>
      <c r="E906" t="inlineStr">
        <is>
          <t>PAJALA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31316-2024</t>
        </is>
      </c>
      <c r="B907" s="1" t="n">
        <v>45504</v>
      </c>
      <c r="C907" s="1" t="n">
        <v>45645</v>
      </c>
      <c r="D907" t="inlineStr">
        <is>
          <t>NORRBOTTENS LÄN</t>
        </is>
      </c>
      <c r="E907" t="inlineStr">
        <is>
          <t>PAJALA</t>
        </is>
      </c>
      <c r="F907" t="inlineStr">
        <is>
          <t>Sveaskog</t>
        </is>
      </c>
      <c r="G907" t="n">
        <v>26.3</v>
      </c>
      <c r="H907" t="n">
        <v>0</v>
      </c>
      <c r="I907" t="n">
        <v>0</v>
      </c>
      <c r="J907" t="n">
        <v>0</v>
      </c>
      <c r="K907" t="n">
        <v>0</v>
      </c>
      <c r="L907" t="n">
        <v>0</v>
      </c>
      <c r="M907" t="n">
        <v>0</v>
      </c>
      <c r="N907" t="n">
        <v>0</v>
      </c>
      <c r="O907" t="n">
        <v>0</v>
      </c>
      <c r="P907" t="n">
        <v>0</v>
      </c>
      <c r="Q907" t="n">
        <v>0</v>
      </c>
      <c r="R907" s="2" t="inlineStr"/>
    </row>
    <row r="908" ht="15" customHeight="1">
      <c r="A908" t="inlineStr">
        <is>
          <t>A 31355-2024</t>
        </is>
      </c>
      <c r="B908" s="1" t="n">
        <v>45505</v>
      </c>
      <c r="C908" s="1" t="n">
        <v>45645</v>
      </c>
      <c r="D908" t="inlineStr">
        <is>
          <t>NORRBOTTENS LÄN</t>
        </is>
      </c>
      <c r="E908" t="inlineStr">
        <is>
          <t>PAJALA</t>
        </is>
      </c>
      <c r="G908" t="n">
        <v>0.6</v>
      </c>
      <c r="H908" t="n">
        <v>0</v>
      </c>
      <c r="I908" t="n">
        <v>0</v>
      </c>
      <c r="J908" t="n">
        <v>0</v>
      </c>
      <c r="K908" t="n">
        <v>0</v>
      </c>
      <c r="L908" t="n">
        <v>0</v>
      </c>
      <c r="M908" t="n">
        <v>0</v>
      </c>
      <c r="N908" t="n">
        <v>0</v>
      </c>
      <c r="O908" t="n">
        <v>0</v>
      </c>
      <c r="P908" t="n">
        <v>0</v>
      </c>
      <c r="Q908" t="n">
        <v>0</v>
      </c>
      <c r="R908" s="2" t="inlineStr"/>
    </row>
    <row r="909" ht="15" customHeight="1">
      <c r="A909" t="inlineStr">
        <is>
          <t>A 32779-2024</t>
        </is>
      </c>
      <c r="B909" s="1" t="n">
        <v>45516</v>
      </c>
      <c r="C909" s="1" t="n">
        <v>45645</v>
      </c>
      <c r="D909" t="inlineStr">
        <is>
          <t>NORRBOTTENS LÄN</t>
        </is>
      </c>
      <c r="E909" t="inlineStr">
        <is>
          <t>PAJALA</t>
        </is>
      </c>
      <c r="G909" t="n">
        <v>5.6</v>
      </c>
      <c r="H909" t="n">
        <v>0</v>
      </c>
      <c r="I909" t="n">
        <v>0</v>
      </c>
      <c r="J909" t="n">
        <v>0</v>
      </c>
      <c r="K909" t="n">
        <v>0</v>
      </c>
      <c r="L909" t="n">
        <v>0</v>
      </c>
      <c r="M909" t="n">
        <v>0</v>
      </c>
      <c r="N909" t="n">
        <v>0</v>
      </c>
      <c r="O909" t="n">
        <v>0</v>
      </c>
      <c r="P909" t="n">
        <v>0</v>
      </c>
      <c r="Q909" t="n">
        <v>0</v>
      </c>
      <c r="R909" s="2" t="inlineStr"/>
    </row>
    <row r="910" ht="15" customHeight="1">
      <c r="A910" t="inlineStr">
        <is>
          <t>A 33072-2024</t>
        </is>
      </c>
      <c r="B910" s="1" t="n">
        <v>45517</v>
      </c>
      <c r="C910" s="1" t="n">
        <v>45645</v>
      </c>
      <c r="D910" t="inlineStr">
        <is>
          <t>NORRBOTTENS LÄN</t>
        </is>
      </c>
      <c r="E910" t="inlineStr">
        <is>
          <t>PAJALA</t>
        </is>
      </c>
      <c r="F910" t="inlineStr">
        <is>
          <t>Allmännings- och besparingsskogar</t>
        </is>
      </c>
      <c r="G910" t="n">
        <v>8.1</v>
      </c>
      <c r="H910" t="n">
        <v>0</v>
      </c>
      <c r="I910" t="n">
        <v>0</v>
      </c>
      <c r="J910" t="n">
        <v>0</v>
      </c>
      <c r="K910" t="n">
        <v>0</v>
      </c>
      <c r="L910" t="n">
        <v>0</v>
      </c>
      <c r="M910" t="n">
        <v>0</v>
      </c>
      <c r="N910" t="n">
        <v>0</v>
      </c>
      <c r="O910" t="n">
        <v>0</v>
      </c>
      <c r="P910" t="n">
        <v>0</v>
      </c>
      <c r="Q910" t="n">
        <v>0</v>
      </c>
      <c r="R910" s="2" t="inlineStr"/>
    </row>
    <row r="911" ht="15" customHeight="1">
      <c r="A911" t="inlineStr">
        <is>
          <t>A 34042-2024</t>
        </is>
      </c>
      <c r="B911" s="1" t="n">
        <v>45523</v>
      </c>
      <c r="C911" s="1" t="n">
        <v>45645</v>
      </c>
      <c r="D911" t="inlineStr">
        <is>
          <t>NORRBOTTENS LÄN</t>
        </is>
      </c>
      <c r="E911" t="inlineStr">
        <is>
          <t>PAJALA</t>
        </is>
      </c>
      <c r="G911" t="n">
        <v>12.5</v>
      </c>
      <c r="H911" t="n">
        <v>0</v>
      </c>
      <c r="I911" t="n">
        <v>0</v>
      </c>
      <c r="J911" t="n">
        <v>0</v>
      </c>
      <c r="K911" t="n">
        <v>0</v>
      </c>
      <c r="L911" t="n">
        <v>0</v>
      </c>
      <c r="M911" t="n">
        <v>0</v>
      </c>
      <c r="N911" t="n">
        <v>0</v>
      </c>
      <c r="O911" t="n">
        <v>0</v>
      </c>
      <c r="P911" t="n">
        <v>0</v>
      </c>
      <c r="Q911" t="n">
        <v>0</v>
      </c>
      <c r="R911" s="2" t="inlineStr"/>
    </row>
    <row r="912" ht="15" customHeight="1">
      <c r="A912" t="inlineStr">
        <is>
          <t>A 33889-2024</t>
        </is>
      </c>
      <c r="B912" s="1" t="n">
        <v>45523</v>
      </c>
      <c r="C912" s="1" t="n">
        <v>45645</v>
      </c>
      <c r="D912" t="inlineStr">
        <is>
          <t>NORRBOTTENS LÄN</t>
        </is>
      </c>
      <c r="E912" t="inlineStr">
        <is>
          <t>PAJALA</t>
        </is>
      </c>
      <c r="G912" t="n">
        <v>10.7</v>
      </c>
      <c r="H912" t="n">
        <v>0</v>
      </c>
      <c r="I912" t="n">
        <v>0</v>
      </c>
      <c r="J912" t="n">
        <v>0</v>
      </c>
      <c r="K912" t="n">
        <v>0</v>
      </c>
      <c r="L912" t="n">
        <v>0</v>
      </c>
      <c r="M912" t="n">
        <v>0</v>
      </c>
      <c r="N912" t="n">
        <v>0</v>
      </c>
      <c r="O912" t="n">
        <v>0</v>
      </c>
      <c r="P912" t="n">
        <v>0</v>
      </c>
      <c r="Q912" t="n">
        <v>0</v>
      </c>
      <c r="R912" s="2" t="inlineStr"/>
    </row>
    <row r="913" ht="15" customHeight="1">
      <c r="A913" t="inlineStr">
        <is>
          <t>A 33899-2024</t>
        </is>
      </c>
      <c r="B913" s="1" t="n">
        <v>45523</v>
      </c>
      <c r="C913" s="1" t="n">
        <v>45645</v>
      </c>
      <c r="D913" t="inlineStr">
        <is>
          <t>NORRBOTTENS LÄN</t>
        </is>
      </c>
      <c r="E913" t="inlineStr">
        <is>
          <t>PAJALA</t>
        </is>
      </c>
      <c r="G913" t="n">
        <v>26.8</v>
      </c>
      <c r="H913" t="n">
        <v>0</v>
      </c>
      <c r="I913" t="n">
        <v>0</v>
      </c>
      <c r="J913" t="n">
        <v>0</v>
      </c>
      <c r="K913" t="n">
        <v>0</v>
      </c>
      <c r="L913" t="n">
        <v>0</v>
      </c>
      <c r="M913" t="n">
        <v>0</v>
      </c>
      <c r="N913" t="n">
        <v>0</v>
      </c>
      <c r="O913" t="n">
        <v>0</v>
      </c>
      <c r="P913" t="n">
        <v>0</v>
      </c>
      <c r="Q913" t="n">
        <v>0</v>
      </c>
      <c r="R913" s="2" t="inlineStr"/>
    </row>
    <row r="914" ht="15" customHeight="1">
      <c r="A914" t="inlineStr">
        <is>
          <t>A 33903-2024</t>
        </is>
      </c>
      <c r="B914" s="1" t="n">
        <v>45523</v>
      </c>
      <c r="C914" s="1" t="n">
        <v>45645</v>
      </c>
      <c r="D914" t="inlineStr">
        <is>
          <t>NORRBOTTENS LÄN</t>
        </is>
      </c>
      <c r="E914" t="inlineStr">
        <is>
          <t>PAJALA</t>
        </is>
      </c>
      <c r="G914" t="n">
        <v>4.2</v>
      </c>
      <c r="H914" t="n">
        <v>0</v>
      </c>
      <c r="I914" t="n">
        <v>0</v>
      </c>
      <c r="J914" t="n">
        <v>0</v>
      </c>
      <c r="K914" t="n">
        <v>0</v>
      </c>
      <c r="L914" t="n">
        <v>0</v>
      </c>
      <c r="M914" t="n">
        <v>0</v>
      </c>
      <c r="N914" t="n">
        <v>0</v>
      </c>
      <c r="O914" t="n">
        <v>0</v>
      </c>
      <c r="P914" t="n">
        <v>0</v>
      </c>
      <c r="Q914" t="n">
        <v>0</v>
      </c>
      <c r="R914" s="2" t="inlineStr"/>
    </row>
    <row r="915" ht="15" customHeight="1">
      <c r="A915" t="inlineStr">
        <is>
          <t>A 34089-2024</t>
        </is>
      </c>
      <c r="B915" s="1" t="n">
        <v>45523</v>
      </c>
      <c r="C915" s="1" t="n">
        <v>45645</v>
      </c>
      <c r="D915" t="inlineStr">
        <is>
          <t>NORRBOTTENS LÄN</t>
        </is>
      </c>
      <c r="E915" t="inlineStr">
        <is>
          <t>PAJALA</t>
        </is>
      </c>
      <c r="G915" t="n">
        <v>1.2</v>
      </c>
      <c r="H915" t="n">
        <v>0</v>
      </c>
      <c r="I915" t="n">
        <v>0</v>
      </c>
      <c r="J915" t="n">
        <v>0</v>
      </c>
      <c r="K915" t="n">
        <v>0</v>
      </c>
      <c r="L915" t="n">
        <v>0</v>
      </c>
      <c r="M915" t="n">
        <v>0</v>
      </c>
      <c r="N915" t="n">
        <v>0</v>
      </c>
      <c r="O915" t="n">
        <v>0</v>
      </c>
      <c r="P915" t="n">
        <v>0</v>
      </c>
      <c r="Q915" t="n">
        <v>0</v>
      </c>
      <c r="R915" s="2" t="inlineStr"/>
    </row>
    <row r="916" ht="15" customHeight="1">
      <c r="A916" t="inlineStr">
        <is>
          <t>A 34097-2024</t>
        </is>
      </c>
      <c r="B916" s="1" t="n">
        <v>45523</v>
      </c>
      <c r="C916" s="1" t="n">
        <v>45645</v>
      </c>
      <c r="D916" t="inlineStr">
        <is>
          <t>NORRBOTTENS LÄN</t>
        </is>
      </c>
      <c r="E916" t="inlineStr">
        <is>
          <t>PAJALA</t>
        </is>
      </c>
      <c r="G916" t="n">
        <v>5.3</v>
      </c>
      <c r="H916" t="n">
        <v>0</v>
      </c>
      <c r="I916" t="n">
        <v>0</v>
      </c>
      <c r="J916" t="n">
        <v>0</v>
      </c>
      <c r="K916" t="n">
        <v>0</v>
      </c>
      <c r="L916" t="n">
        <v>0</v>
      </c>
      <c r="M916" t="n">
        <v>0</v>
      </c>
      <c r="N916" t="n">
        <v>0</v>
      </c>
      <c r="O916" t="n">
        <v>0</v>
      </c>
      <c r="P916" t="n">
        <v>0</v>
      </c>
      <c r="Q916" t="n">
        <v>0</v>
      </c>
      <c r="R916" s="2" t="inlineStr"/>
    </row>
    <row r="917" ht="15" customHeight="1">
      <c r="A917" t="inlineStr">
        <is>
          <t>A 34071-2024</t>
        </is>
      </c>
      <c r="B917" s="1" t="n">
        <v>45523</v>
      </c>
      <c r="C917" s="1" t="n">
        <v>45645</v>
      </c>
      <c r="D917" t="inlineStr">
        <is>
          <t>NORRBOTTENS LÄN</t>
        </is>
      </c>
      <c r="E917" t="inlineStr">
        <is>
          <t>PAJALA</t>
        </is>
      </c>
      <c r="G917" t="n">
        <v>7</v>
      </c>
      <c r="H917" t="n">
        <v>0</v>
      </c>
      <c r="I917" t="n">
        <v>0</v>
      </c>
      <c r="J917" t="n">
        <v>0</v>
      </c>
      <c r="K917" t="n">
        <v>0</v>
      </c>
      <c r="L917" t="n">
        <v>0</v>
      </c>
      <c r="M917" t="n">
        <v>0</v>
      </c>
      <c r="N917" t="n">
        <v>0</v>
      </c>
      <c r="O917" t="n">
        <v>0</v>
      </c>
      <c r="P917" t="n">
        <v>0</v>
      </c>
      <c r="Q917" t="n">
        <v>0</v>
      </c>
      <c r="R917" s="2" t="inlineStr"/>
    </row>
    <row r="918" ht="15" customHeight="1">
      <c r="A918" t="inlineStr">
        <is>
          <t>A 34083-2024</t>
        </is>
      </c>
      <c r="B918" s="1" t="n">
        <v>45523</v>
      </c>
      <c r="C918" s="1" t="n">
        <v>45645</v>
      </c>
      <c r="D918" t="inlineStr">
        <is>
          <t>NORRBOTTENS LÄN</t>
        </is>
      </c>
      <c r="E918" t="inlineStr">
        <is>
          <t>PAJALA</t>
        </is>
      </c>
      <c r="G918" t="n">
        <v>3</v>
      </c>
      <c r="H918" t="n">
        <v>0</v>
      </c>
      <c r="I918" t="n">
        <v>0</v>
      </c>
      <c r="J918" t="n">
        <v>0</v>
      </c>
      <c r="K918" t="n">
        <v>0</v>
      </c>
      <c r="L918" t="n">
        <v>0</v>
      </c>
      <c r="M918" t="n">
        <v>0</v>
      </c>
      <c r="N918" t="n">
        <v>0</v>
      </c>
      <c r="O918" t="n">
        <v>0</v>
      </c>
      <c r="P918" t="n">
        <v>0</v>
      </c>
      <c r="Q918" t="n">
        <v>0</v>
      </c>
      <c r="R918" s="2" t="inlineStr"/>
    </row>
    <row r="919" ht="15" customHeight="1">
      <c r="A919" t="inlineStr">
        <is>
          <t>A 34087-2024</t>
        </is>
      </c>
      <c r="B919" s="1" t="n">
        <v>45523</v>
      </c>
      <c r="C919" s="1" t="n">
        <v>45645</v>
      </c>
      <c r="D919" t="inlineStr">
        <is>
          <t>NORRBOTTENS LÄN</t>
        </is>
      </c>
      <c r="E919" t="inlineStr">
        <is>
          <t>PAJALA</t>
        </is>
      </c>
      <c r="G919" t="n">
        <v>1.8</v>
      </c>
      <c r="H919" t="n">
        <v>0</v>
      </c>
      <c r="I919" t="n">
        <v>0</v>
      </c>
      <c r="J919" t="n">
        <v>0</v>
      </c>
      <c r="K919" t="n">
        <v>0</v>
      </c>
      <c r="L919" t="n">
        <v>0</v>
      </c>
      <c r="M919" t="n">
        <v>0</v>
      </c>
      <c r="N919" t="n">
        <v>0</v>
      </c>
      <c r="O919" t="n">
        <v>0</v>
      </c>
      <c r="P919" t="n">
        <v>0</v>
      </c>
      <c r="Q919" t="n">
        <v>0</v>
      </c>
      <c r="R919" s="2" t="inlineStr"/>
    </row>
    <row r="920" ht="15" customHeight="1">
      <c r="A920" t="inlineStr">
        <is>
          <t>A 34092-2024</t>
        </is>
      </c>
      <c r="B920" s="1" t="n">
        <v>45523</v>
      </c>
      <c r="C920" s="1" t="n">
        <v>45645</v>
      </c>
      <c r="D920" t="inlineStr">
        <is>
          <t>NORRBOTTENS LÄN</t>
        </is>
      </c>
      <c r="E920" t="inlineStr">
        <is>
          <t>PAJALA</t>
        </is>
      </c>
      <c r="G920" t="n">
        <v>11.7</v>
      </c>
      <c r="H920" t="n">
        <v>0</v>
      </c>
      <c r="I920" t="n">
        <v>0</v>
      </c>
      <c r="J920" t="n">
        <v>0</v>
      </c>
      <c r="K920" t="n">
        <v>0</v>
      </c>
      <c r="L920" t="n">
        <v>0</v>
      </c>
      <c r="M920" t="n">
        <v>0</v>
      </c>
      <c r="N920" t="n">
        <v>0</v>
      </c>
      <c r="O920" t="n">
        <v>0</v>
      </c>
      <c r="P920" t="n">
        <v>0</v>
      </c>
      <c r="Q920" t="n">
        <v>0</v>
      </c>
      <c r="R920" s="2" t="inlineStr"/>
    </row>
    <row r="921" ht="15" customHeight="1">
      <c r="A921" t="inlineStr">
        <is>
          <t>A 34096-2024</t>
        </is>
      </c>
      <c r="B921" s="1" t="n">
        <v>45523</v>
      </c>
      <c r="C921" s="1" t="n">
        <v>45645</v>
      </c>
      <c r="D921" t="inlineStr">
        <is>
          <t>NORRBOTTENS LÄN</t>
        </is>
      </c>
      <c r="E921" t="inlineStr">
        <is>
          <t>PAJALA</t>
        </is>
      </c>
      <c r="G921" t="n">
        <v>6.2</v>
      </c>
      <c r="H921" t="n">
        <v>0</v>
      </c>
      <c r="I921" t="n">
        <v>0</v>
      </c>
      <c r="J921" t="n">
        <v>0</v>
      </c>
      <c r="K921" t="n">
        <v>0</v>
      </c>
      <c r="L921" t="n">
        <v>0</v>
      </c>
      <c r="M921" t="n">
        <v>0</v>
      </c>
      <c r="N921" t="n">
        <v>0</v>
      </c>
      <c r="O921" t="n">
        <v>0</v>
      </c>
      <c r="P921" t="n">
        <v>0</v>
      </c>
      <c r="Q921" t="n">
        <v>0</v>
      </c>
      <c r="R921" s="2" t="inlineStr"/>
    </row>
    <row r="922" ht="15" customHeight="1">
      <c r="A922" t="inlineStr">
        <is>
          <t>A 34202-2024</t>
        </is>
      </c>
      <c r="B922" s="1" t="n">
        <v>45524</v>
      </c>
      <c r="C922" s="1" t="n">
        <v>45645</v>
      </c>
      <c r="D922" t="inlineStr">
        <is>
          <t>NORRBOTTENS LÄN</t>
        </is>
      </c>
      <c r="E922" t="inlineStr">
        <is>
          <t>PAJALA</t>
        </is>
      </c>
      <c r="G922" t="n">
        <v>14.2</v>
      </c>
      <c r="H922" t="n">
        <v>0</v>
      </c>
      <c r="I922" t="n">
        <v>0</v>
      </c>
      <c r="J922" t="n">
        <v>0</v>
      </c>
      <c r="K922" t="n">
        <v>0</v>
      </c>
      <c r="L922" t="n">
        <v>0</v>
      </c>
      <c r="M922" t="n">
        <v>0</v>
      </c>
      <c r="N922" t="n">
        <v>0</v>
      </c>
      <c r="O922" t="n">
        <v>0</v>
      </c>
      <c r="P922" t="n">
        <v>0</v>
      </c>
      <c r="Q922" t="n">
        <v>0</v>
      </c>
      <c r="R922" s="2" t="inlineStr"/>
    </row>
    <row r="923" ht="15" customHeight="1">
      <c r="A923" t="inlineStr">
        <is>
          <t>A 34708-2024</t>
        </is>
      </c>
      <c r="B923" s="1" t="n">
        <v>45526</v>
      </c>
      <c r="C923" s="1" t="n">
        <v>45645</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34709-2024</t>
        </is>
      </c>
      <c r="B924" s="1" t="n">
        <v>45526</v>
      </c>
      <c r="C924" s="1" t="n">
        <v>45645</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34695-2024</t>
        </is>
      </c>
      <c r="B925" s="1" t="n">
        <v>45526</v>
      </c>
      <c r="C925" s="1" t="n">
        <v>45645</v>
      </c>
      <c r="D925" t="inlineStr">
        <is>
          <t>NORRBOTTENS LÄN</t>
        </is>
      </c>
      <c r="E925" t="inlineStr">
        <is>
          <t>PAJALA</t>
        </is>
      </c>
      <c r="G925" t="n">
        <v>24.4</v>
      </c>
      <c r="H925" t="n">
        <v>0</v>
      </c>
      <c r="I925" t="n">
        <v>0</v>
      </c>
      <c r="J925" t="n">
        <v>0</v>
      </c>
      <c r="K925" t="n">
        <v>0</v>
      </c>
      <c r="L925" t="n">
        <v>0</v>
      </c>
      <c r="M925" t="n">
        <v>0</v>
      </c>
      <c r="N925" t="n">
        <v>0</v>
      </c>
      <c r="O925" t="n">
        <v>0</v>
      </c>
      <c r="P925" t="n">
        <v>0</v>
      </c>
      <c r="Q925" t="n">
        <v>0</v>
      </c>
      <c r="R925" s="2" t="inlineStr"/>
    </row>
    <row r="926" ht="15" customHeight="1">
      <c r="A926" t="inlineStr">
        <is>
          <t>A 34707-2024</t>
        </is>
      </c>
      <c r="B926" s="1" t="n">
        <v>45526</v>
      </c>
      <c r="C926" s="1" t="n">
        <v>45645</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34731-2024</t>
        </is>
      </c>
      <c r="B927" s="1" t="n">
        <v>45526</v>
      </c>
      <c r="C927" s="1" t="n">
        <v>45645</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35260-2024</t>
        </is>
      </c>
      <c r="B928" s="1" t="n">
        <v>45530</v>
      </c>
      <c r="C928" s="1" t="n">
        <v>45645</v>
      </c>
      <c r="D928" t="inlineStr">
        <is>
          <t>NORRBOTTENS LÄN</t>
        </is>
      </c>
      <c r="E928" t="inlineStr">
        <is>
          <t>PAJALA</t>
        </is>
      </c>
      <c r="F928" t="inlineStr">
        <is>
          <t>Allmännings- och besparingsskogar</t>
        </is>
      </c>
      <c r="G928" t="n">
        <v>32.7</v>
      </c>
      <c r="H928" t="n">
        <v>0</v>
      </c>
      <c r="I928" t="n">
        <v>0</v>
      </c>
      <c r="J928" t="n">
        <v>0</v>
      </c>
      <c r="K928" t="n">
        <v>0</v>
      </c>
      <c r="L928" t="n">
        <v>0</v>
      </c>
      <c r="M928" t="n">
        <v>0</v>
      </c>
      <c r="N928" t="n">
        <v>0</v>
      </c>
      <c r="O928" t="n">
        <v>0</v>
      </c>
      <c r="P928" t="n">
        <v>0</v>
      </c>
      <c r="Q928" t="n">
        <v>0</v>
      </c>
      <c r="R928" s="2" t="inlineStr"/>
    </row>
    <row r="929" ht="15" customHeight="1">
      <c r="A929" t="inlineStr">
        <is>
          <t>A 35276-2024</t>
        </is>
      </c>
      <c r="B929" s="1" t="n">
        <v>45530</v>
      </c>
      <c r="C929" s="1" t="n">
        <v>45645</v>
      </c>
      <c r="D929" t="inlineStr">
        <is>
          <t>NORRBOTTENS LÄN</t>
        </is>
      </c>
      <c r="E929" t="inlineStr">
        <is>
          <t>PAJALA</t>
        </is>
      </c>
      <c r="F929" t="inlineStr">
        <is>
          <t>Allmännings- och besparingsskogar</t>
        </is>
      </c>
      <c r="G929" t="n">
        <v>5.1</v>
      </c>
      <c r="H929" t="n">
        <v>0</v>
      </c>
      <c r="I929" t="n">
        <v>0</v>
      </c>
      <c r="J929" t="n">
        <v>0</v>
      </c>
      <c r="K929" t="n">
        <v>0</v>
      </c>
      <c r="L929" t="n">
        <v>0</v>
      </c>
      <c r="M929" t="n">
        <v>0</v>
      </c>
      <c r="N929" t="n">
        <v>0</v>
      </c>
      <c r="O929" t="n">
        <v>0</v>
      </c>
      <c r="P929" t="n">
        <v>0</v>
      </c>
      <c r="Q929" t="n">
        <v>0</v>
      </c>
      <c r="R929" s="2" t="inlineStr"/>
    </row>
    <row r="930" ht="15" customHeight="1">
      <c r="A930" t="inlineStr">
        <is>
          <t>A 35917-2024</t>
        </is>
      </c>
      <c r="B930" s="1" t="n">
        <v>45533</v>
      </c>
      <c r="C930" s="1" t="n">
        <v>45645</v>
      </c>
      <c r="D930" t="inlineStr">
        <is>
          <t>NORRBOTTENS LÄN</t>
        </is>
      </c>
      <c r="E930" t="inlineStr">
        <is>
          <t>PAJALA</t>
        </is>
      </c>
      <c r="F930" t="inlineStr">
        <is>
          <t>Sveaskog</t>
        </is>
      </c>
      <c r="G930" t="n">
        <v>46.7</v>
      </c>
      <c r="H930" t="n">
        <v>0</v>
      </c>
      <c r="I930" t="n">
        <v>0</v>
      </c>
      <c r="J930" t="n">
        <v>0</v>
      </c>
      <c r="K930" t="n">
        <v>0</v>
      </c>
      <c r="L930" t="n">
        <v>0</v>
      </c>
      <c r="M930" t="n">
        <v>0</v>
      </c>
      <c r="N930" t="n">
        <v>0</v>
      </c>
      <c r="O930" t="n">
        <v>0</v>
      </c>
      <c r="P930" t="n">
        <v>0</v>
      </c>
      <c r="Q930" t="n">
        <v>0</v>
      </c>
      <c r="R930" s="2" t="inlineStr"/>
    </row>
    <row r="931" ht="15" customHeight="1">
      <c r="A931" t="inlineStr">
        <is>
          <t>A 36716-2024</t>
        </is>
      </c>
      <c r="B931" s="1" t="n">
        <v>45537</v>
      </c>
      <c r="C931" s="1" t="n">
        <v>45645</v>
      </c>
      <c r="D931" t="inlineStr">
        <is>
          <t>NORRBOTTENS LÄN</t>
        </is>
      </c>
      <c r="E931" t="inlineStr">
        <is>
          <t>PAJALA</t>
        </is>
      </c>
      <c r="G931" t="n">
        <v>2</v>
      </c>
      <c r="H931" t="n">
        <v>0</v>
      </c>
      <c r="I931" t="n">
        <v>0</v>
      </c>
      <c r="J931" t="n">
        <v>0</v>
      </c>
      <c r="K931" t="n">
        <v>0</v>
      </c>
      <c r="L931" t="n">
        <v>0</v>
      </c>
      <c r="M931" t="n">
        <v>0</v>
      </c>
      <c r="N931" t="n">
        <v>0</v>
      </c>
      <c r="O931" t="n">
        <v>0</v>
      </c>
      <c r="P931" t="n">
        <v>0</v>
      </c>
      <c r="Q931" t="n">
        <v>0</v>
      </c>
      <c r="R931" s="2" t="inlineStr"/>
    </row>
    <row r="932" ht="15" customHeight="1">
      <c r="A932" t="inlineStr">
        <is>
          <t>A 36719-2024</t>
        </is>
      </c>
      <c r="B932" s="1" t="n">
        <v>45537</v>
      </c>
      <c r="C932" s="1" t="n">
        <v>45645</v>
      </c>
      <c r="D932" t="inlineStr">
        <is>
          <t>NORRBOTTENS LÄN</t>
        </is>
      </c>
      <c r="E932" t="inlineStr">
        <is>
          <t>PAJALA</t>
        </is>
      </c>
      <c r="G932" t="n">
        <v>2.7</v>
      </c>
      <c r="H932" t="n">
        <v>0</v>
      </c>
      <c r="I932" t="n">
        <v>0</v>
      </c>
      <c r="J932" t="n">
        <v>0</v>
      </c>
      <c r="K932" t="n">
        <v>0</v>
      </c>
      <c r="L932" t="n">
        <v>0</v>
      </c>
      <c r="M932" t="n">
        <v>0</v>
      </c>
      <c r="N932" t="n">
        <v>0</v>
      </c>
      <c r="O932" t="n">
        <v>0</v>
      </c>
      <c r="P932" t="n">
        <v>0</v>
      </c>
      <c r="Q932" t="n">
        <v>0</v>
      </c>
      <c r="R932" s="2" t="inlineStr"/>
    </row>
    <row r="933" ht="15" customHeight="1">
      <c r="A933" t="inlineStr">
        <is>
          <t>A 36810-2024</t>
        </is>
      </c>
      <c r="B933" s="1" t="n">
        <v>45538</v>
      </c>
      <c r="C933" s="1" t="n">
        <v>45645</v>
      </c>
      <c r="D933" t="inlineStr">
        <is>
          <t>NORRBOTTENS LÄN</t>
        </is>
      </c>
      <c r="E933" t="inlineStr">
        <is>
          <t>PAJALA</t>
        </is>
      </c>
      <c r="G933" t="n">
        <v>7.4</v>
      </c>
      <c r="H933" t="n">
        <v>0</v>
      </c>
      <c r="I933" t="n">
        <v>0</v>
      </c>
      <c r="J933" t="n">
        <v>0</v>
      </c>
      <c r="K933" t="n">
        <v>0</v>
      </c>
      <c r="L933" t="n">
        <v>0</v>
      </c>
      <c r="M933" t="n">
        <v>0</v>
      </c>
      <c r="N933" t="n">
        <v>0</v>
      </c>
      <c r="O933" t="n">
        <v>0</v>
      </c>
      <c r="P933" t="n">
        <v>0</v>
      </c>
      <c r="Q933" t="n">
        <v>0</v>
      </c>
      <c r="R933" s="2" t="inlineStr"/>
    </row>
    <row r="934" ht="15" customHeight="1">
      <c r="A934" t="inlineStr">
        <is>
          <t>A 37047-2024</t>
        </is>
      </c>
      <c r="B934" s="1" t="n">
        <v>45539</v>
      </c>
      <c r="C934" s="1" t="n">
        <v>45645</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37400-2024</t>
        </is>
      </c>
      <c r="B935" s="1" t="n">
        <v>45540</v>
      </c>
      <c r="C935" s="1" t="n">
        <v>45645</v>
      </c>
      <c r="D935" t="inlineStr">
        <is>
          <t>NORRBOTTENS LÄN</t>
        </is>
      </c>
      <c r="E935" t="inlineStr">
        <is>
          <t>PAJALA</t>
        </is>
      </c>
      <c r="G935" t="n">
        <v>6.3</v>
      </c>
      <c r="H935" t="n">
        <v>0</v>
      </c>
      <c r="I935" t="n">
        <v>0</v>
      </c>
      <c r="J935" t="n">
        <v>0</v>
      </c>
      <c r="K935" t="n">
        <v>0</v>
      </c>
      <c r="L935" t="n">
        <v>0</v>
      </c>
      <c r="M935" t="n">
        <v>0</v>
      </c>
      <c r="N935" t="n">
        <v>0</v>
      </c>
      <c r="O935" t="n">
        <v>0</v>
      </c>
      <c r="P935" t="n">
        <v>0</v>
      </c>
      <c r="Q935" t="n">
        <v>0</v>
      </c>
      <c r="R935" s="2" t="inlineStr"/>
    </row>
    <row r="936" ht="15" customHeight="1">
      <c r="A936" t="inlineStr">
        <is>
          <t>A 37289-2024</t>
        </is>
      </c>
      <c r="B936" s="1" t="n">
        <v>45540</v>
      </c>
      <c r="C936" s="1" t="n">
        <v>45645</v>
      </c>
      <c r="D936" t="inlineStr">
        <is>
          <t>NORRBOTTENS LÄN</t>
        </is>
      </c>
      <c r="E936" t="inlineStr">
        <is>
          <t>PAJALA</t>
        </is>
      </c>
      <c r="G936" t="n">
        <v>13.8</v>
      </c>
      <c r="H936" t="n">
        <v>0</v>
      </c>
      <c r="I936" t="n">
        <v>0</v>
      </c>
      <c r="J936" t="n">
        <v>0</v>
      </c>
      <c r="K936" t="n">
        <v>0</v>
      </c>
      <c r="L936" t="n">
        <v>0</v>
      </c>
      <c r="M936" t="n">
        <v>0</v>
      </c>
      <c r="N936" t="n">
        <v>0</v>
      </c>
      <c r="O936" t="n">
        <v>0</v>
      </c>
      <c r="P936" t="n">
        <v>0</v>
      </c>
      <c r="Q936" t="n">
        <v>0</v>
      </c>
      <c r="R936" s="2" t="inlineStr"/>
    </row>
    <row r="937" ht="15" customHeight="1">
      <c r="A937" t="inlineStr">
        <is>
          <t>A 37321-2024</t>
        </is>
      </c>
      <c r="B937" s="1" t="n">
        <v>45540</v>
      </c>
      <c r="C937" s="1" t="n">
        <v>45645</v>
      </c>
      <c r="D937" t="inlineStr">
        <is>
          <t>NORRBOTTENS LÄN</t>
        </is>
      </c>
      <c r="E937" t="inlineStr">
        <is>
          <t>PAJALA</t>
        </is>
      </c>
      <c r="G937" t="n">
        <v>6</v>
      </c>
      <c r="H937" t="n">
        <v>0</v>
      </c>
      <c r="I937" t="n">
        <v>0</v>
      </c>
      <c r="J937" t="n">
        <v>0</v>
      </c>
      <c r="K937" t="n">
        <v>0</v>
      </c>
      <c r="L937" t="n">
        <v>0</v>
      </c>
      <c r="M937" t="n">
        <v>0</v>
      </c>
      <c r="N937" t="n">
        <v>0</v>
      </c>
      <c r="O937" t="n">
        <v>0</v>
      </c>
      <c r="P937" t="n">
        <v>0</v>
      </c>
      <c r="Q937" t="n">
        <v>0</v>
      </c>
      <c r="R937" s="2" t="inlineStr"/>
    </row>
    <row r="938" ht="15" customHeight="1">
      <c r="A938" t="inlineStr">
        <is>
          <t>A 37381-2024</t>
        </is>
      </c>
      <c r="B938" s="1" t="n">
        <v>45540</v>
      </c>
      <c r="C938" s="1" t="n">
        <v>45645</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37527-2024</t>
        </is>
      </c>
      <c r="B939" s="1" t="n">
        <v>45541</v>
      </c>
      <c r="C939" s="1" t="n">
        <v>45645</v>
      </c>
      <c r="D939" t="inlineStr">
        <is>
          <t>NORRBOTTENS LÄN</t>
        </is>
      </c>
      <c r="E939" t="inlineStr">
        <is>
          <t>PAJALA</t>
        </is>
      </c>
      <c r="G939" t="n">
        <v>21.3</v>
      </c>
      <c r="H939" t="n">
        <v>0</v>
      </c>
      <c r="I939" t="n">
        <v>0</v>
      </c>
      <c r="J939" t="n">
        <v>0</v>
      </c>
      <c r="K939" t="n">
        <v>0</v>
      </c>
      <c r="L939" t="n">
        <v>0</v>
      </c>
      <c r="M939" t="n">
        <v>0</v>
      </c>
      <c r="N939" t="n">
        <v>0</v>
      </c>
      <c r="O939" t="n">
        <v>0</v>
      </c>
      <c r="P939" t="n">
        <v>0</v>
      </c>
      <c r="Q939" t="n">
        <v>0</v>
      </c>
      <c r="R939" s="2" t="inlineStr"/>
    </row>
    <row r="940" ht="15" customHeight="1">
      <c r="A940" t="inlineStr">
        <is>
          <t>A 37581-2024</t>
        </is>
      </c>
      <c r="B940" s="1" t="n">
        <v>45541</v>
      </c>
      <c r="C940" s="1" t="n">
        <v>45645</v>
      </c>
      <c r="D940" t="inlineStr">
        <is>
          <t>NORRBOTTENS LÄN</t>
        </is>
      </c>
      <c r="E940" t="inlineStr">
        <is>
          <t>PAJALA</t>
        </is>
      </c>
      <c r="F940" t="inlineStr">
        <is>
          <t>Sveaskog</t>
        </is>
      </c>
      <c r="G940" t="n">
        <v>40.3</v>
      </c>
      <c r="H940" t="n">
        <v>0</v>
      </c>
      <c r="I940" t="n">
        <v>0</v>
      </c>
      <c r="J940" t="n">
        <v>0</v>
      </c>
      <c r="K940" t="n">
        <v>0</v>
      </c>
      <c r="L940" t="n">
        <v>0</v>
      </c>
      <c r="M940" t="n">
        <v>0</v>
      </c>
      <c r="N940" t="n">
        <v>0</v>
      </c>
      <c r="O940" t="n">
        <v>0</v>
      </c>
      <c r="P940" t="n">
        <v>0</v>
      </c>
      <c r="Q940" t="n">
        <v>0</v>
      </c>
      <c r="R940" s="2" t="inlineStr"/>
    </row>
    <row r="941" ht="15" customHeight="1">
      <c r="A941" t="inlineStr">
        <is>
          <t>A 38163-2024</t>
        </is>
      </c>
      <c r="B941" s="1" t="n">
        <v>45545</v>
      </c>
      <c r="C941" s="1" t="n">
        <v>45645</v>
      </c>
      <c r="D941" t="inlineStr">
        <is>
          <t>NORRBOTTENS LÄN</t>
        </is>
      </c>
      <c r="E941" t="inlineStr">
        <is>
          <t>PAJALA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38160-2024</t>
        </is>
      </c>
      <c r="B942" s="1" t="n">
        <v>45545</v>
      </c>
      <c r="C942" s="1" t="n">
        <v>45645</v>
      </c>
      <c r="D942" t="inlineStr">
        <is>
          <t>NORRBOTTENS LÄN</t>
        </is>
      </c>
      <c r="E942" t="inlineStr">
        <is>
          <t>PAJALA</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38161-2024</t>
        </is>
      </c>
      <c r="B943" s="1" t="n">
        <v>45545</v>
      </c>
      <c r="C943" s="1" t="n">
        <v>45645</v>
      </c>
      <c r="D943" t="inlineStr">
        <is>
          <t>NORRBOTTENS LÄN</t>
        </is>
      </c>
      <c r="E943" t="inlineStr">
        <is>
          <t>PAJALA</t>
        </is>
      </c>
      <c r="F943" t="inlineStr">
        <is>
          <t>Sveaskog</t>
        </is>
      </c>
      <c r="G943" t="n">
        <v>5.2</v>
      </c>
      <c r="H943" t="n">
        <v>0</v>
      </c>
      <c r="I943" t="n">
        <v>0</v>
      </c>
      <c r="J943" t="n">
        <v>0</v>
      </c>
      <c r="K943" t="n">
        <v>0</v>
      </c>
      <c r="L943" t="n">
        <v>0</v>
      </c>
      <c r="M943" t="n">
        <v>0</v>
      </c>
      <c r="N943" t="n">
        <v>0</v>
      </c>
      <c r="O943" t="n">
        <v>0</v>
      </c>
      <c r="P943" t="n">
        <v>0</v>
      </c>
      <c r="Q943" t="n">
        <v>0</v>
      </c>
      <c r="R943" s="2" t="inlineStr"/>
    </row>
    <row r="944" ht="15" customHeight="1">
      <c r="A944" t="inlineStr">
        <is>
          <t>A 38586-2024</t>
        </is>
      </c>
      <c r="B944" s="1" t="n">
        <v>45546</v>
      </c>
      <c r="C944" s="1" t="n">
        <v>45645</v>
      </c>
      <c r="D944" t="inlineStr">
        <is>
          <t>NORRBOTTENS LÄN</t>
        </is>
      </c>
      <c r="E944" t="inlineStr">
        <is>
          <t>PAJALA</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38839-2024</t>
        </is>
      </c>
      <c r="B945" s="1" t="n">
        <v>45547</v>
      </c>
      <c r="C945" s="1" t="n">
        <v>45645</v>
      </c>
      <c r="D945" t="inlineStr">
        <is>
          <t>NORRBOTTENS LÄN</t>
        </is>
      </c>
      <c r="E945" t="inlineStr">
        <is>
          <t>PAJALA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39076-2024</t>
        </is>
      </c>
      <c r="B946" s="1" t="n">
        <v>45548</v>
      </c>
      <c r="C946" s="1" t="n">
        <v>45645</v>
      </c>
      <c r="D946" t="inlineStr">
        <is>
          <t>NORRBOTTENS LÄN</t>
        </is>
      </c>
      <c r="E946" t="inlineStr">
        <is>
          <t>PAJALA</t>
        </is>
      </c>
      <c r="F946" t="inlineStr">
        <is>
          <t>Sveaskog</t>
        </is>
      </c>
      <c r="G946" t="n">
        <v>7.2</v>
      </c>
      <c r="H946" t="n">
        <v>0</v>
      </c>
      <c r="I946" t="n">
        <v>0</v>
      </c>
      <c r="J946" t="n">
        <v>0</v>
      </c>
      <c r="K946" t="n">
        <v>0</v>
      </c>
      <c r="L946" t="n">
        <v>0</v>
      </c>
      <c r="M946" t="n">
        <v>0</v>
      </c>
      <c r="N946" t="n">
        <v>0</v>
      </c>
      <c r="O946" t="n">
        <v>0</v>
      </c>
      <c r="P946" t="n">
        <v>0</v>
      </c>
      <c r="Q946" t="n">
        <v>0</v>
      </c>
      <c r="R946" s="2" t="inlineStr"/>
    </row>
    <row r="947" ht="15" customHeight="1">
      <c r="A947" t="inlineStr">
        <is>
          <t>A 39080-2024</t>
        </is>
      </c>
      <c r="B947" s="1" t="n">
        <v>45548</v>
      </c>
      <c r="C947" s="1" t="n">
        <v>45645</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39184-2024</t>
        </is>
      </c>
      <c r="B948" s="1" t="n">
        <v>45548</v>
      </c>
      <c r="C948" s="1" t="n">
        <v>45645</v>
      </c>
      <c r="D948" t="inlineStr">
        <is>
          <t>NORRBOTTENS LÄN</t>
        </is>
      </c>
      <c r="E948" t="inlineStr">
        <is>
          <t>PAJALA</t>
        </is>
      </c>
      <c r="F948" t="inlineStr">
        <is>
          <t>Sveaskog</t>
        </is>
      </c>
      <c r="G948" t="n">
        <v>47.5</v>
      </c>
      <c r="H948" t="n">
        <v>0</v>
      </c>
      <c r="I948" t="n">
        <v>0</v>
      </c>
      <c r="J948" t="n">
        <v>0</v>
      </c>
      <c r="K948" t="n">
        <v>0</v>
      </c>
      <c r="L948" t="n">
        <v>0</v>
      </c>
      <c r="M948" t="n">
        <v>0</v>
      </c>
      <c r="N948" t="n">
        <v>0</v>
      </c>
      <c r="O948" t="n">
        <v>0</v>
      </c>
      <c r="P948" t="n">
        <v>0</v>
      </c>
      <c r="Q948" t="n">
        <v>0</v>
      </c>
      <c r="R948" s="2" t="inlineStr"/>
    </row>
    <row r="949" ht="15" customHeight="1">
      <c r="A949" t="inlineStr">
        <is>
          <t>A 39188-2024</t>
        </is>
      </c>
      <c r="B949" s="1" t="n">
        <v>45548</v>
      </c>
      <c r="C949" s="1" t="n">
        <v>45645</v>
      </c>
      <c r="D949" t="inlineStr">
        <is>
          <t>NORRBOTTENS LÄN</t>
        </is>
      </c>
      <c r="E949" t="inlineStr">
        <is>
          <t>PAJALA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39234-2024</t>
        </is>
      </c>
      <c r="B950" s="1" t="n">
        <v>45550</v>
      </c>
      <c r="C950" s="1" t="n">
        <v>45645</v>
      </c>
      <c r="D950" t="inlineStr">
        <is>
          <t>NORRBOTTENS LÄN</t>
        </is>
      </c>
      <c r="E950" t="inlineStr">
        <is>
          <t>PAJALA</t>
        </is>
      </c>
      <c r="G950" t="n">
        <v>2.1</v>
      </c>
      <c r="H950" t="n">
        <v>0</v>
      </c>
      <c r="I950" t="n">
        <v>0</v>
      </c>
      <c r="J950" t="n">
        <v>0</v>
      </c>
      <c r="K950" t="n">
        <v>0</v>
      </c>
      <c r="L950" t="n">
        <v>0</v>
      </c>
      <c r="M950" t="n">
        <v>0</v>
      </c>
      <c r="N950" t="n">
        <v>0</v>
      </c>
      <c r="O950" t="n">
        <v>0</v>
      </c>
      <c r="P950" t="n">
        <v>0</v>
      </c>
      <c r="Q950" t="n">
        <v>0</v>
      </c>
      <c r="R950" s="2" t="inlineStr"/>
    </row>
    <row r="951" ht="15" customHeight="1">
      <c r="A951" t="inlineStr">
        <is>
          <t>A 40235-2024</t>
        </is>
      </c>
      <c r="B951" s="1" t="n">
        <v>45554</v>
      </c>
      <c r="C951" s="1" t="n">
        <v>45645</v>
      </c>
      <c r="D951" t="inlineStr">
        <is>
          <t>NORRBOTTENS LÄN</t>
        </is>
      </c>
      <c r="E951" t="inlineStr">
        <is>
          <t>PAJALA</t>
        </is>
      </c>
      <c r="F951" t="inlineStr">
        <is>
          <t>Sveaskog</t>
        </is>
      </c>
      <c r="G951" t="n">
        <v>31.3</v>
      </c>
      <c r="H951" t="n">
        <v>0</v>
      </c>
      <c r="I951" t="n">
        <v>0</v>
      </c>
      <c r="J951" t="n">
        <v>0</v>
      </c>
      <c r="K951" t="n">
        <v>0</v>
      </c>
      <c r="L951" t="n">
        <v>0</v>
      </c>
      <c r="M951" t="n">
        <v>0</v>
      </c>
      <c r="N951" t="n">
        <v>0</v>
      </c>
      <c r="O951" t="n">
        <v>0</v>
      </c>
      <c r="P951" t="n">
        <v>0</v>
      </c>
      <c r="Q951" t="n">
        <v>0</v>
      </c>
      <c r="R951" s="2" t="inlineStr"/>
    </row>
    <row r="952" ht="15" customHeight="1">
      <c r="A952" t="inlineStr">
        <is>
          <t>A 40208-2024</t>
        </is>
      </c>
      <c r="B952" s="1" t="n">
        <v>45554</v>
      </c>
      <c r="C952" s="1" t="n">
        <v>45645</v>
      </c>
      <c r="D952" t="inlineStr">
        <is>
          <t>NORRBOTTENS LÄN</t>
        </is>
      </c>
      <c r="E952" t="inlineStr">
        <is>
          <t>PAJALA</t>
        </is>
      </c>
      <c r="F952" t="inlineStr">
        <is>
          <t>Sveaskog</t>
        </is>
      </c>
      <c r="G952" t="n">
        <v>27.8</v>
      </c>
      <c r="H952" t="n">
        <v>0</v>
      </c>
      <c r="I952" t="n">
        <v>0</v>
      </c>
      <c r="J952" t="n">
        <v>0</v>
      </c>
      <c r="K952" t="n">
        <v>0</v>
      </c>
      <c r="L952" t="n">
        <v>0</v>
      </c>
      <c r="M952" t="n">
        <v>0</v>
      </c>
      <c r="N952" t="n">
        <v>0</v>
      </c>
      <c r="O952" t="n">
        <v>0</v>
      </c>
      <c r="P952" t="n">
        <v>0</v>
      </c>
      <c r="Q952" t="n">
        <v>0</v>
      </c>
      <c r="R952" s="2" t="inlineStr"/>
    </row>
    <row r="953" ht="15" customHeight="1">
      <c r="A953" t="inlineStr">
        <is>
          <t>A 40220-2024</t>
        </is>
      </c>
      <c r="B953" s="1" t="n">
        <v>45554</v>
      </c>
      <c r="C953" s="1" t="n">
        <v>45645</v>
      </c>
      <c r="D953" t="inlineStr">
        <is>
          <t>NORRBOTTENS LÄN</t>
        </is>
      </c>
      <c r="E953" t="inlineStr">
        <is>
          <t>PAJALA</t>
        </is>
      </c>
      <c r="F953" t="inlineStr">
        <is>
          <t>Sveaskog</t>
        </is>
      </c>
      <c r="G953" t="n">
        <v>11.7</v>
      </c>
      <c r="H953" t="n">
        <v>0</v>
      </c>
      <c r="I953" t="n">
        <v>0</v>
      </c>
      <c r="J953" t="n">
        <v>0</v>
      </c>
      <c r="K953" t="n">
        <v>0</v>
      </c>
      <c r="L953" t="n">
        <v>0</v>
      </c>
      <c r="M953" t="n">
        <v>0</v>
      </c>
      <c r="N953" t="n">
        <v>0</v>
      </c>
      <c r="O953" t="n">
        <v>0</v>
      </c>
      <c r="P953" t="n">
        <v>0</v>
      </c>
      <c r="Q953" t="n">
        <v>0</v>
      </c>
      <c r="R953" s="2" t="inlineStr"/>
    </row>
    <row r="954" ht="15" customHeight="1">
      <c r="A954" t="inlineStr">
        <is>
          <t>A 40620-2024</t>
        </is>
      </c>
      <c r="B954" s="1" t="n">
        <v>45557</v>
      </c>
      <c r="C954" s="1" t="n">
        <v>45645</v>
      </c>
      <c r="D954" t="inlineStr">
        <is>
          <t>NORRBOTTENS LÄN</t>
        </is>
      </c>
      <c r="E954" t="inlineStr">
        <is>
          <t>PAJALA</t>
        </is>
      </c>
      <c r="G954" t="n">
        <v>27.7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45645</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40885-2024</t>
        </is>
      </c>
      <c r="B956" s="1" t="n">
        <v>45558</v>
      </c>
      <c r="C956" s="1" t="n">
        <v>45645</v>
      </c>
      <c r="D956" t="inlineStr">
        <is>
          <t>NORRBOTTENS LÄN</t>
        </is>
      </c>
      <c r="E956" t="inlineStr">
        <is>
          <t>PAJALA</t>
        </is>
      </c>
      <c r="G956" t="n">
        <v>6.3</v>
      </c>
      <c r="H956" t="n">
        <v>0</v>
      </c>
      <c r="I956" t="n">
        <v>0</v>
      </c>
      <c r="J956" t="n">
        <v>0</v>
      </c>
      <c r="K956" t="n">
        <v>0</v>
      </c>
      <c r="L956" t="n">
        <v>0</v>
      </c>
      <c r="M956" t="n">
        <v>0</v>
      </c>
      <c r="N956" t="n">
        <v>0</v>
      </c>
      <c r="O956" t="n">
        <v>0</v>
      </c>
      <c r="P956" t="n">
        <v>0</v>
      </c>
      <c r="Q956" t="n">
        <v>0</v>
      </c>
      <c r="R956" s="2" t="inlineStr"/>
    </row>
    <row r="957" ht="15" customHeight="1">
      <c r="A957" t="inlineStr">
        <is>
          <t>A 40894-2024</t>
        </is>
      </c>
      <c r="B957" s="1" t="n">
        <v>45558</v>
      </c>
      <c r="C957" s="1" t="n">
        <v>45645</v>
      </c>
      <c r="D957" t="inlineStr">
        <is>
          <t>NORRBOTTENS LÄN</t>
        </is>
      </c>
      <c r="E957" t="inlineStr">
        <is>
          <t>PAJALA</t>
        </is>
      </c>
      <c r="G957" t="n">
        <v>9.5</v>
      </c>
      <c r="H957" t="n">
        <v>0</v>
      </c>
      <c r="I957" t="n">
        <v>0</v>
      </c>
      <c r="J957" t="n">
        <v>0</v>
      </c>
      <c r="K957" t="n">
        <v>0</v>
      </c>
      <c r="L957" t="n">
        <v>0</v>
      </c>
      <c r="M957" t="n">
        <v>0</v>
      </c>
      <c r="N957" t="n">
        <v>0</v>
      </c>
      <c r="O957" t="n">
        <v>0</v>
      </c>
      <c r="P957" t="n">
        <v>0</v>
      </c>
      <c r="Q957" t="n">
        <v>0</v>
      </c>
      <c r="R957" s="2" t="inlineStr"/>
    </row>
    <row r="958" ht="15" customHeight="1">
      <c r="A958" t="inlineStr">
        <is>
          <t>A 40910-2024</t>
        </is>
      </c>
      <c r="B958" s="1" t="n">
        <v>45558</v>
      </c>
      <c r="C958" s="1" t="n">
        <v>45645</v>
      </c>
      <c r="D958" t="inlineStr">
        <is>
          <t>NORRBOTTENS LÄN</t>
        </is>
      </c>
      <c r="E958" t="inlineStr">
        <is>
          <t>PAJALA</t>
        </is>
      </c>
      <c r="G958" t="n">
        <v>0.9</v>
      </c>
      <c r="H958" t="n">
        <v>0</v>
      </c>
      <c r="I958" t="n">
        <v>0</v>
      </c>
      <c r="J958" t="n">
        <v>0</v>
      </c>
      <c r="K958" t="n">
        <v>0</v>
      </c>
      <c r="L958" t="n">
        <v>0</v>
      </c>
      <c r="M958" t="n">
        <v>0</v>
      </c>
      <c r="N958" t="n">
        <v>0</v>
      </c>
      <c r="O958" t="n">
        <v>0</v>
      </c>
      <c r="P958" t="n">
        <v>0</v>
      </c>
      <c r="Q958" t="n">
        <v>0</v>
      </c>
      <c r="R958" s="2" t="inlineStr"/>
    </row>
    <row r="959" ht="15" customHeight="1">
      <c r="A959" t="inlineStr">
        <is>
          <t>A 40926-2024</t>
        </is>
      </c>
      <c r="B959" s="1" t="n">
        <v>45558</v>
      </c>
      <c r="C959" s="1" t="n">
        <v>45645</v>
      </c>
      <c r="D959" t="inlineStr">
        <is>
          <t>NORRBOTTENS LÄN</t>
        </is>
      </c>
      <c r="E959" t="inlineStr">
        <is>
          <t>PAJALA</t>
        </is>
      </c>
      <c r="G959" t="n">
        <v>28.7</v>
      </c>
      <c r="H959" t="n">
        <v>0</v>
      </c>
      <c r="I959" t="n">
        <v>0</v>
      </c>
      <c r="J959" t="n">
        <v>0</v>
      </c>
      <c r="K959" t="n">
        <v>0</v>
      </c>
      <c r="L959" t="n">
        <v>0</v>
      </c>
      <c r="M959" t="n">
        <v>0</v>
      </c>
      <c r="N959" t="n">
        <v>0</v>
      </c>
      <c r="O959" t="n">
        <v>0</v>
      </c>
      <c r="P959" t="n">
        <v>0</v>
      </c>
      <c r="Q959" t="n">
        <v>0</v>
      </c>
      <c r="R959" s="2" t="inlineStr"/>
    </row>
    <row r="960" ht="15" customHeight="1">
      <c r="A960" t="inlineStr">
        <is>
          <t>A 40947-2024</t>
        </is>
      </c>
      <c r="B960" s="1" t="n">
        <v>45558</v>
      </c>
      <c r="C960" s="1" t="n">
        <v>45645</v>
      </c>
      <c r="D960" t="inlineStr">
        <is>
          <t>NORRBOTTENS LÄN</t>
        </is>
      </c>
      <c r="E960" t="inlineStr">
        <is>
          <t>PAJALA</t>
        </is>
      </c>
      <c r="G960" t="n">
        <v>6.9</v>
      </c>
      <c r="H960" t="n">
        <v>0</v>
      </c>
      <c r="I960" t="n">
        <v>0</v>
      </c>
      <c r="J960" t="n">
        <v>0</v>
      </c>
      <c r="K960" t="n">
        <v>0</v>
      </c>
      <c r="L960" t="n">
        <v>0</v>
      </c>
      <c r="M960" t="n">
        <v>0</v>
      </c>
      <c r="N960" t="n">
        <v>0</v>
      </c>
      <c r="O960" t="n">
        <v>0</v>
      </c>
      <c r="P960" t="n">
        <v>0</v>
      </c>
      <c r="Q960" t="n">
        <v>0</v>
      </c>
      <c r="R960" s="2" t="inlineStr"/>
    </row>
    <row r="961" ht="15" customHeight="1">
      <c r="A961" t="inlineStr">
        <is>
          <t>A 41001-2024</t>
        </is>
      </c>
      <c r="B961" s="1" t="n">
        <v>45558</v>
      </c>
      <c r="C961" s="1" t="n">
        <v>45645</v>
      </c>
      <c r="D961" t="inlineStr">
        <is>
          <t>NORRBOTTENS LÄN</t>
        </is>
      </c>
      <c r="E961" t="inlineStr">
        <is>
          <t>PAJALA</t>
        </is>
      </c>
      <c r="G961" t="n">
        <v>6</v>
      </c>
      <c r="H961" t="n">
        <v>0</v>
      </c>
      <c r="I961" t="n">
        <v>0</v>
      </c>
      <c r="J961" t="n">
        <v>0</v>
      </c>
      <c r="K961" t="n">
        <v>0</v>
      </c>
      <c r="L961" t="n">
        <v>0</v>
      </c>
      <c r="M961" t="n">
        <v>0</v>
      </c>
      <c r="N961" t="n">
        <v>0</v>
      </c>
      <c r="O961" t="n">
        <v>0</v>
      </c>
      <c r="P961" t="n">
        <v>0</v>
      </c>
      <c r="Q961" t="n">
        <v>0</v>
      </c>
      <c r="R961" s="2" t="inlineStr"/>
    </row>
    <row r="962" ht="15" customHeight="1">
      <c r="A962" t="inlineStr">
        <is>
          <t>A 41612-2024</t>
        </is>
      </c>
      <c r="B962" s="1" t="n">
        <v>45560</v>
      </c>
      <c r="C962" s="1" t="n">
        <v>45645</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41871-2024</t>
        </is>
      </c>
      <c r="B963" s="1" t="n">
        <v>45561</v>
      </c>
      <c r="C963" s="1" t="n">
        <v>45645</v>
      </c>
      <c r="D963" t="inlineStr">
        <is>
          <t>NORRBOTTENS LÄN</t>
        </is>
      </c>
      <c r="E963" t="inlineStr">
        <is>
          <t>PAJALA</t>
        </is>
      </c>
      <c r="G963" t="n">
        <v>25.1</v>
      </c>
      <c r="H963" t="n">
        <v>0</v>
      </c>
      <c r="I963" t="n">
        <v>0</v>
      </c>
      <c r="J963" t="n">
        <v>0</v>
      </c>
      <c r="K963" t="n">
        <v>0</v>
      </c>
      <c r="L963" t="n">
        <v>0</v>
      </c>
      <c r="M963" t="n">
        <v>0</v>
      </c>
      <c r="N963" t="n">
        <v>0</v>
      </c>
      <c r="O963" t="n">
        <v>0</v>
      </c>
      <c r="P963" t="n">
        <v>0</v>
      </c>
      <c r="Q963" t="n">
        <v>0</v>
      </c>
      <c r="R963" s="2" t="inlineStr"/>
    </row>
    <row r="964" ht="15" customHeight="1">
      <c r="A964" t="inlineStr">
        <is>
          <t>A 42148-2024</t>
        </is>
      </c>
      <c r="B964" s="1" t="n">
        <v>45562</v>
      </c>
      <c r="C964" s="1" t="n">
        <v>45645</v>
      </c>
      <c r="D964" t="inlineStr">
        <is>
          <t>NORRBOTTENS LÄN</t>
        </is>
      </c>
      <c r="E964" t="inlineStr">
        <is>
          <t>PAJALA</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42857-2024</t>
        </is>
      </c>
      <c r="B965" s="1" t="n">
        <v>45566</v>
      </c>
      <c r="C965" s="1" t="n">
        <v>45645</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45645</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42888-2024</t>
        </is>
      </c>
      <c r="B967" s="1" t="n">
        <v>45566</v>
      </c>
      <c r="C967" s="1" t="n">
        <v>45645</v>
      </c>
      <c r="D967" t="inlineStr">
        <is>
          <t>NORRBOTTENS LÄN</t>
        </is>
      </c>
      <c r="E967" t="inlineStr">
        <is>
          <t>PAJALA</t>
        </is>
      </c>
      <c r="G967" t="n">
        <v>8.4</v>
      </c>
      <c r="H967" t="n">
        <v>0</v>
      </c>
      <c r="I967" t="n">
        <v>0</v>
      </c>
      <c r="J967" t="n">
        <v>0</v>
      </c>
      <c r="K967" t="n">
        <v>0</v>
      </c>
      <c r="L967" t="n">
        <v>0</v>
      </c>
      <c r="M967" t="n">
        <v>0</v>
      </c>
      <c r="N967" t="n">
        <v>0</v>
      </c>
      <c r="O967" t="n">
        <v>0</v>
      </c>
      <c r="P967" t="n">
        <v>0</v>
      </c>
      <c r="Q967" t="n">
        <v>0</v>
      </c>
      <c r="R967" s="2" t="inlineStr"/>
    </row>
    <row r="968" ht="15" customHeight="1">
      <c r="A968" t="inlineStr">
        <is>
          <t>A 42882-2024</t>
        </is>
      </c>
      <c r="B968" s="1" t="n">
        <v>45566</v>
      </c>
      <c r="C968" s="1" t="n">
        <v>45645</v>
      </c>
      <c r="D968" t="inlineStr">
        <is>
          <t>NORRBOTTENS LÄN</t>
        </is>
      </c>
      <c r="E968" t="inlineStr">
        <is>
          <t>PAJALA</t>
        </is>
      </c>
      <c r="G968" t="n">
        <v>7.4</v>
      </c>
      <c r="H968" t="n">
        <v>0</v>
      </c>
      <c r="I968" t="n">
        <v>0</v>
      </c>
      <c r="J968" t="n">
        <v>0</v>
      </c>
      <c r="K968" t="n">
        <v>0</v>
      </c>
      <c r="L968" t="n">
        <v>0</v>
      </c>
      <c r="M968" t="n">
        <v>0</v>
      </c>
      <c r="N968" t="n">
        <v>0</v>
      </c>
      <c r="O968" t="n">
        <v>0</v>
      </c>
      <c r="P968" t="n">
        <v>0</v>
      </c>
      <c r="Q968" t="n">
        <v>0</v>
      </c>
      <c r="R968" s="2" t="inlineStr"/>
    </row>
    <row r="969" ht="15" customHeight="1">
      <c r="A969" t="inlineStr">
        <is>
          <t>A 42886-2024</t>
        </is>
      </c>
      <c r="B969" s="1" t="n">
        <v>45566</v>
      </c>
      <c r="C969" s="1" t="n">
        <v>45645</v>
      </c>
      <c r="D969" t="inlineStr">
        <is>
          <t>NORRBOTTENS LÄN</t>
        </is>
      </c>
      <c r="E969" t="inlineStr">
        <is>
          <t>PAJALA</t>
        </is>
      </c>
      <c r="G969" t="n">
        <v>26.7</v>
      </c>
      <c r="H969" t="n">
        <v>0</v>
      </c>
      <c r="I969" t="n">
        <v>0</v>
      </c>
      <c r="J969" t="n">
        <v>0</v>
      </c>
      <c r="K969" t="n">
        <v>0</v>
      </c>
      <c r="L969" t="n">
        <v>0</v>
      </c>
      <c r="M969" t="n">
        <v>0</v>
      </c>
      <c r="N969" t="n">
        <v>0</v>
      </c>
      <c r="O969" t="n">
        <v>0</v>
      </c>
      <c r="P969" t="n">
        <v>0</v>
      </c>
      <c r="Q969" t="n">
        <v>0</v>
      </c>
      <c r="R969" s="2" t="inlineStr"/>
    </row>
    <row r="970" ht="15" customHeight="1">
      <c r="A970" t="inlineStr">
        <is>
          <t>A 43472-2024</t>
        </is>
      </c>
      <c r="B970" s="1" t="n">
        <v>45568</v>
      </c>
      <c r="C970" s="1" t="n">
        <v>45645</v>
      </c>
      <c r="D970" t="inlineStr">
        <is>
          <t>NORRBOTTENS LÄN</t>
        </is>
      </c>
      <c r="E970" t="inlineStr">
        <is>
          <t>PAJALA</t>
        </is>
      </c>
      <c r="G970" t="n">
        <v>1.3</v>
      </c>
      <c r="H970" t="n">
        <v>0</v>
      </c>
      <c r="I970" t="n">
        <v>0</v>
      </c>
      <c r="J970" t="n">
        <v>0</v>
      </c>
      <c r="K970" t="n">
        <v>0</v>
      </c>
      <c r="L970" t="n">
        <v>0</v>
      </c>
      <c r="M970" t="n">
        <v>0</v>
      </c>
      <c r="N970" t="n">
        <v>0</v>
      </c>
      <c r="O970" t="n">
        <v>0</v>
      </c>
      <c r="P970" t="n">
        <v>0</v>
      </c>
      <c r="Q970" t="n">
        <v>0</v>
      </c>
      <c r="R970" s="2" t="inlineStr"/>
    </row>
    <row r="971" ht="15" customHeight="1">
      <c r="A971" t="inlineStr">
        <is>
          <t>A 43449-2024</t>
        </is>
      </c>
      <c r="B971" s="1" t="n">
        <v>45568</v>
      </c>
      <c r="C971" s="1" t="n">
        <v>45645</v>
      </c>
      <c r="D971" t="inlineStr">
        <is>
          <t>NORRBOTTENS LÄN</t>
        </is>
      </c>
      <c r="E971" t="inlineStr">
        <is>
          <t>PAJALA</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43445-2024</t>
        </is>
      </c>
      <c r="B972" s="1" t="n">
        <v>45568</v>
      </c>
      <c r="C972" s="1" t="n">
        <v>45645</v>
      </c>
      <c r="D972" t="inlineStr">
        <is>
          <t>NORRBOTTENS LÄN</t>
        </is>
      </c>
      <c r="E972" t="inlineStr">
        <is>
          <t>PAJALA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44121-2024</t>
        </is>
      </c>
      <c r="B973" s="1" t="n">
        <v>45572</v>
      </c>
      <c r="C973" s="1" t="n">
        <v>45645</v>
      </c>
      <c r="D973" t="inlineStr">
        <is>
          <t>NORRBOTTENS LÄN</t>
        </is>
      </c>
      <c r="E973" t="inlineStr">
        <is>
          <t>PAJALA</t>
        </is>
      </c>
      <c r="F973" t="inlineStr">
        <is>
          <t>Sveaskog</t>
        </is>
      </c>
      <c r="G973" t="n">
        <v>14.1</v>
      </c>
      <c r="H973" t="n">
        <v>0</v>
      </c>
      <c r="I973" t="n">
        <v>0</v>
      </c>
      <c r="J973" t="n">
        <v>0</v>
      </c>
      <c r="K973" t="n">
        <v>0</v>
      </c>
      <c r="L973" t="n">
        <v>0</v>
      </c>
      <c r="M973" t="n">
        <v>0</v>
      </c>
      <c r="N973" t="n">
        <v>0</v>
      </c>
      <c r="O973" t="n">
        <v>0</v>
      </c>
      <c r="P973" t="n">
        <v>0</v>
      </c>
      <c r="Q973" t="n">
        <v>0</v>
      </c>
      <c r="R973" s="2" t="inlineStr"/>
    </row>
    <row r="974" ht="15" customHeight="1">
      <c r="A974" t="inlineStr">
        <is>
          <t>A 44110-2024</t>
        </is>
      </c>
      <c r="B974" s="1" t="n">
        <v>45572</v>
      </c>
      <c r="C974" s="1" t="n">
        <v>45645</v>
      </c>
      <c r="D974" t="inlineStr">
        <is>
          <t>NORRBOTTENS LÄN</t>
        </is>
      </c>
      <c r="E974" t="inlineStr">
        <is>
          <t>PAJALA</t>
        </is>
      </c>
      <c r="F974" t="inlineStr">
        <is>
          <t>Sveaskog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44216-2024</t>
        </is>
      </c>
      <c r="B975" s="1" t="n">
        <v>45573</v>
      </c>
      <c r="C975" s="1" t="n">
        <v>45645</v>
      </c>
      <c r="D975" t="inlineStr">
        <is>
          <t>NORRBOTTENS LÄN</t>
        </is>
      </c>
      <c r="E975" t="inlineStr">
        <is>
          <t>PAJALA</t>
        </is>
      </c>
      <c r="G975" t="n">
        <v>0.6</v>
      </c>
      <c r="H975" t="n">
        <v>0</v>
      </c>
      <c r="I975" t="n">
        <v>0</v>
      </c>
      <c r="J975" t="n">
        <v>0</v>
      </c>
      <c r="K975" t="n">
        <v>0</v>
      </c>
      <c r="L975" t="n">
        <v>0</v>
      </c>
      <c r="M975" t="n">
        <v>0</v>
      </c>
      <c r="N975" t="n">
        <v>0</v>
      </c>
      <c r="O975" t="n">
        <v>0</v>
      </c>
      <c r="P975" t="n">
        <v>0</v>
      </c>
      <c r="Q975" t="n">
        <v>0</v>
      </c>
      <c r="R975" s="2" t="inlineStr"/>
    </row>
    <row r="976" ht="15" customHeight="1">
      <c r="A976" t="inlineStr">
        <is>
          <t>A 44997-2024</t>
        </is>
      </c>
      <c r="B976" s="1" t="n">
        <v>45575</v>
      </c>
      <c r="C976" s="1" t="n">
        <v>45645</v>
      </c>
      <c r="D976" t="inlineStr">
        <is>
          <t>NORRBOTTENS LÄN</t>
        </is>
      </c>
      <c r="E976" t="inlineStr">
        <is>
          <t>PAJALA</t>
        </is>
      </c>
      <c r="G976" t="n">
        <v>4.5</v>
      </c>
      <c r="H976" t="n">
        <v>0</v>
      </c>
      <c r="I976" t="n">
        <v>0</v>
      </c>
      <c r="J976" t="n">
        <v>0</v>
      </c>
      <c r="K976" t="n">
        <v>0</v>
      </c>
      <c r="L976" t="n">
        <v>0</v>
      </c>
      <c r="M976" t="n">
        <v>0</v>
      </c>
      <c r="N976" t="n">
        <v>0</v>
      </c>
      <c r="O976" t="n">
        <v>0</v>
      </c>
      <c r="P976" t="n">
        <v>0</v>
      </c>
      <c r="Q976" t="n">
        <v>0</v>
      </c>
      <c r="R976" s="2" t="inlineStr"/>
    </row>
    <row r="977" ht="15" customHeight="1">
      <c r="A977" t="inlineStr">
        <is>
          <t>A 44998-2024</t>
        </is>
      </c>
      <c r="B977" s="1" t="n">
        <v>45575</v>
      </c>
      <c r="C977" s="1" t="n">
        <v>45645</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45662-2024</t>
        </is>
      </c>
      <c r="B978" s="1" t="n">
        <v>45579</v>
      </c>
      <c r="C978" s="1" t="n">
        <v>45645</v>
      </c>
      <c r="D978" t="inlineStr">
        <is>
          <t>NORRBOTTENS LÄN</t>
        </is>
      </c>
      <c r="E978" t="inlineStr">
        <is>
          <t>PAJALA</t>
        </is>
      </c>
      <c r="G978" t="n">
        <v>4.9</v>
      </c>
      <c r="H978" t="n">
        <v>0</v>
      </c>
      <c r="I978" t="n">
        <v>0</v>
      </c>
      <c r="J978" t="n">
        <v>0</v>
      </c>
      <c r="K978" t="n">
        <v>0</v>
      </c>
      <c r="L978" t="n">
        <v>0</v>
      </c>
      <c r="M978" t="n">
        <v>0</v>
      </c>
      <c r="N978" t="n">
        <v>0</v>
      </c>
      <c r="O978" t="n">
        <v>0</v>
      </c>
      <c r="P978" t="n">
        <v>0</v>
      </c>
      <c r="Q978" t="n">
        <v>0</v>
      </c>
      <c r="R978" s="2" t="inlineStr"/>
    </row>
    <row r="979" ht="15" customHeight="1">
      <c r="A979" t="inlineStr">
        <is>
          <t>A 45655-2024</t>
        </is>
      </c>
      <c r="B979" s="1" t="n">
        <v>45579</v>
      </c>
      <c r="C979" s="1" t="n">
        <v>45645</v>
      </c>
      <c r="D979" t="inlineStr">
        <is>
          <t>NORRBOTTENS LÄN</t>
        </is>
      </c>
      <c r="E979" t="inlineStr">
        <is>
          <t>PAJALA</t>
        </is>
      </c>
      <c r="G979" t="n">
        <v>1.5</v>
      </c>
      <c r="H979" t="n">
        <v>0</v>
      </c>
      <c r="I979" t="n">
        <v>0</v>
      </c>
      <c r="J979" t="n">
        <v>0</v>
      </c>
      <c r="K979" t="n">
        <v>0</v>
      </c>
      <c r="L979" t="n">
        <v>0</v>
      </c>
      <c r="M979" t="n">
        <v>0</v>
      </c>
      <c r="N979" t="n">
        <v>0</v>
      </c>
      <c r="O979" t="n">
        <v>0</v>
      </c>
      <c r="P979" t="n">
        <v>0</v>
      </c>
      <c r="Q979" t="n">
        <v>0</v>
      </c>
      <c r="R979" s="2" t="inlineStr"/>
    </row>
    <row r="980" ht="15" customHeight="1">
      <c r="A980" t="inlineStr">
        <is>
          <t>A 45597-2024</t>
        </is>
      </c>
      <c r="B980" s="1" t="n">
        <v>45579</v>
      </c>
      <c r="C980" s="1" t="n">
        <v>45645</v>
      </c>
      <c r="D980" t="inlineStr">
        <is>
          <t>NORRBOTTENS LÄN</t>
        </is>
      </c>
      <c r="E980" t="inlineStr">
        <is>
          <t>PAJALA</t>
        </is>
      </c>
      <c r="F980" t="inlineStr">
        <is>
          <t>Sveaskog</t>
        </is>
      </c>
      <c r="G980" t="n">
        <v>21.8</v>
      </c>
      <c r="H980" t="n">
        <v>0</v>
      </c>
      <c r="I980" t="n">
        <v>0</v>
      </c>
      <c r="J980" t="n">
        <v>0</v>
      </c>
      <c r="K980" t="n">
        <v>0</v>
      </c>
      <c r="L980" t="n">
        <v>0</v>
      </c>
      <c r="M980" t="n">
        <v>0</v>
      </c>
      <c r="N980" t="n">
        <v>0</v>
      </c>
      <c r="O980" t="n">
        <v>0</v>
      </c>
      <c r="P980" t="n">
        <v>0</v>
      </c>
      <c r="Q980" t="n">
        <v>0</v>
      </c>
      <c r="R980" s="2" t="inlineStr"/>
    </row>
    <row r="981" ht="15" customHeight="1">
      <c r="A981" t="inlineStr">
        <is>
          <t>A 46016-2024</t>
        </is>
      </c>
      <c r="B981" s="1" t="n">
        <v>45580</v>
      </c>
      <c r="C981" s="1" t="n">
        <v>45645</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45645</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45645</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46013-2024</t>
        </is>
      </c>
      <c r="B984" s="1" t="n">
        <v>45580</v>
      </c>
      <c r="C984" s="1" t="n">
        <v>45645</v>
      </c>
      <c r="D984" t="inlineStr">
        <is>
          <t>NORRBOTTENS LÄN</t>
        </is>
      </c>
      <c r="E984" t="inlineStr">
        <is>
          <t>PAJALA</t>
        </is>
      </c>
      <c r="G984" t="n">
        <v>2.5</v>
      </c>
      <c r="H984" t="n">
        <v>0</v>
      </c>
      <c r="I984" t="n">
        <v>0</v>
      </c>
      <c r="J984" t="n">
        <v>0</v>
      </c>
      <c r="K984" t="n">
        <v>0</v>
      </c>
      <c r="L984" t="n">
        <v>0</v>
      </c>
      <c r="M984" t="n">
        <v>0</v>
      </c>
      <c r="N984" t="n">
        <v>0</v>
      </c>
      <c r="O984" t="n">
        <v>0</v>
      </c>
      <c r="P984" t="n">
        <v>0</v>
      </c>
      <c r="Q984" t="n">
        <v>0</v>
      </c>
      <c r="R984" s="2" t="inlineStr"/>
    </row>
    <row r="985" ht="15" customHeight="1">
      <c r="A985" t="inlineStr">
        <is>
          <t>A 46017-2024</t>
        </is>
      </c>
      <c r="B985" s="1" t="n">
        <v>45580</v>
      </c>
      <c r="C985" s="1" t="n">
        <v>45645</v>
      </c>
      <c r="D985" t="inlineStr">
        <is>
          <t>NORRBOTTENS LÄN</t>
        </is>
      </c>
      <c r="E985" t="inlineStr">
        <is>
          <t>PAJALA</t>
        </is>
      </c>
      <c r="G985" t="n">
        <v>6.7</v>
      </c>
      <c r="H985" t="n">
        <v>0</v>
      </c>
      <c r="I985" t="n">
        <v>0</v>
      </c>
      <c r="J985" t="n">
        <v>0</v>
      </c>
      <c r="K985" t="n">
        <v>0</v>
      </c>
      <c r="L985" t="n">
        <v>0</v>
      </c>
      <c r="M985" t="n">
        <v>0</v>
      </c>
      <c r="N985" t="n">
        <v>0</v>
      </c>
      <c r="O985" t="n">
        <v>0</v>
      </c>
      <c r="P985" t="n">
        <v>0</v>
      </c>
      <c r="Q985" t="n">
        <v>0</v>
      </c>
      <c r="R985" s="2" t="inlineStr"/>
    </row>
    <row r="986" ht="15" customHeight="1">
      <c r="A986" t="inlineStr">
        <is>
          <t>A 46025-2024</t>
        </is>
      </c>
      <c r="B986" s="1" t="n">
        <v>45580</v>
      </c>
      <c r="C986" s="1" t="n">
        <v>45645</v>
      </c>
      <c r="D986" t="inlineStr">
        <is>
          <t>NORRBOTTENS LÄN</t>
        </is>
      </c>
      <c r="E986" t="inlineStr">
        <is>
          <t>PAJALA</t>
        </is>
      </c>
      <c r="G986" t="n">
        <v>6.3</v>
      </c>
      <c r="H986" t="n">
        <v>0</v>
      </c>
      <c r="I986" t="n">
        <v>0</v>
      </c>
      <c r="J986" t="n">
        <v>0</v>
      </c>
      <c r="K986" t="n">
        <v>0</v>
      </c>
      <c r="L986" t="n">
        <v>0</v>
      </c>
      <c r="M986" t="n">
        <v>0</v>
      </c>
      <c r="N986" t="n">
        <v>0</v>
      </c>
      <c r="O986" t="n">
        <v>0</v>
      </c>
      <c r="P986" t="n">
        <v>0</v>
      </c>
      <c r="Q986" t="n">
        <v>0</v>
      </c>
      <c r="R986" s="2" t="inlineStr"/>
    </row>
    <row r="987" ht="15" customHeight="1">
      <c r="A987" t="inlineStr">
        <is>
          <t>A 45914-2024</t>
        </is>
      </c>
      <c r="B987" s="1" t="n">
        <v>45580</v>
      </c>
      <c r="C987" s="1" t="n">
        <v>45645</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46011-2024</t>
        </is>
      </c>
      <c r="B988" s="1" t="n">
        <v>45580</v>
      </c>
      <c r="C988" s="1" t="n">
        <v>45645</v>
      </c>
      <c r="D988" t="inlineStr">
        <is>
          <t>NORRBOTTENS LÄN</t>
        </is>
      </c>
      <c r="E988" t="inlineStr">
        <is>
          <t>PAJALA</t>
        </is>
      </c>
      <c r="G988" t="n">
        <v>8</v>
      </c>
      <c r="H988" t="n">
        <v>0</v>
      </c>
      <c r="I988" t="n">
        <v>0</v>
      </c>
      <c r="J988" t="n">
        <v>0</v>
      </c>
      <c r="K988" t="n">
        <v>0</v>
      </c>
      <c r="L988" t="n">
        <v>0</v>
      </c>
      <c r="M988" t="n">
        <v>0</v>
      </c>
      <c r="N988" t="n">
        <v>0</v>
      </c>
      <c r="O988" t="n">
        <v>0</v>
      </c>
      <c r="P988" t="n">
        <v>0</v>
      </c>
      <c r="Q988" t="n">
        <v>0</v>
      </c>
      <c r="R988" s="2" t="inlineStr"/>
    </row>
    <row r="989" ht="15" customHeight="1">
      <c r="A989" t="inlineStr">
        <is>
          <t>A 46027-2024</t>
        </is>
      </c>
      <c r="B989" s="1" t="n">
        <v>45580</v>
      </c>
      <c r="C989" s="1" t="n">
        <v>45645</v>
      </c>
      <c r="D989" t="inlineStr">
        <is>
          <t>NORRBOTTENS LÄN</t>
        </is>
      </c>
      <c r="E989" t="inlineStr">
        <is>
          <t>PAJALA</t>
        </is>
      </c>
      <c r="G989" t="n">
        <v>21.1</v>
      </c>
      <c r="H989" t="n">
        <v>0</v>
      </c>
      <c r="I989" t="n">
        <v>0</v>
      </c>
      <c r="J989" t="n">
        <v>0</v>
      </c>
      <c r="K989" t="n">
        <v>0</v>
      </c>
      <c r="L989" t="n">
        <v>0</v>
      </c>
      <c r="M989" t="n">
        <v>0</v>
      </c>
      <c r="N989" t="n">
        <v>0</v>
      </c>
      <c r="O989" t="n">
        <v>0</v>
      </c>
      <c r="P989" t="n">
        <v>0</v>
      </c>
      <c r="Q989" t="n">
        <v>0</v>
      </c>
      <c r="R989" s="2" t="inlineStr"/>
    </row>
    <row r="990" ht="15" customHeight="1">
      <c r="A990" t="inlineStr">
        <is>
          <t>A 46169-2024</t>
        </is>
      </c>
      <c r="B990" s="1" t="n">
        <v>45581</v>
      </c>
      <c r="C990" s="1" t="n">
        <v>45645</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45645</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46764-2024</t>
        </is>
      </c>
      <c r="B992" s="1" t="n">
        <v>45583</v>
      </c>
      <c r="C992" s="1" t="n">
        <v>45645</v>
      </c>
      <c r="D992" t="inlineStr">
        <is>
          <t>NORRBOTTENS LÄN</t>
        </is>
      </c>
      <c r="E992" t="inlineStr">
        <is>
          <t>PAJALA</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46820-2024</t>
        </is>
      </c>
      <c r="B993" s="1" t="n">
        <v>45583</v>
      </c>
      <c r="C993" s="1" t="n">
        <v>45645</v>
      </c>
      <c r="D993" t="inlineStr">
        <is>
          <t>NORRBOTTENS LÄN</t>
        </is>
      </c>
      <c r="E993" t="inlineStr">
        <is>
          <t>PAJALA</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46830-2024</t>
        </is>
      </c>
      <c r="B994" s="1" t="n">
        <v>45583</v>
      </c>
      <c r="C994" s="1" t="n">
        <v>45645</v>
      </c>
      <c r="D994" t="inlineStr">
        <is>
          <t>NORRBOTTENS LÄN</t>
        </is>
      </c>
      <c r="E994" t="inlineStr">
        <is>
          <t>PAJALA</t>
        </is>
      </c>
      <c r="F994" t="inlineStr">
        <is>
          <t>Sveaskog</t>
        </is>
      </c>
      <c r="G994" t="n">
        <v>7.7</v>
      </c>
      <c r="H994" t="n">
        <v>0</v>
      </c>
      <c r="I994" t="n">
        <v>0</v>
      </c>
      <c r="J994" t="n">
        <v>0</v>
      </c>
      <c r="K994" t="n">
        <v>0</v>
      </c>
      <c r="L994" t="n">
        <v>0</v>
      </c>
      <c r="M994" t="n">
        <v>0</v>
      </c>
      <c r="N994" t="n">
        <v>0</v>
      </c>
      <c r="O994" t="n">
        <v>0</v>
      </c>
      <c r="P994" t="n">
        <v>0</v>
      </c>
      <c r="Q994" t="n">
        <v>0</v>
      </c>
      <c r="R994" s="2" t="inlineStr"/>
    </row>
    <row r="995" ht="15" customHeight="1">
      <c r="A995" t="inlineStr">
        <is>
          <t>A 46757-2024</t>
        </is>
      </c>
      <c r="B995" s="1" t="n">
        <v>45583</v>
      </c>
      <c r="C995" s="1" t="n">
        <v>45645</v>
      </c>
      <c r="D995" t="inlineStr">
        <is>
          <t>NORRBOTTENS LÄN</t>
        </is>
      </c>
      <c r="E995" t="inlineStr">
        <is>
          <t>PAJALA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46769-2024</t>
        </is>
      </c>
      <c r="B996" s="1" t="n">
        <v>45583</v>
      </c>
      <c r="C996" s="1" t="n">
        <v>45645</v>
      </c>
      <c r="D996" t="inlineStr">
        <is>
          <t>NORRBOTTENS LÄN</t>
        </is>
      </c>
      <c r="E996" t="inlineStr">
        <is>
          <t>PAJALA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46774-2024</t>
        </is>
      </c>
      <c r="B997" s="1" t="n">
        <v>45583</v>
      </c>
      <c r="C997" s="1" t="n">
        <v>45645</v>
      </c>
      <c r="D997" t="inlineStr">
        <is>
          <t>NORRBOTTENS LÄN</t>
        </is>
      </c>
      <c r="E997" t="inlineStr">
        <is>
          <t>PAJALA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46851-2024</t>
        </is>
      </c>
      <c r="B998" s="1" t="n">
        <v>45583</v>
      </c>
      <c r="C998" s="1" t="n">
        <v>45645</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47051-2024</t>
        </is>
      </c>
      <c r="B999" s="1" t="n">
        <v>45585</v>
      </c>
      <c r="C999" s="1" t="n">
        <v>45645</v>
      </c>
      <c r="D999" t="inlineStr">
        <is>
          <t>NORRBOTTENS LÄN</t>
        </is>
      </c>
      <c r="E999" t="inlineStr">
        <is>
          <t>PAJALA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46951-2024</t>
        </is>
      </c>
      <c r="B1000" s="1" t="n">
        <v>45585</v>
      </c>
      <c r="C1000" s="1" t="n">
        <v>45645</v>
      </c>
      <c r="D1000" t="inlineStr">
        <is>
          <t>NORRBOTTENS LÄN</t>
        </is>
      </c>
      <c r="E1000" t="inlineStr">
        <is>
          <t>PAJALA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46953-2024</t>
        </is>
      </c>
      <c r="B1001" s="1" t="n">
        <v>45585</v>
      </c>
      <c r="C1001" s="1" t="n">
        <v>45645</v>
      </c>
      <c r="D1001" t="inlineStr">
        <is>
          <t>NORRBOTTENS LÄN</t>
        </is>
      </c>
      <c r="E1001" t="inlineStr">
        <is>
          <t>PAJALA</t>
        </is>
      </c>
      <c r="G1001" t="n">
        <v>24.2</v>
      </c>
      <c r="H1001" t="n">
        <v>0</v>
      </c>
      <c r="I1001" t="n">
        <v>0</v>
      </c>
      <c r="J1001" t="n">
        <v>0</v>
      </c>
      <c r="K1001" t="n">
        <v>0</v>
      </c>
      <c r="L1001" t="n">
        <v>0</v>
      </c>
      <c r="M1001" t="n">
        <v>0</v>
      </c>
      <c r="N1001" t="n">
        <v>0</v>
      </c>
      <c r="O1001" t="n">
        <v>0</v>
      </c>
      <c r="P1001" t="n">
        <v>0</v>
      </c>
      <c r="Q1001" t="n">
        <v>0</v>
      </c>
      <c r="R1001" s="2" t="inlineStr"/>
    </row>
    <row r="1002" ht="15" customHeight="1">
      <c r="A1002" t="inlineStr">
        <is>
          <t>A 47189-2024</t>
        </is>
      </c>
      <c r="B1002" s="1" t="n">
        <v>45586</v>
      </c>
      <c r="C1002" s="1" t="n">
        <v>45645</v>
      </c>
      <c r="D1002" t="inlineStr">
        <is>
          <t>NORRBOTTENS LÄN</t>
        </is>
      </c>
      <c r="E1002" t="inlineStr">
        <is>
          <t>PAJALA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47207-2024</t>
        </is>
      </c>
      <c r="B1003" s="1" t="n">
        <v>45586</v>
      </c>
      <c r="C1003" s="1" t="n">
        <v>45645</v>
      </c>
      <c r="D1003" t="inlineStr">
        <is>
          <t>NORRBOTTENS LÄN</t>
        </is>
      </c>
      <c r="E1003" t="inlineStr">
        <is>
          <t>PAJALA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45645</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47199-2024</t>
        </is>
      </c>
      <c r="B1005" s="1" t="n">
        <v>45586</v>
      </c>
      <c r="C1005" s="1" t="n">
        <v>45645</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47195-2024</t>
        </is>
      </c>
      <c r="B1006" s="1" t="n">
        <v>45586</v>
      </c>
      <c r="C1006" s="1" t="n">
        <v>45645</v>
      </c>
      <c r="D1006" t="inlineStr">
        <is>
          <t>NORRBOTTENS LÄN</t>
        </is>
      </c>
      <c r="E1006" t="inlineStr">
        <is>
          <t>PAJALA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47186-2024</t>
        </is>
      </c>
      <c r="B1007" s="1" t="n">
        <v>45586</v>
      </c>
      <c r="C1007" s="1" t="n">
        <v>45645</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47206-2024</t>
        </is>
      </c>
      <c r="B1008" s="1" t="n">
        <v>45586</v>
      </c>
      <c r="C1008" s="1" t="n">
        <v>45645</v>
      </c>
      <c r="D1008" t="inlineStr">
        <is>
          <t>NORRBOTTENS LÄN</t>
        </is>
      </c>
      <c r="E1008" t="inlineStr">
        <is>
          <t>PAJALA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47539-2024</t>
        </is>
      </c>
      <c r="B1009" s="1" t="n">
        <v>45587</v>
      </c>
      <c r="C1009" s="1" t="n">
        <v>45645</v>
      </c>
      <c r="D1009" t="inlineStr">
        <is>
          <t>NORRBOTTENS LÄN</t>
        </is>
      </c>
      <c r="E1009" t="inlineStr">
        <is>
          <t>PAJALA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47328-2024</t>
        </is>
      </c>
      <c r="B1010" s="1" t="n">
        <v>45587</v>
      </c>
      <c r="C1010" s="1" t="n">
        <v>45645</v>
      </c>
      <c r="D1010" t="inlineStr">
        <is>
          <t>NORRBOTTENS LÄN</t>
        </is>
      </c>
      <c r="E1010" t="inlineStr">
        <is>
          <t>PAJALA</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48177-2024</t>
        </is>
      </c>
      <c r="B1011" s="1" t="n">
        <v>45589</v>
      </c>
      <c r="C1011" s="1" t="n">
        <v>45645</v>
      </c>
      <c r="D1011" t="inlineStr">
        <is>
          <t>NORRBOTTENS LÄN</t>
        </is>
      </c>
      <c r="E1011" t="inlineStr">
        <is>
          <t>PAJALA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48179-2024</t>
        </is>
      </c>
      <c r="B1012" s="1" t="n">
        <v>45589</v>
      </c>
      <c r="C1012" s="1" t="n">
        <v>45645</v>
      </c>
      <c r="D1012" t="inlineStr">
        <is>
          <t>NORRBOTTENS LÄN</t>
        </is>
      </c>
      <c r="E1012" t="inlineStr">
        <is>
          <t>PAJALA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48486-2024</t>
        </is>
      </c>
      <c r="B1013" s="1" t="n">
        <v>45592</v>
      </c>
      <c r="C1013" s="1" t="n">
        <v>45645</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48485-2024</t>
        </is>
      </c>
      <c r="B1014" s="1" t="n">
        <v>45592</v>
      </c>
      <c r="C1014" s="1" t="n">
        <v>45645</v>
      </c>
      <c r="D1014" t="inlineStr">
        <is>
          <t>NORRBOTTENS LÄN</t>
        </is>
      </c>
      <c r="E1014" t="inlineStr">
        <is>
          <t>PAJALA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48484-2024</t>
        </is>
      </c>
      <c r="B1015" s="1" t="n">
        <v>45592</v>
      </c>
      <c r="C1015" s="1" t="n">
        <v>45645</v>
      </c>
      <c r="D1015" t="inlineStr">
        <is>
          <t>NORRBOTTENS LÄN</t>
        </is>
      </c>
      <c r="E1015" t="inlineStr">
        <is>
          <t>PAJALA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48487-2024</t>
        </is>
      </c>
      <c r="B1016" s="1" t="n">
        <v>45592</v>
      </c>
      <c r="C1016" s="1" t="n">
        <v>45645</v>
      </c>
      <c r="D1016" t="inlineStr">
        <is>
          <t>NORRBOTTENS LÄN</t>
        </is>
      </c>
      <c r="E1016" t="inlineStr">
        <is>
          <t>PAJALA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48764-2024</t>
        </is>
      </c>
      <c r="B1017" s="1" t="n">
        <v>45593</v>
      </c>
      <c r="C1017" s="1" t="n">
        <v>45645</v>
      </c>
      <c r="D1017" t="inlineStr">
        <is>
          <t>NORRBOTTENS LÄN</t>
        </is>
      </c>
      <c r="E1017" t="inlineStr">
        <is>
          <t>PAJALA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48656-2024</t>
        </is>
      </c>
      <c r="B1018" s="1" t="n">
        <v>45593</v>
      </c>
      <c r="C1018" s="1" t="n">
        <v>45645</v>
      </c>
      <c r="D1018" t="inlineStr">
        <is>
          <t>NORRBOTTENS LÄN</t>
        </is>
      </c>
      <c r="E1018" t="inlineStr">
        <is>
          <t>PAJALA</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48916-2024</t>
        </is>
      </c>
      <c r="B1019" s="1" t="n">
        <v>45594</v>
      </c>
      <c r="C1019" s="1" t="n">
        <v>45645</v>
      </c>
      <c r="D1019" t="inlineStr">
        <is>
          <t>NORRBOTTENS LÄN</t>
        </is>
      </c>
      <c r="E1019" t="inlineStr">
        <is>
          <t>PAJALA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48920-2024</t>
        </is>
      </c>
      <c r="B1020" s="1" t="n">
        <v>45594</v>
      </c>
      <c r="C1020" s="1" t="n">
        <v>45645</v>
      </c>
      <c r="D1020" t="inlineStr">
        <is>
          <t>NORRBOTTENS LÄN</t>
        </is>
      </c>
      <c r="E1020" t="inlineStr">
        <is>
          <t>PAJALA</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49254-2024</t>
        </is>
      </c>
      <c r="B1021" s="1" t="n">
        <v>45595</v>
      </c>
      <c r="C1021" s="1" t="n">
        <v>45645</v>
      </c>
      <c r="D1021" t="inlineStr">
        <is>
          <t>NORRBOTTENS LÄN</t>
        </is>
      </c>
      <c r="E1021" t="inlineStr">
        <is>
          <t>PAJALA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49830-2024</t>
        </is>
      </c>
      <c r="B1022" s="1" t="n">
        <v>45597</v>
      </c>
      <c r="C1022" s="1" t="n">
        <v>45645</v>
      </c>
      <c r="D1022" t="inlineStr">
        <is>
          <t>NORRBOTTENS LÄN</t>
        </is>
      </c>
      <c r="E1022" t="inlineStr">
        <is>
          <t>PAJALA</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50016-2024</t>
        </is>
      </c>
      <c r="B1023" s="1" t="n">
        <v>45599</v>
      </c>
      <c r="C1023" s="1" t="n">
        <v>45645</v>
      </c>
      <c r="D1023" t="inlineStr">
        <is>
          <t>NORRBOTTENS LÄN</t>
        </is>
      </c>
      <c r="E1023" t="inlineStr">
        <is>
          <t>PAJALA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45645</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45645</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50569-2024</t>
        </is>
      </c>
      <c r="B1026" s="1" t="n">
        <v>45601</v>
      </c>
      <c r="C1026" s="1" t="n">
        <v>45645</v>
      </c>
      <c r="D1026" t="inlineStr">
        <is>
          <t>NORRBOTTENS LÄN</t>
        </is>
      </c>
      <c r="E1026" t="inlineStr">
        <is>
          <t>PAJALA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50519-2024</t>
        </is>
      </c>
      <c r="B1027" s="1" t="n">
        <v>45601</v>
      </c>
      <c r="C1027" s="1" t="n">
        <v>45645</v>
      </c>
      <c r="D1027" t="inlineStr">
        <is>
          <t>NORRBOTTENS LÄN</t>
        </is>
      </c>
      <c r="E1027" t="inlineStr">
        <is>
          <t>PAJALA</t>
        </is>
      </c>
      <c r="F1027" t="inlineStr">
        <is>
          <t>Sveaskog</t>
        </is>
      </c>
      <c r="G1027" t="n">
        <v>31.8</v>
      </c>
      <c r="H1027" t="n">
        <v>0</v>
      </c>
      <c r="I1027" t="n">
        <v>0</v>
      </c>
      <c r="J1027" t="n">
        <v>0</v>
      </c>
      <c r="K1027" t="n">
        <v>0</v>
      </c>
      <c r="L1027" t="n">
        <v>0</v>
      </c>
      <c r="M1027" t="n">
        <v>0</v>
      </c>
      <c r="N1027" t="n">
        <v>0</v>
      </c>
      <c r="O1027" t="n">
        <v>0</v>
      </c>
      <c r="P1027" t="n">
        <v>0</v>
      </c>
      <c r="Q1027" t="n">
        <v>0</v>
      </c>
      <c r="R1027" s="2" t="inlineStr"/>
    </row>
    <row r="1028" ht="15" customHeight="1">
      <c r="A1028" t="inlineStr">
        <is>
          <t>A 50888-2024</t>
        </is>
      </c>
      <c r="B1028" s="1" t="n">
        <v>45602</v>
      </c>
      <c r="C1028" s="1" t="n">
        <v>45645</v>
      </c>
      <c r="D1028" t="inlineStr">
        <is>
          <t>NORRBOTTENS LÄN</t>
        </is>
      </c>
      <c r="E1028" t="inlineStr">
        <is>
          <t>PAJALA</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50823-2024</t>
        </is>
      </c>
      <c r="B1029" s="1" t="n">
        <v>45602</v>
      </c>
      <c r="C1029" s="1" t="n">
        <v>45645</v>
      </c>
      <c r="D1029" t="inlineStr">
        <is>
          <t>NORRBOTTENS LÄN</t>
        </is>
      </c>
      <c r="E1029" t="inlineStr">
        <is>
          <t>PAJALA</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51062-2024</t>
        </is>
      </c>
      <c r="B1030" s="1" t="n">
        <v>45603</v>
      </c>
      <c r="C1030" s="1" t="n">
        <v>45645</v>
      </c>
      <c r="D1030" t="inlineStr">
        <is>
          <t>NORRBOTTENS LÄN</t>
        </is>
      </c>
      <c r="E1030" t="inlineStr">
        <is>
          <t>PAJALA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51048-2024</t>
        </is>
      </c>
      <c r="B1031" s="1" t="n">
        <v>45603</v>
      </c>
      <c r="C1031" s="1" t="n">
        <v>45645</v>
      </c>
      <c r="D1031" t="inlineStr">
        <is>
          <t>NORRBOTTENS LÄN</t>
        </is>
      </c>
      <c r="E1031" t="inlineStr">
        <is>
          <t>PAJALA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51817-2024</t>
        </is>
      </c>
      <c r="B1032" s="1" t="n">
        <v>45607</v>
      </c>
      <c r="C1032" s="1" t="n">
        <v>45645</v>
      </c>
      <c r="D1032" t="inlineStr">
        <is>
          <t>NORRBOTTENS LÄN</t>
        </is>
      </c>
      <c r="E1032" t="inlineStr">
        <is>
          <t>PAJALA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45645</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45645</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45645</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53074-2024</t>
        </is>
      </c>
      <c r="B1036" s="1" t="n">
        <v>45611</v>
      </c>
      <c r="C1036" s="1" t="n">
        <v>45645</v>
      </c>
      <c r="D1036" t="inlineStr">
        <is>
          <t>NORRBOTTENS LÄN</t>
        </is>
      </c>
      <c r="E1036" t="inlineStr">
        <is>
          <t>PAJALA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53040-2024</t>
        </is>
      </c>
      <c r="B1037" s="1" t="n">
        <v>45611</v>
      </c>
      <c r="C1037" s="1" t="n">
        <v>45645</v>
      </c>
      <c r="D1037" t="inlineStr">
        <is>
          <t>NORRBOTTENS LÄN</t>
        </is>
      </c>
      <c r="E1037" t="inlineStr">
        <is>
          <t>PAJALA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45645</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45645</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53227-2024</t>
        </is>
      </c>
      <c r="B1040" s="1" t="n">
        <v>45613</v>
      </c>
      <c r="C1040" s="1" t="n">
        <v>45645</v>
      </c>
      <c r="D1040" t="inlineStr">
        <is>
          <t>NORRBOTTENS LÄN</t>
        </is>
      </c>
      <c r="E1040" t="inlineStr">
        <is>
          <t>PAJALA</t>
        </is>
      </c>
      <c r="G1040" t="n">
        <v>44.3</v>
      </c>
      <c r="H1040" t="n">
        <v>0</v>
      </c>
      <c r="I1040" t="n">
        <v>0</v>
      </c>
      <c r="J1040" t="n">
        <v>0</v>
      </c>
      <c r="K1040" t="n">
        <v>0</v>
      </c>
      <c r="L1040" t="n">
        <v>0</v>
      </c>
      <c r="M1040" t="n">
        <v>0</v>
      </c>
      <c r="N1040" t="n">
        <v>0</v>
      </c>
      <c r="O1040" t="n">
        <v>0</v>
      </c>
      <c r="P1040" t="n">
        <v>0</v>
      </c>
      <c r="Q1040" t="n">
        <v>0</v>
      </c>
      <c r="R1040" s="2" t="inlineStr"/>
    </row>
    <row r="1041" ht="15" customHeight="1">
      <c r="A1041" t="inlineStr">
        <is>
          <t>A 53229-2024</t>
        </is>
      </c>
      <c r="B1041" s="1" t="n">
        <v>45613</v>
      </c>
      <c r="C1041" s="1" t="n">
        <v>45645</v>
      </c>
      <c r="D1041" t="inlineStr">
        <is>
          <t>NORRBOTTENS LÄN</t>
        </is>
      </c>
      <c r="E1041" t="inlineStr">
        <is>
          <t>PAJALA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53653-2024</t>
        </is>
      </c>
      <c r="B1042" s="1" t="n">
        <v>45615</v>
      </c>
      <c r="C1042" s="1" t="n">
        <v>45645</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54256-2024</t>
        </is>
      </c>
      <c r="B1043" s="1" t="n">
        <v>45616</v>
      </c>
      <c r="C1043" s="1" t="n">
        <v>45645</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55343-2024</t>
        </is>
      </c>
      <c r="B1044" s="1" t="n">
        <v>45621</v>
      </c>
      <c r="C1044" s="1" t="n">
        <v>45645</v>
      </c>
      <c r="D1044" t="inlineStr">
        <is>
          <t>NORRBOTTENS LÄN</t>
        </is>
      </c>
      <c r="E1044" t="inlineStr">
        <is>
          <t>PAJALA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55774-2024</t>
        </is>
      </c>
      <c r="B1045" s="1" t="n">
        <v>45623</v>
      </c>
      <c r="C1045" s="1" t="n">
        <v>45645</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55776-2024</t>
        </is>
      </c>
      <c r="B1046" s="1" t="n">
        <v>45623</v>
      </c>
      <c r="C1046" s="1" t="n">
        <v>45645</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55928-2024</t>
        </is>
      </c>
      <c r="B1047" s="1" t="n">
        <v>45623</v>
      </c>
      <c r="C1047" s="1" t="n">
        <v>45645</v>
      </c>
      <c r="D1047" t="inlineStr">
        <is>
          <t>NORRBOTTENS LÄN</t>
        </is>
      </c>
      <c r="E1047" t="inlineStr">
        <is>
          <t>PAJALA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55949-2024</t>
        </is>
      </c>
      <c r="B1048" s="1" t="n">
        <v>45623</v>
      </c>
      <c r="C1048" s="1" t="n">
        <v>45645</v>
      </c>
      <c r="D1048" t="inlineStr">
        <is>
          <t>NORRBOTTENS LÄN</t>
        </is>
      </c>
      <c r="E1048" t="inlineStr">
        <is>
          <t>PAJALA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56300-2024</t>
        </is>
      </c>
      <c r="B1049" s="1" t="n">
        <v>45624</v>
      </c>
      <c r="C1049" s="1" t="n">
        <v>45645</v>
      </c>
      <c r="D1049" t="inlineStr">
        <is>
          <t>NORRBOTTENS LÄN</t>
        </is>
      </c>
      <c r="E1049" t="inlineStr">
        <is>
          <t>PAJALA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57559-2024</t>
        </is>
      </c>
      <c r="B1050" s="1" t="n">
        <v>45630</v>
      </c>
      <c r="C1050" s="1" t="n">
        <v>45645</v>
      </c>
      <c r="D1050" t="inlineStr">
        <is>
          <t>NORRBOTTENS LÄN</t>
        </is>
      </c>
      <c r="E1050" t="inlineStr">
        <is>
          <t>PAJALA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45645</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45645</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45645</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57740-2024</t>
        </is>
      </c>
      <c r="B1054" s="1" t="n">
        <v>45630</v>
      </c>
      <c r="C1054" s="1" t="n">
        <v>45645</v>
      </c>
      <c r="D1054" t="inlineStr">
        <is>
          <t>NORRBOTTENS LÄN</t>
        </is>
      </c>
      <c r="E1054" t="inlineStr">
        <is>
          <t>PAJALA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58052-2024</t>
        </is>
      </c>
      <c r="B1055" s="1" t="n">
        <v>45631</v>
      </c>
      <c r="C1055" s="1" t="n">
        <v>45645</v>
      </c>
      <c r="D1055" t="inlineStr">
        <is>
          <t>NORRBOTTENS LÄN</t>
        </is>
      </c>
      <c r="E1055" t="inlineStr">
        <is>
          <t>PAJALA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58031-2024</t>
        </is>
      </c>
      <c r="B1056" s="1" t="n">
        <v>45631</v>
      </c>
      <c r="C1056" s="1" t="n">
        <v>45645</v>
      </c>
      <c r="D1056" t="inlineStr">
        <is>
          <t>NORRBOTTENS LÄN</t>
        </is>
      </c>
      <c r="E1056" t="inlineStr">
        <is>
          <t>PAJALA</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58055-2024</t>
        </is>
      </c>
      <c r="B1057" s="1" t="n">
        <v>45631</v>
      </c>
      <c r="C1057" s="1" t="n">
        <v>45645</v>
      </c>
      <c r="D1057" t="inlineStr">
        <is>
          <t>NORRBOTTENS LÄN</t>
        </is>
      </c>
      <c r="E1057" t="inlineStr">
        <is>
          <t>PAJALA</t>
        </is>
      </c>
      <c r="G1057" t="n">
        <v>20.3</v>
      </c>
      <c r="H1057" t="n">
        <v>0</v>
      </c>
      <c r="I1057" t="n">
        <v>0</v>
      </c>
      <c r="J1057" t="n">
        <v>0</v>
      </c>
      <c r="K1057" t="n">
        <v>0</v>
      </c>
      <c r="L1057" t="n">
        <v>0</v>
      </c>
      <c r="M1057" t="n">
        <v>0</v>
      </c>
      <c r="N1057" t="n">
        <v>0</v>
      </c>
      <c r="O1057" t="n">
        <v>0</v>
      </c>
      <c r="P1057" t="n">
        <v>0</v>
      </c>
      <c r="Q1057" t="n">
        <v>0</v>
      </c>
      <c r="R1057" s="2" t="inlineStr"/>
    </row>
    <row r="1058" ht="15" customHeight="1">
      <c r="A1058" t="inlineStr">
        <is>
          <t>A 58643-2024</t>
        </is>
      </c>
      <c r="B1058" s="1" t="n">
        <v>45635</v>
      </c>
      <c r="C1058" s="1" t="n">
        <v>45645</v>
      </c>
      <c r="D1058" t="inlineStr">
        <is>
          <t>NORRBOTTENS LÄN</t>
        </is>
      </c>
      <c r="E1058" t="inlineStr">
        <is>
          <t>PAJALA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59197-2024</t>
        </is>
      </c>
      <c r="B1059" s="1" t="n">
        <v>45637</v>
      </c>
      <c r="C1059" s="1" t="n">
        <v>45645</v>
      </c>
      <c r="D1059" t="inlineStr">
        <is>
          <t>NORRBOTTENS LÄN</t>
        </is>
      </c>
      <c r="E1059" t="inlineStr">
        <is>
          <t>PAJALA</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60399-2024</t>
        </is>
      </c>
      <c r="B1060" s="1" t="n">
        <v>45643</v>
      </c>
      <c r="C1060" s="1" t="n">
        <v>45645</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c r="A1061" t="inlineStr">
        <is>
          <t>A 60608-2024</t>
        </is>
      </c>
      <c r="B1061" s="1" t="n">
        <v>45644</v>
      </c>
      <c r="C1061" s="1" t="n">
        <v>45645</v>
      </c>
      <c r="D1061" t="inlineStr">
        <is>
          <t>NORRBOTTENS LÄN</t>
        </is>
      </c>
      <c r="E1061" t="inlineStr">
        <is>
          <t>PAJALA</t>
        </is>
      </c>
      <c r="G1061" t="n">
        <v>4.5</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2024-12-19T14:53:42Z</dcterms:created>
  <dcterms:modified xmlns:dcterms="http://purl.org/dc/terms/" xmlns:xsi="http://www.w3.org/2001/XMLSchema-instance" xsi:type="dcterms:W3CDTF">2024-12-19T14:53:43Z</dcterms:modified>
</cp:coreProperties>
</file>