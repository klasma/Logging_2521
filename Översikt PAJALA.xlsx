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46133</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46133</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46133</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46133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46133</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46133</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46133</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46133</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46133</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46133</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46133</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46133</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46133</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46133</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46133</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46133</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46133</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46133</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46133</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46133</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46133</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46133</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46133</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46133</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46133</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46133</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46133</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46133</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46133</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46133</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46133</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46133</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46133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46133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46133</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46133</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38660-2025</t>
        </is>
      </c>
      <c r="B56" s="1" t="n">
        <v>45884.6115162037</v>
      </c>
      <c r="C56" s="1" t="n">
        <v>46133</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8985-2024</t>
        </is>
      </c>
      <c r="B57" s="1" t="n">
        <v>45356</v>
      </c>
      <c r="C57" s="1" t="n">
        <v>46133</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40131-2025</t>
        </is>
      </c>
      <c r="B58" s="1" t="n">
        <v>45894</v>
      </c>
      <c r="C58" s="1" t="n">
        <v>46133</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26531-2025</t>
        </is>
      </c>
      <c r="B59" s="1" t="n">
        <v>45807.57163194445</v>
      </c>
      <c r="C59" s="1" t="n">
        <v>46133</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41338-2025</t>
        </is>
      </c>
      <c r="B60" s="1" t="n">
        <v>45899.37550925926</v>
      </c>
      <c r="C60" s="1" t="n">
        <v>46133</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27635-2025</t>
        </is>
      </c>
      <c r="B61" s="1" t="n">
        <v>45813.5737037037</v>
      </c>
      <c r="C61" s="1" t="n">
        <v>46133</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42543-2025</t>
        </is>
      </c>
      <c r="B62" s="1" t="n">
        <v>45905.57864583333</v>
      </c>
      <c r="C62" s="1" t="n">
        <v>46133</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28854-2025</t>
        </is>
      </c>
      <c r="B63" s="1" t="n">
        <v>45820.58268518518</v>
      </c>
      <c r="C63" s="1" t="n">
        <v>46133</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43663-2025</t>
        </is>
      </c>
      <c r="B64" s="1" t="n">
        <v>45912.34770833333</v>
      </c>
      <c r="C64" s="1" t="n">
        <v>46133</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31204-2025</t>
        </is>
      </c>
      <c r="B65" s="1" t="n">
        <v>45832.7002199074</v>
      </c>
      <c r="C65" s="1" t="n">
        <v>46133</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36074-2025</t>
        </is>
      </c>
      <c r="B66" s="1" t="n">
        <v>45866</v>
      </c>
      <c r="C66" s="1" t="n">
        <v>46133</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48337-2025</t>
        </is>
      </c>
      <c r="B67" s="1" t="n">
        <v>45933.63640046296</v>
      </c>
      <c r="C67" s="1" t="n">
        <v>46133</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37182-2025</t>
        </is>
      </c>
      <c r="B68" s="1" t="n">
        <v>45875.62949074074</v>
      </c>
      <c r="C68" s="1" t="n">
        <v>46133</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36692-2025</t>
        </is>
      </c>
      <c r="B69" s="1" t="n">
        <v>45873.43134259259</v>
      </c>
      <c r="C69" s="1" t="n">
        <v>46133</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50822-2025</t>
        </is>
      </c>
      <c r="B70" s="1" t="n">
        <v>45946</v>
      </c>
      <c r="C70" s="1" t="n">
        <v>46133</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28428-2024</t>
        </is>
      </c>
      <c r="B71" s="1" t="n">
        <v>45477.64990740741</v>
      </c>
      <c r="C71" s="1" t="n">
        <v>46133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46133</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15950-2026</t>
        </is>
      </c>
      <c r="B73" s="1" t="n">
        <v>46107.81935185185</v>
      </c>
      <c r="C73" s="1" t="n">
        <v>46133</v>
      </c>
      <c r="D73" t="inlineStr">
        <is>
          <t>NORRBOTTENS LÄN</t>
        </is>
      </c>
      <c r="E73" t="inlineStr">
        <is>
          <t>PAJALA</t>
        </is>
      </c>
      <c r="G73" t="n">
        <v>2.9</v>
      </c>
      <c r="H73" t="n">
        <v>1</v>
      </c>
      <c r="I73" t="n">
        <v>0</v>
      </c>
      <c r="J73" t="n">
        <v>1</v>
      </c>
      <c r="K73" t="n">
        <v>0</v>
      </c>
      <c r="L73" t="n">
        <v>0</v>
      </c>
      <c r="M73" t="n">
        <v>0</v>
      </c>
      <c r="N73" t="n">
        <v>0</v>
      </c>
      <c r="O73" t="n">
        <v>1</v>
      </c>
      <c r="P73" t="n">
        <v>0</v>
      </c>
      <c r="Q73" t="n">
        <v>1</v>
      </c>
      <c r="R73" s="2" t="inlineStr">
        <is>
          <t>Videsparv</t>
        </is>
      </c>
      <c r="S73">
        <f>HYPERLINK("https://klasma.github.io/Logging_2521/artfynd/A 15950-2026 artfynd.xlsx", "A 15950-2026")</f>
        <v/>
      </c>
      <c r="T73">
        <f>HYPERLINK("https://klasma.github.io/Logging_2521/kartor/A 15950-2026 karta.png", "A 15950-2026")</f>
        <v/>
      </c>
      <c r="V73">
        <f>HYPERLINK("https://klasma.github.io/Logging_2521/klagomål/A 15950-2026 FSC-klagomål.docx", "A 15950-2026")</f>
        <v/>
      </c>
      <c r="W73">
        <f>HYPERLINK("https://klasma.github.io/Logging_2521/klagomålsmail/A 15950-2026 FSC-klagomål mail.docx", "A 15950-2026")</f>
        <v/>
      </c>
      <c r="X73">
        <f>HYPERLINK("https://klasma.github.io/Logging_2521/tillsyn/A 15950-2026 tillsynsbegäran.docx", "A 15950-2026")</f>
        <v/>
      </c>
      <c r="Y73">
        <f>HYPERLINK("https://klasma.github.io/Logging_2521/tillsynsmail/A 15950-2026 tillsynsbegäran mail.docx", "A 15950-2026")</f>
        <v/>
      </c>
      <c r="Z73">
        <f>HYPERLINK("https://klasma.github.io/Logging_2521/fåglar/A 15950-2026 prioriterade fågelarter.docx", "A 15950-2026")</f>
        <v/>
      </c>
    </row>
    <row r="74" ht="15" customHeight="1">
      <c r="A74" t="inlineStr">
        <is>
          <t>A 46952-2024</t>
        </is>
      </c>
      <c r="B74" s="1" t="n">
        <v>45585</v>
      </c>
      <c r="C74" s="1" t="n">
        <v>46133</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46133</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47700-2022</t>
        </is>
      </c>
      <c r="B76" s="1" t="n">
        <v>44854</v>
      </c>
      <c r="C76" s="1" t="n">
        <v>46133</v>
      </c>
      <c r="D76" t="inlineStr">
        <is>
          <t>NORRBOTTENS LÄN</t>
        </is>
      </c>
      <c r="E76" t="inlineStr">
        <is>
          <t>PAJALA</t>
        </is>
      </c>
      <c r="F76" t="inlineStr">
        <is>
          <t>Sveaskog</t>
        </is>
      </c>
      <c r="G76" t="n">
        <v>2.9</v>
      </c>
      <c r="H76" t="n">
        <v>0</v>
      </c>
      <c r="I76" t="n">
        <v>0</v>
      </c>
      <c r="J76" t="n">
        <v>1</v>
      </c>
      <c r="K76" t="n">
        <v>0</v>
      </c>
      <c r="L76" t="n">
        <v>0</v>
      </c>
      <c r="M76" t="n">
        <v>0</v>
      </c>
      <c r="N76" t="n">
        <v>0</v>
      </c>
      <c r="O76" t="n">
        <v>1</v>
      </c>
      <c r="P76" t="n">
        <v>0</v>
      </c>
      <c r="Q76" t="n">
        <v>1</v>
      </c>
      <c r="R76" s="2" t="inlineStr">
        <is>
          <t>Garnlav</t>
        </is>
      </c>
      <c r="S76">
        <f>HYPERLINK("https://klasma.github.io/Logging_2521/artfynd/A 47700-2022 artfynd.xlsx", "A 47700-2022")</f>
        <v/>
      </c>
      <c r="T76">
        <f>HYPERLINK("https://klasma.github.io/Logging_2521/kartor/A 47700-2022 karta.png", "A 47700-2022")</f>
        <v/>
      </c>
      <c r="V76">
        <f>HYPERLINK("https://klasma.github.io/Logging_2521/klagomål/A 47700-2022 FSC-klagomål.docx", "A 47700-2022")</f>
        <v/>
      </c>
      <c r="W76">
        <f>HYPERLINK("https://klasma.github.io/Logging_2521/klagomålsmail/A 47700-2022 FSC-klagomål mail.docx", "A 47700-2022")</f>
        <v/>
      </c>
      <c r="X76">
        <f>HYPERLINK("https://klasma.github.io/Logging_2521/tillsyn/A 47700-2022 tillsynsbegäran.docx", "A 47700-2022")</f>
        <v/>
      </c>
      <c r="Y76">
        <f>HYPERLINK("https://klasma.github.io/Logging_2521/tillsynsmail/A 47700-2022 tillsynsbegäran mail.docx", "A 47700-2022")</f>
        <v/>
      </c>
    </row>
    <row r="77" ht="15" customHeight="1">
      <c r="A77" t="inlineStr">
        <is>
          <t>A 35260-2024</t>
        </is>
      </c>
      <c r="B77" s="1" t="n">
        <v>45530</v>
      </c>
      <c r="C77" s="1" t="n">
        <v>46133</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35276-2024</t>
        </is>
      </c>
      <c r="B78" s="1" t="n">
        <v>45530</v>
      </c>
      <c r="C78" s="1" t="n">
        <v>46133</v>
      </c>
      <c r="D78" t="inlineStr">
        <is>
          <t>NORRBOTTENS LÄN</t>
        </is>
      </c>
      <c r="E78" t="inlineStr">
        <is>
          <t>PAJALA</t>
        </is>
      </c>
      <c r="F78" t="inlineStr">
        <is>
          <t>Allmännings- och besparingsskogar</t>
        </is>
      </c>
      <c r="G78" t="n">
        <v>5.1</v>
      </c>
      <c r="H78" t="n">
        <v>0</v>
      </c>
      <c r="I78" t="n">
        <v>0</v>
      </c>
      <c r="J78" t="n">
        <v>1</v>
      </c>
      <c r="K78" t="n">
        <v>0</v>
      </c>
      <c r="L78" t="n">
        <v>0</v>
      </c>
      <c r="M78" t="n">
        <v>0</v>
      </c>
      <c r="N78" t="n">
        <v>0</v>
      </c>
      <c r="O78" t="n">
        <v>1</v>
      </c>
      <c r="P78" t="n">
        <v>0</v>
      </c>
      <c r="Q78" t="n">
        <v>1</v>
      </c>
      <c r="R78" s="2" t="inlineStr">
        <is>
          <t>Garnlav</t>
        </is>
      </c>
      <c r="S78">
        <f>HYPERLINK("https://klasma.github.io/Logging_2521/artfynd/A 35276-2024 artfynd.xlsx", "A 35276-2024")</f>
        <v/>
      </c>
      <c r="T78">
        <f>HYPERLINK("https://klasma.github.io/Logging_2521/kartor/A 35276-2024 karta.png", "A 35276-2024")</f>
        <v/>
      </c>
      <c r="V78">
        <f>HYPERLINK("https://klasma.github.io/Logging_2521/klagomål/A 35276-2024 FSC-klagomål.docx", "A 35276-2024")</f>
        <v/>
      </c>
      <c r="W78">
        <f>HYPERLINK("https://klasma.github.io/Logging_2521/klagomålsmail/A 35276-2024 FSC-klagomål mail.docx", "A 35276-2024")</f>
        <v/>
      </c>
      <c r="X78">
        <f>HYPERLINK("https://klasma.github.io/Logging_2521/tillsyn/A 35276-2024 tillsynsbegäran.docx", "A 35276-2024")</f>
        <v/>
      </c>
      <c r="Y78">
        <f>HYPERLINK("https://klasma.github.io/Logging_2521/tillsynsmail/A 35276-2024 tillsynsbegäran mail.docx", "A 35276-2024")</f>
        <v/>
      </c>
    </row>
    <row r="79" ht="15" customHeight="1">
      <c r="A79" t="inlineStr">
        <is>
          <t>A 50377-2023</t>
        </is>
      </c>
      <c r="B79" s="1" t="n">
        <v>45216.62158564815</v>
      </c>
      <c r="C79" s="1" t="n">
        <v>46133</v>
      </c>
      <c r="D79" t="inlineStr">
        <is>
          <t>NORRBOTTENS LÄN</t>
        </is>
      </c>
      <c r="E79" t="inlineStr">
        <is>
          <t>PAJALA</t>
        </is>
      </c>
      <c r="F79" t="inlineStr">
        <is>
          <t>Sveaskog</t>
        </is>
      </c>
      <c r="G79" t="n">
        <v>2.6</v>
      </c>
      <c r="H79" t="n">
        <v>0</v>
      </c>
      <c r="I79" t="n">
        <v>0</v>
      </c>
      <c r="J79" t="n">
        <v>1</v>
      </c>
      <c r="K79" t="n">
        <v>0</v>
      </c>
      <c r="L79" t="n">
        <v>0</v>
      </c>
      <c r="M79" t="n">
        <v>0</v>
      </c>
      <c r="N79" t="n">
        <v>0</v>
      </c>
      <c r="O79" t="n">
        <v>1</v>
      </c>
      <c r="P79" t="n">
        <v>0</v>
      </c>
      <c r="Q79" t="n">
        <v>1</v>
      </c>
      <c r="R79" s="2" t="inlineStr">
        <is>
          <t>Motaggsvamp</t>
        </is>
      </c>
      <c r="S79">
        <f>HYPERLINK("https://klasma.github.io/Logging_2521/artfynd/A 50377-2023 artfynd.xlsx", "A 50377-2023")</f>
        <v/>
      </c>
      <c r="T79">
        <f>HYPERLINK("https://klasma.github.io/Logging_2521/kartor/A 50377-2023 karta.png", "A 50377-2023")</f>
        <v/>
      </c>
      <c r="V79">
        <f>HYPERLINK("https://klasma.github.io/Logging_2521/klagomål/A 50377-2023 FSC-klagomål.docx", "A 50377-2023")</f>
        <v/>
      </c>
      <c r="W79">
        <f>HYPERLINK("https://klasma.github.io/Logging_2521/klagomålsmail/A 50377-2023 FSC-klagomål mail.docx", "A 50377-2023")</f>
        <v/>
      </c>
      <c r="X79">
        <f>HYPERLINK("https://klasma.github.io/Logging_2521/tillsyn/A 50377-2023 tillsynsbegäran.docx", "A 50377-2023")</f>
        <v/>
      </c>
      <c r="Y79">
        <f>HYPERLINK("https://klasma.github.io/Logging_2521/tillsynsmail/A 50377-2023 tillsynsbegäran mail.docx", "A 50377-2023")</f>
        <v/>
      </c>
    </row>
    <row r="80" ht="15" customHeight="1">
      <c r="A80" t="inlineStr">
        <is>
          <t>A 33176-2021</t>
        </is>
      </c>
      <c r="B80" s="1" t="n">
        <v>44376</v>
      </c>
      <c r="C80" s="1" t="n">
        <v>46133</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46133</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46133</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46133</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46133</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46133</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46133</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46133</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46133</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46133</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46133</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46133</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46133</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46133</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46133</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46133</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46133</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67272-2021</t>
        </is>
      </c>
      <c r="B97" s="1" t="n">
        <v>44523</v>
      </c>
      <c r="C97" s="1" t="n">
        <v>46133</v>
      </c>
      <c r="D97" t="inlineStr">
        <is>
          <t>NORRBOTTENS LÄN</t>
        </is>
      </c>
      <c r="E97" t="inlineStr">
        <is>
          <t>PAJALA</t>
        </is>
      </c>
      <c r="F97" t="inlineStr">
        <is>
          <t>Allmännings- och besparingsskogar</t>
        </is>
      </c>
      <c r="G97" t="n">
        <v>2.2</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46133</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46133</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46133</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46133</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46133</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46133</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46133</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46133</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46133</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46133</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46133</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46133</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46133</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46133</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46133</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46133</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46133</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46133</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46133</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46133</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46133</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46133</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46133</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46133</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46133</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46133</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46133</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46133</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46133</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46133</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46133</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46133</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46133</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46133</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46133</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46133</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46133</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46133</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46133</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46133</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46133</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46133</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46133</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46133</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46133</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46133</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46133</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46133</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46133</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46133</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46133</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46133</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46133</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46133</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46133</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46133</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46133</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46133</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46133</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46133</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46133</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46133</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53230-2024</t>
        </is>
      </c>
      <c r="B160" s="1" t="n">
        <v>45613.6241087963</v>
      </c>
      <c r="C160" s="1" t="n">
        <v>46133</v>
      </c>
      <c r="D160" t="inlineStr">
        <is>
          <t>NORRBOTTENS LÄN</t>
        </is>
      </c>
      <c r="E160" t="inlineStr">
        <is>
          <t>PAJALA</t>
        </is>
      </c>
      <c r="G160" t="n">
        <v>6.7</v>
      </c>
      <c r="H160" t="n">
        <v>0</v>
      </c>
      <c r="I160" t="n">
        <v>0</v>
      </c>
      <c r="J160" t="n">
        <v>0</v>
      </c>
      <c r="K160" t="n">
        <v>0</v>
      </c>
      <c r="L160" t="n">
        <v>0</v>
      </c>
      <c r="M160" t="n">
        <v>0</v>
      </c>
      <c r="N160" t="n">
        <v>0</v>
      </c>
      <c r="O160" t="n">
        <v>0</v>
      </c>
      <c r="P160" t="n">
        <v>0</v>
      </c>
      <c r="Q160" t="n">
        <v>0</v>
      </c>
      <c r="R160" s="2" t="inlineStr"/>
    </row>
    <row r="161" ht="15" customHeight="1">
      <c r="A161" t="inlineStr">
        <is>
          <t>A 23112-2021</t>
        </is>
      </c>
      <c r="B161" s="1" t="n">
        <v>44330</v>
      </c>
      <c r="C161" s="1" t="n">
        <v>46133</v>
      </c>
      <c r="D161" t="inlineStr">
        <is>
          <t>NORRBOTTENS LÄN</t>
        </is>
      </c>
      <c r="E161" t="inlineStr">
        <is>
          <t>PAJALA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53423-2022</t>
        </is>
      </c>
      <c r="B162" s="1" t="n">
        <v>44874</v>
      </c>
      <c r="C162" s="1" t="n">
        <v>46133</v>
      </c>
      <c r="D162" t="inlineStr">
        <is>
          <t>NORRBOTTENS LÄN</t>
        </is>
      </c>
      <c r="E162" t="inlineStr">
        <is>
          <t>PAJALA</t>
        </is>
      </c>
      <c r="G162" t="n">
        <v>6.9</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46133</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23630-2024</t>
        </is>
      </c>
      <c r="B164" s="1" t="n">
        <v>45454</v>
      </c>
      <c r="C164" s="1" t="n">
        <v>46133</v>
      </c>
      <c r="D164" t="inlineStr">
        <is>
          <t>NORRBOTTENS LÄN</t>
        </is>
      </c>
      <c r="E164" t="inlineStr">
        <is>
          <t>PAJALA</t>
        </is>
      </c>
      <c r="G164" t="n">
        <v>5.9</v>
      </c>
      <c r="H164" t="n">
        <v>0</v>
      </c>
      <c r="I164" t="n">
        <v>0</v>
      </c>
      <c r="J164" t="n">
        <v>0</v>
      </c>
      <c r="K164" t="n">
        <v>0</v>
      </c>
      <c r="L164" t="n">
        <v>0</v>
      </c>
      <c r="M164" t="n">
        <v>0</v>
      </c>
      <c r="N164" t="n">
        <v>0</v>
      </c>
      <c r="O164" t="n">
        <v>0</v>
      </c>
      <c r="P164" t="n">
        <v>0</v>
      </c>
      <c r="Q164" t="n">
        <v>0</v>
      </c>
      <c r="R164" s="2" t="inlineStr"/>
    </row>
    <row r="165" ht="15" customHeight="1">
      <c r="A165" t="inlineStr">
        <is>
          <t>A 6329-2025</t>
        </is>
      </c>
      <c r="B165" s="1" t="n">
        <v>45698</v>
      </c>
      <c r="C165" s="1" t="n">
        <v>46133</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53040-2024</t>
        </is>
      </c>
      <c r="B166" s="1" t="n">
        <v>45611.43986111111</v>
      </c>
      <c r="C166" s="1" t="n">
        <v>46133</v>
      </c>
      <c r="D166" t="inlineStr">
        <is>
          <t>NORRBOTTENS LÄN</t>
        </is>
      </c>
      <c r="E166" t="inlineStr">
        <is>
          <t>PAJALA</t>
        </is>
      </c>
      <c r="G166" t="n">
        <v>3.1</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46133</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46133</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62763-2021</t>
        </is>
      </c>
      <c r="B169" s="1" t="n">
        <v>44504</v>
      </c>
      <c r="C169" s="1" t="n">
        <v>46133</v>
      </c>
      <c r="D169" t="inlineStr">
        <is>
          <t>NORRBOTTENS LÄN</t>
        </is>
      </c>
      <c r="E169" t="inlineStr">
        <is>
          <t>PAJALA</t>
        </is>
      </c>
      <c r="G169" t="n">
        <v>20.1</v>
      </c>
      <c r="H169" t="n">
        <v>0</v>
      </c>
      <c r="I169" t="n">
        <v>0</v>
      </c>
      <c r="J169" t="n">
        <v>0</v>
      </c>
      <c r="K169" t="n">
        <v>0</v>
      </c>
      <c r="L169" t="n">
        <v>0</v>
      </c>
      <c r="M169" t="n">
        <v>0</v>
      </c>
      <c r="N169" t="n">
        <v>0</v>
      </c>
      <c r="O169" t="n">
        <v>0</v>
      </c>
      <c r="P169" t="n">
        <v>0</v>
      </c>
      <c r="Q169" t="n">
        <v>0</v>
      </c>
      <c r="R169" s="2" t="inlineStr"/>
    </row>
    <row r="170" ht="15" customHeight="1">
      <c r="A170" t="inlineStr">
        <is>
          <t>A 7954-2022</t>
        </is>
      </c>
      <c r="B170" s="1" t="n">
        <v>44608</v>
      </c>
      <c r="C170" s="1" t="n">
        <v>46133</v>
      </c>
      <c r="D170" t="inlineStr">
        <is>
          <t>NORRBOTTENS LÄN</t>
        </is>
      </c>
      <c r="E170" t="inlineStr">
        <is>
          <t>PAJALA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25947-2024</t>
        </is>
      </c>
      <c r="B171" s="1" t="n">
        <v>45467</v>
      </c>
      <c r="C171" s="1" t="n">
        <v>46133</v>
      </c>
      <c r="D171" t="inlineStr">
        <is>
          <t>NORRBOTTENS LÄN</t>
        </is>
      </c>
      <c r="E171" t="inlineStr">
        <is>
          <t>PAJALA</t>
        </is>
      </c>
      <c r="G171" t="n">
        <v>3.4</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46133</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22042-2024</t>
        </is>
      </c>
      <c r="B173" s="1" t="n">
        <v>45443</v>
      </c>
      <c r="C173" s="1" t="n">
        <v>46133</v>
      </c>
      <c r="D173" t="inlineStr">
        <is>
          <t>NORRBOTTENS LÄN</t>
        </is>
      </c>
      <c r="E173" t="inlineStr">
        <is>
          <t>PAJALA</t>
        </is>
      </c>
      <c r="G173" t="n">
        <v>8.1</v>
      </c>
      <c r="H173" t="n">
        <v>0</v>
      </c>
      <c r="I173" t="n">
        <v>0</v>
      </c>
      <c r="J173" t="n">
        <v>0</v>
      </c>
      <c r="K173" t="n">
        <v>0</v>
      </c>
      <c r="L173" t="n">
        <v>0</v>
      </c>
      <c r="M173" t="n">
        <v>0</v>
      </c>
      <c r="N173" t="n">
        <v>0</v>
      </c>
      <c r="O173" t="n">
        <v>0</v>
      </c>
      <c r="P173" t="n">
        <v>0</v>
      </c>
      <c r="Q173" t="n">
        <v>0</v>
      </c>
      <c r="R173" s="2" t="inlineStr"/>
    </row>
    <row r="174" ht="15" customHeight="1">
      <c r="A174" t="inlineStr">
        <is>
          <t>A 22314-2025</t>
        </is>
      </c>
      <c r="B174" s="1" t="n">
        <v>45786.3859837963</v>
      </c>
      <c r="C174" s="1" t="n">
        <v>46133</v>
      </c>
      <c r="D174" t="inlineStr">
        <is>
          <t>NORRBOTTENS LÄN</t>
        </is>
      </c>
      <c r="E174" t="inlineStr">
        <is>
          <t>PAJALA</t>
        </is>
      </c>
      <c r="F174" t="inlineStr">
        <is>
          <t>SCA</t>
        </is>
      </c>
      <c r="G174" t="n">
        <v>21.3</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46133</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48372-2021</t>
        </is>
      </c>
      <c r="B176" s="1" t="n">
        <v>44451</v>
      </c>
      <c r="C176" s="1" t="n">
        <v>46133</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13652-2023</t>
        </is>
      </c>
      <c r="B177" s="1" t="n">
        <v>45006</v>
      </c>
      <c r="C177" s="1" t="n">
        <v>46133</v>
      </c>
      <c r="D177" t="inlineStr">
        <is>
          <t>NORRBOTTENS LÄN</t>
        </is>
      </c>
      <c r="E177" t="inlineStr">
        <is>
          <t>PAJALA</t>
        </is>
      </c>
      <c r="F177" t="inlineStr">
        <is>
          <t>Allmännings- och besparingsskogar</t>
        </is>
      </c>
      <c r="G177" t="n">
        <v>31.1</v>
      </c>
      <c r="H177" t="n">
        <v>0</v>
      </c>
      <c r="I177" t="n">
        <v>0</v>
      </c>
      <c r="J177" t="n">
        <v>0</v>
      </c>
      <c r="K177" t="n">
        <v>0</v>
      </c>
      <c r="L177" t="n">
        <v>0</v>
      </c>
      <c r="M177" t="n">
        <v>0</v>
      </c>
      <c r="N177" t="n">
        <v>0</v>
      </c>
      <c r="O177" t="n">
        <v>0</v>
      </c>
      <c r="P177" t="n">
        <v>0</v>
      </c>
      <c r="Q177" t="n">
        <v>0</v>
      </c>
      <c r="R177" s="2" t="inlineStr"/>
    </row>
    <row r="178" ht="15" customHeight="1">
      <c r="A178" t="inlineStr">
        <is>
          <t>A 14072-2024</t>
        </is>
      </c>
      <c r="B178" s="1" t="n">
        <v>45392.5745949074</v>
      </c>
      <c r="C178" s="1" t="n">
        <v>46133</v>
      </c>
      <c r="D178" t="inlineStr">
        <is>
          <t>NORRBOTTENS LÄN</t>
        </is>
      </c>
      <c r="E178" t="inlineStr">
        <is>
          <t>PAJALA</t>
        </is>
      </c>
      <c r="G178" t="n">
        <v>2.5</v>
      </c>
      <c r="H178" t="n">
        <v>0</v>
      </c>
      <c r="I178" t="n">
        <v>0</v>
      </c>
      <c r="J178" t="n">
        <v>0</v>
      </c>
      <c r="K178" t="n">
        <v>0</v>
      </c>
      <c r="L178" t="n">
        <v>0</v>
      </c>
      <c r="M178" t="n">
        <v>0</v>
      </c>
      <c r="N178" t="n">
        <v>0</v>
      </c>
      <c r="O178" t="n">
        <v>0</v>
      </c>
      <c r="P178" t="n">
        <v>0</v>
      </c>
      <c r="Q178" t="n">
        <v>0</v>
      </c>
      <c r="R178" s="2" t="inlineStr"/>
    </row>
    <row r="179" ht="15" customHeight="1">
      <c r="A179" t="inlineStr">
        <is>
          <t>A 36541-2022</t>
        </is>
      </c>
      <c r="B179" s="1" t="n">
        <v>44804</v>
      </c>
      <c r="C179" s="1" t="n">
        <v>46133</v>
      </c>
      <c r="D179" t="inlineStr">
        <is>
          <t>NORRBOTTENS LÄN</t>
        </is>
      </c>
      <c r="E179" t="inlineStr">
        <is>
          <t>PAJALA</t>
        </is>
      </c>
      <c r="G179" t="n">
        <v>3</v>
      </c>
      <c r="H179" t="n">
        <v>0</v>
      </c>
      <c r="I179" t="n">
        <v>0</v>
      </c>
      <c r="J179" t="n">
        <v>0</v>
      </c>
      <c r="K179" t="n">
        <v>0</v>
      </c>
      <c r="L179" t="n">
        <v>0</v>
      </c>
      <c r="M179" t="n">
        <v>0</v>
      </c>
      <c r="N179" t="n">
        <v>0</v>
      </c>
      <c r="O179" t="n">
        <v>0</v>
      </c>
      <c r="P179" t="n">
        <v>0</v>
      </c>
      <c r="Q179" t="n">
        <v>0</v>
      </c>
      <c r="R179" s="2" t="inlineStr"/>
    </row>
    <row r="180" ht="15" customHeight="1">
      <c r="A180" t="inlineStr">
        <is>
          <t>A 13197-2023</t>
        </is>
      </c>
      <c r="B180" s="1" t="n">
        <v>45002</v>
      </c>
      <c r="C180" s="1" t="n">
        <v>46133</v>
      </c>
      <c r="D180" t="inlineStr">
        <is>
          <t>NORRBOTTENS LÄN</t>
        </is>
      </c>
      <c r="E180" t="inlineStr">
        <is>
          <t>PAJALA</t>
        </is>
      </c>
      <c r="F180" t="inlineStr">
        <is>
          <t>Allmännings- och besparingsskogar</t>
        </is>
      </c>
      <c r="G180" t="n">
        <v>26.1</v>
      </c>
      <c r="H180" t="n">
        <v>0</v>
      </c>
      <c r="I180" t="n">
        <v>0</v>
      </c>
      <c r="J180" t="n">
        <v>0</v>
      </c>
      <c r="K180" t="n">
        <v>0</v>
      </c>
      <c r="L180" t="n">
        <v>0</v>
      </c>
      <c r="M180" t="n">
        <v>0</v>
      </c>
      <c r="N180" t="n">
        <v>0</v>
      </c>
      <c r="O180" t="n">
        <v>0</v>
      </c>
      <c r="P180" t="n">
        <v>0</v>
      </c>
      <c r="Q180" t="n">
        <v>0</v>
      </c>
      <c r="R180" s="2" t="inlineStr"/>
    </row>
    <row r="181" ht="15" customHeight="1">
      <c r="A181" t="inlineStr">
        <is>
          <t>A 38666-2025</t>
        </is>
      </c>
      <c r="B181" s="1" t="n">
        <v>45884.61605324074</v>
      </c>
      <c r="C181" s="1" t="n">
        <v>46133</v>
      </c>
      <c r="D181" t="inlineStr">
        <is>
          <t>NORRBOTTENS LÄN</t>
        </is>
      </c>
      <c r="E181" t="inlineStr">
        <is>
          <t>PAJALA</t>
        </is>
      </c>
      <c r="F181" t="inlineStr">
        <is>
          <t>Sveaskog</t>
        </is>
      </c>
      <c r="G181" t="n">
        <v>11.5</v>
      </c>
      <c r="H181" t="n">
        <v>0</v>
      </c>
      <c r="I181" t="n">
        <v>0</v>
      </c>
      <c r="J181" t="n">
        <v>0</v>
      </c>
      <c r="K181" t="n">
        <v>0</v>
      </c>
      <c r="L181" t="n">
        <v>0</v>
      </c>
      <c r="M181" t="n">
        <v>0</v>
      </c>
      <c r="N181" t="n">
        <v>0</v>
      </c>
      <c r="O181" t="n">
        <v>0</v>
      </c>
      <c r="P181" t="n">
        <v>0</v>
      </c>
      <c r="Q181" t="n">
        <v>0</v>
      </c>
      <c r="R181" s="2" t="inlineStr"/>
    </row>
    <row r="182" ht="15" customHeight="1">
      <c r="A182" t="inlineStr">
        <is>
          <t>A 27448-2024</t>
        </is>
      </c>
      <c r="B182" s="1" t="n">
        <v>45474</v>
      </c>
      <c r="C182" s="1" t="n">
        <v>46133</v>
      </c>
      <c r="D182" t="inlineStr">
        <is>
          <t>NORRBOTTENS LÄN</t>
        </is>
      </c>
      <c r="E182" t="inlineStr">
        <is>
          <t>PAJALA</t>
        </is>
      </c>
      <c r="G182" t="n">
        <v>4.7</v>
      </c>
      <c r="H182" t="n">
        <v>0</v>
      </c>
      <c r="I182" t="n">
        <v>0</v>
      </c>
      <c r="J182" t="n">
        <v>0</v>
      </c>
      <c r="K182" t="n">
        <v>0</v>
      </c>
      <c r="L182" t="n">
        <v>0</v>
      </c>
      <c r="M182" t="n">
        <v>0</v>
      </c>
      <c r="N182" t="n">
        <v>0</v>
      </c>
      <c r="O182" t="n">
        <v>0</v>
      </c>
      <c r="P182" t="n">
        <v>0</v>
      </c>
      <c r="Q182" t="n">
        <v>0</v>
      </c>
      <c r="R182" s="2" t="inlineStr"/>
    </row>
    <row r="183" ht="15" customHeight="1">
      <c r="A183" t="inlineStr">
        <is>
          <t>A 61729-2025</t>
        </is>
      </c>
      <c r="B183" s="1" t="n">
        <v>46002.58997685185</v>
      </c>
      <c r="C183" s="1" t="n">
        <v>46133</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60399-2024</t>
        </is>
      </c>
      <c r="B184" s="1" t="n">
        <v>45643</v>
      </c>
      <c r="C184" s="1" t="n">
        <v>46133</v>
      </c>
      <c r="D184" t="inlineStr">
        <is>
          <t>NORRBOTTENS LÄN</t>
        </is>
      </c>
      <c r="E184" t="inlineStr">
        <is>
          <t>PAJALA</t>
        </is>
      </c>
      <c r="G184" t="n">
        <v>0.3</v>
      </c>
      <c r="H184" t="n">
        <v>0</v>
      </c>
      <c r="I184" t="n">
        <v>0</v>
      </c>
      <c r="J184" t="n">
        <v>0</v>
      </c>
      <c r="K184" t="n">
        <v>0</v>
      </c>
      <c r="L184" t="n">
        <v>0</v>
      </c>
      <c r="M184" t="n">
        <v>0</v>
      </c>
      <c r="N184" t="n">
        <v>0</v>
      </c>
      <c r="O184" t="n">
        <v>0</v>
      </c>
      <c r="P184" t="n">
        <v>0</v>
      </c>
      <c r="Q184" t="n">
        <v>0</v>
      </c>
      <c r="R184" s="2" t="inlineStr"/>
    </row>
    <row r="185" ht="15" customHeight="1">
      <c r="A185" t="inlineStr">
        <is>
          <t>A 52446-2023</t>
        </is>
      </c>
      <c r="B185" s="1" t="n">
        <v>45217</v>
      </c>
      <c r="C185" s="1" t="n">
        <v>46133</v>
      </c>
      <c r="D185" t="inlineStr">
        <is>
          <t>NORRBOTTENS LÄN</t>
        </is>
      </c>
      <c r="E185" t="inlineStr">
        <is>
          <t>PAJALA</t>
        </is>
      </c>
      <c r="F185" t="inlineStr">
        <is>
          <t>Kommuner</t>
        </is>
      </c>
      <c r="G185" t="n">
        <v>0.5</v>
      </c>
      <c r="H185" t="n">
        <v>0</v>
      </c>
      <c r="I185" t="n">
        <v>0</v>
      </c>
      <c r="J185" t="n">
        <v>0</v>
      </c>
      <c r="K185" t="n">
        <v>0</v>
      </c>
      <c r="L185" t="n">
        <v>0</v>
      </c>
      <c r="M185" t="n">
        <v>0</v>
      </c>
      <c r="N185" t="n">
        <v>0</v>
      </c>
      <c r="O185" t="n">
        <v>0</v>
      </c>
      <c r="P185" t="n">
        <v>0</v>
      </c>
      <c r="Q185" t="n">
        <v>0</v>
      </c>
      <c r="R185" s="2" t="inlineStr"/>
    </row>
    <row r="186" ht="15" customHeight="1">
      <c r="A186" t="inlineStr">
        <is>
          <t>A 61666-2025</t>
        </is>
      </c>
      <c r="B186" s="1" t="n">
        <v>46002.46980324074</v>
      </c>
      <c r="C186" s="1" t="n">
        <v>46133</v>
      </c>
      <c r="D186" t="inlineStr">
        <is>
          <t>NORRBOTTENS LÄN</t>
        </is>
      </c>
      <c r="E186" t="inlineStr">
        <is>
          <t>PAJALA</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61667-2025</t>
        </is>
      </c>
      <c r="B187" s="1" t="n">
        <v>46002.46984953704</v>
      </c>
      <c r="C187" s="1" t="n">
        <v>46133</v>
      </c>
      <c r="D187" t="inlineStr">
        <is>
          <t>NORRBOTTENS LÄN</t>
        </is>
      </c>
      <c r="E187" t="inlineStr">
        <is>
          <t>PAJALA</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23109-2025</t>
        </is>
      </c>
      <c r="B188" s="1" t="n">
        <v>45791.36502314815</v>
      </c>
      <c r="C188" s="1" t="n">
        <v>46133</v>
      </c>
      <c r="D188" t="inlineStr">
        <is>
          <t>NORRBOTTENS LÄN</t>
        </is>
      </c>
      <c r="E188" t="inlineStr">
        <is>
          <t>PAJALA</t>
        </is>
      </c>
      <c r="F188" t="inlineStr">
        <is>
          <t>SCA</t>
        </is>
      </c>
      <c r="G188" t="n">
        <v>3</v>
      </c>
      <c r="H188" t="n">
        <v>0</v>
      </c>
      <c r="I188" t="n">
        <v>0</v>
      </c>
      <c r="J188" t="n">
        <v>0</v>
      </c>
      <c r="K188" t="n">
        <v>0</v>
      </c>
      <c r="L188" t="n">
        <v>0</v>
      </c>
      <c r="M188" t="n">
        <v>0</v>
      </c>
      <c r="N188" t="n">
        <v>0</v>
      </c>
      <c r="O188" t="n">
        <v>0</v>
      </c>
      <c r="P188" t="n">
        <v>0</v>
      </c>
      <c r="Q188" t="n">
        <v>0</v>
      </c>
      <c r="R188" s="2" t="inlineStr"/>
    </row>
    <row r="189" ht="15" customHeight="1">
      <c r="A189" t="inlineStr">
        <is>
          <t>A 23108-2025</t>
        </is>
      </c>
      <c r="B189" s="1" t="n">
        <v>45791.36490740741</v>
      </c>
      <c r="C189" s="1" t="n">
        <v>46133</v>
      </c>
      <c r="D189" t="inlineStr">
        <is>
          <t>NORRBOTTENS LÄN</t>
        </is>
      </c>
      <c r="E189" t="inlineStr">
        <is>
          <t>PAJALA</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46830-2024</t>
        </is>
      </c>
      <c r="B190" s="1" t="n">
        <v>45583.5820949074</v>
      </c>
      <c r="C190" s="1" t="n">
        <v>46133</v>
      </c>
      <c r="D190" t="inlineStr">
        <is>
          <t>NORRBOTTENS LÄN</t>
        </is>
      </c>
      <c r="E190" t="inlineStr">
        <is>
          <t>PAJALA</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61664-2025</t>
        </is>
      </c>
      <c r="B191" s="1" t="n">
        <v>46002.46958333333</v>
      </c>
      <c r="C191" s="1" t="n">
        <v>46133</v>
      </c>
      <c r="D191" t="inlineStr">
        <is>
          <t>NORRBOTTENS LÄN</t>
        </is>
      </c>
      <c r="E191" t="inlineStr">
        <is>
          <t>PAJALA</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38638-2025</t>
        </is>
      </c>
      <c r="B192" s="1" t="n">
        <v>45884.56866898148</v>
      </c>
      <c r="C192" s="1" t="n">
        <v>46133</v>
      </c>
      <c r="D192" t="inlineStr">
        <is>
          <t>NORRBOTTENS LÄN</t>
        </is>
      </c>
      <c r="E192" t="inlineStr">
        <is>
          <t>PAJALA</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23558-2025</t>
        </is>
      </c>
      <c r="B193" s="1" t="n">
        <v>45792.58125</v>
      </c>
      <c r="C193" s="1" t="n">
        <v>46133</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61720-2025</t>
        </is>
      </c>
      <c r="B194" s="1" t="n">
        <v>46002.57755787037</v>
      </c>
      <c r="C194" s="1" t="n">
        <v>46133</v>
      </c>
      <c r="D194" t="inlineStr">
        <is>
          <t>NORRBOTTENS LÄN</t>
        </is>
      </c>
      <c r="E194" t="inlineStr">
        <is>
          <t>PAJALA</t>
        </is>
      </c>
      <c r="G194" t="n">
        <v>4.5</v>
      </c>
      <c r="H194" t="n">
        <v>0</v>
      </c>
      <c r="I194" t="n">
        <v>0</v>
      </c>
      <c r="J194" t="n">
        <v>0</v>
      </c>
      <c r="K194" t="n">
        <v>0</v>
      </c>
      <c r="L194" t="n">
        <v>0</v>
      </c>
      <c r="M194" t="n">
        <v>0</v>
      </c>
      <c r="N194" t="n">
        <v>0</v>
      </c>
      <c r="O194" t="n">
        <v>0</v>
      </c>
      <c r="P194" t="n">
        <v>0</v>
      </c>
      <c r="Q194" t="n">
        <v>0</v>
      </c>
      <c r="R194" s="2" t="inlineStr"/>
    </row>
    <row r="195" ht="15" customHeight="1">
      <c r="A195" t="inlineStr">
        <is>
          <t>A 61665-2025</t>
        </is>
      </c>
      <c r="B195" s="1" t="n">
        <v>46002.46962962963</v>
      </c>
      <c r="C195" s="1" t="n">
        <v>46133</v>
      </c>
      <c r="D195" t="inlineStr">
        <is>
          <t>NORRBOTTENS LÄN</t>
        </is>
      </c>
      <c r="E195" t="inlineStr">
        <is>
          <t>PAJALA</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62230-2025</t>
        </is>
      </c>
      <c r="B196" s="1" t="n">
        <v>46006.58962962963</v>
      </c>
      <c r="C196" s="1" t="n">
        <v>46133</v>
      </c>
      <c r="D196" t="inlineStr">
        <is>
          <t>NORRBOTTENS LÄN</t>
        </is>
      </c>
      <c r="E196" t="inlineStr">
        <is>
          <t>PAJALA</t>
        </is>
      </c>
      <c r="G196" t="n">
        <v>1</v>
      </c>
      <c r="H196" t="n">
        <v>0</v>
      </c>
      <c r="I196" t="n">
        <v>0</v>
      </c>
      <c r="J196" t="n">
        <v>0</v>
      </c>
      <c r="K196" t="n">
        <v>0</v>
      </c>
      <c r="L196" t="n">
        <v>0</v>
      </c>
      <c r="M196" t="n">
        <v>0</v>
      </c>
      <c r="N196" t="n">
        <v>0</v>
      </c>
      <c r="O196" t="n">
        <v>0</v>
      </c>
      <c r="P196" t="n">
        <v>0</v>
      </c>
      <c r="Q196" t="n">
        <v>0</v>
      </c>
      <c r="R196" s="2" t="inlineStr"/>
    </row>
    <row r="197" ht="15" customHeight="1">
      <c r="A197" t="inlineStr">
        <is>
          <t>A 62222-2025</t>
        </is>
      </c>
      <c r="B197" s="1" t="n">
        <v>46006.58384259259</v>
      </c>
      <c r="C197" s="1" t="n">
        <v>46133</v>
      </c>
      <c r="D197" t="inlineStr">
        <is>
          <t>NORRBOTTENS LÄN</t>
        </is>
      </c>
      <c r="E197" t="inlineStr">
        <is>
          <t>PAJALA</t>
        </is>
      </c>
      <c r="G197" t="n">
        <v>10</v>
      </c>
      <c r="H197" t="n">
        <v>0</v>
      </c>
      <c r="I197" t="n">
        <v>0</v>
      </c>
      <c r="J197" t="n">
        <v>0</v>
      </c>
      <c r="K197" t="n">
        <v>0</v>
      </c>
      <c r="L197" t="n">
        <v>0</v>
      </c>
      <c r="M197" t="n">
        <v>0</v>
      </c>
      <c r="N197" t="n">
        <v>0</v>
      </c>
      <c r="O197" t="n">
        <v>0</v>
      </c>
      <c r="P197" t="n">
        <v>0</v>
      </c>
      <c r="Q197" t="n">
        <v>0</v>
      </c>
      <c r="R197" s="2" t="inlineStr"/>
    </row>
    <row r="198" ht="15" customHeight="1">
      <c r="A198" t="inlineStr">
        <is>
          <t>A 5706-2023</t>
        </is>
      </c>
      <c r="B198" s="1" t="n">
        <v>44960.9424537037</v>
      </c>
      <c r="C198" s="1" t="n">
        <v>46133</v>
      </c>
      <c r="D198" t="inlineStr">
        <is>
          <t>NORRBOTTENS LÄN</t>
        </is>
      </c>
      <c r="E198" t="inlineStr">
        <is>
          <t>PAJALA</t>
        </is>
      </c>
      <c r="F198" t="inlineStr">
        <is>
          <t>SCA</t>
        </is>
      </c>
      <c r="G198" t="n">
        <v>4.9</v>
      </c>
      <c r="H198" t="n">
        <v>0</v>
      </c>
      <c r="I198" t="n">
        <v>0</v>
      </c>
      <c r="J198" t="n">
        <v>0</v>
      </c>
      <c r="K198" t="n">
        <v>0</v>
      </c>
      <c r="L198" t="n">
        <v>0</v>
      </c>
      <c r="M198" t="n">
        <v>0</v>
      </c>
      <c r="N198" t="n">
        <v>0</v>
      </c>
      <c r="O198" t="n">
        <v>0</v>
      </c>
      <c r="P198" t="n">
        <v>0</v>
      </c>
      <c r="Q198" t="n">
        <v>0</v>
      </c>
      <c r="R198" s="2" t="inlineStr"/>
    </row>
    <row r="199" ht="15" customHeight="1">
      <c r="A199" t="inlineStr">
        <is>
          <t>A 5707-2023</t>
        </is>
      </c>
      <c r="B199" s="1" t="n">
        <v>44960</v>
      </c>
      <c r="C199" s="1" t="n">
        <v>46133</v>
      </c>
      <c r="D199" t="inlineStr">
        <is>
          <t>NORRBOTTENS LÄN</t>
        </is>
      </c>
      <c r="E199" t="inlineStr">
        <is>
          <t>PAJALA</t>
        </is>
      </c>
      <c r="F199" t="inlineStr">
        <is>
          <t>SCA</t>
        </is>
      </c>
      <c r="G199" t="n">
        <v>12.7</v>
      </c>
      <c r="H199" t="n">
        <v>0</v>
      </c>
      <c r="I199" t="n">
        <v>0</v>
      </c>
      <c r="J199" t="n">
        <v>0</v>
      </c>
      <c r="K199" t="n">
        <v>0</v>
      </c>
      <c r="L199" t="n">
        <v>0</v>
      </c>
      <c r="M199" t="n">
        <v>0</v>
      </c>
      <c r="N199" t="n">
        <v>0</v>
      </c>
      <c r="O199" t="n">
        <v>0</v>
      </c>
      <c r="P199" t="n">
        <v>0</v>
      </c>
      <c r="Q199" t="n">
        <v>0</v>
      </c>
      <c r="R199" s="2" t="inlineStr"/>
    </row>
    <row r="200" ht="15" customHeight="1">
      <c r="A200" t="inlineStr">
        <is>
          <t>A 46820-2024</t>
        </is>
      </c>
      <c r="B200" s="1" t="n">
        <v>45583.57577546296</v>
      </c>
      <c r="C200" s="1" t="n">
        <v>46133</v>
      </c>
      <c r="D200" t="inlineStr">
        <is>
          <t>NORRBOTTENS LÄN</t>
        </is>
      </c>
      <c r="E200" t="inlineStr">
        <is>
          <t>PAJALA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62241-2025</t>
        </is>
      </c>
      <c r="B201" s="1" t="n">
        <v>46006.59833333334</v>
      </c>
      <c r="C201" s="1" t="n">
        <v>46133</v>
      </c>
      <c r="D201" t="inlineStr">
        <is>
          <t>NORRBOTTENS LÄN</t>
        </is>
      </c>
      <c r="E201" t="inlineStr">
        <is>
          <t>PAJALA</t>
        </is>
      </c>
      <c r="G201" t="n">
        <v>10.2</v>
      </c>
      <c r="H201" t="n">
        <v>0</v>
      </c>
      <c r="I201" t="n">
        <v>0</v>
      </c>
      <c r="J201" t="n">
        <v>0</v>
      </c>
      <c r="K201" t="n">
        <v>0</v>
      </c>
      <c r="L201" t="n">
        <v>0</v>
      </c>
      <c r="M201" t="n">
        <v>0</v>
      </c>
      <c r="N201" t="n">
        <v>0</v>
      </c>
      <c r="O201" t="n">
        <v>0</v>
      </c>
      <c r="P201" t="n">
        <v>0</v>
      </c>
      <c r="Q201" t="n">
        <v>0</v>
      </c>
      <c r="R201" s="2" t="inlineStr"/>
    </row>
    <row r="202" ht="15" customHeight="1">
      <c r="A202" t="inlineStr">
        <is>
          <t>A 24155-2025</t>
        </is>
      </c>
      <c r="B202" s="1" t="n">
        <v>45796.65706018519</v>
      </c>
      <c r="C202" s="1" t="n">
        <v>46133</v>
      </c>
      <c r="D202" t="inlineStr">
        <is>
          <t>NORRBOTTENS LÄN</t>
        </is>
      </c>
      <c r="E202" t="inlineStr">
        <is>
          <t>PAJALA</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24223-2025</t>
        </is>
      </c>
      <c r="B203" s="1" t="n">
        <v>45797.36726851852</v>
      </c>
      <c r="C203" s="1" t="n">
        <v>46133</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23895-2025</t>
        </is>
      </c>
      <c r="B204" s="1" t="n">
        <v>45794</v>
      </c>
      <c r="C204" s="1" t="n">
        <v>46133</v>
      </c>
      <c r="D204" t="inlineStr">
        <is>
          <t>NORRBOTTENS LÄN</t>
        </is>
      </c>
      <c r="E204" t="inlineStr">
        <is>
          <t>PAJALA</t>
        </is>
      </c>
      <c r="G204" t="n">
        <v>4.6</v>
      </c>
      <c r="H204" t="n">
        <v>0</v>
      </c>
      <c r="I204" t="n">
        <v>0</v>
      </c>
      <c r="J204" t="n">
        <v>0</v>
      </c>
      <c r="K204" t="n">
        <v>0</v>
      </c>
      <c r="L204" t="n">
        <v>0</v>
      </c>
      <c r="M204" t="n">
        <v>0</v>
      </c>
      <c r="N204" t="n">
        <v>0</v>
      </c>
      <c r="O204" t="n">
        <v>0</v>
      </c>
      <c r="P204" t="n">
        <v>0</v>
      </c>
      <c r="Q204" t="n">
        <v>0</v>
      </c>
      <c r="R204" s="2" t="inlineStr"/>
    </row>
    <row r="205" ht="15" customHeight="1">
      <c r="A205" t="inlineStr">
        <is>
          <t>A 24132-2025</t>
        </is>
      </c>
      <c r="B205" s="1" t="n">
        <v>45796.63579861111</v>
      </c>
      <c r="C205" s="1" t="n">
        <v>46133</v>
      </c>
      <c r="D205" t="inlineStr">
        <is>
          <t>NORRBOTTENS LÄN</t>
        </is>
      </c>
      <c r="E205" t="inlineStr">
        <is>
          <t>PAJALA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24271-2025</t>
        </is>
      </c>
      <c r="B206" s="1" t="n">
        <v>45797.43649305555</v>
      </c>
      <c r="C206" s="1" t="n">
        <v>46133</v>
      </c>
      <c r="D206" t="inlineStr">
        <is>
          <t>NORRBOTTENS LÄN</t>
        </is>
      </c>
      <c r="E206" t="inlineStr">
        <is>
          <t>PAJALA</t>
        </is>
      </c>
      <c r="G206" t="n">
        <v>4.5</v>
      </c>
      <c r="H206" t="n">
        <v>0</v>
      </c>
      <c r="I206" t="n">
        <v>0</v>
      </c>
      <c r="J206" t="n">
        <v>0</v>
      </c>
      <c r="K206" t="n">
        <v>0</v>
      </c>
      <c r="L206" t="n">
        <v>0</v>
      </c>
      <c r="M206" t="n">
        <v>0</v>
      </c>
      <c r="N206" t="n">
        <v>0</v>
      </c>
      <c r="O206" t="n">
        <v>0</v>
      </c>
      <c r="P206" t="n">
        <v>0</v>
      </c>
      <c r="Q206" t="n">
        <v>0</v>
      </c>
      <c r="R206" s="2" t="inlineStr"/>
    </row>
    <row r="207" ht="15" customHeight="1">
      <c r="A207" t="inlineStr">
        <is>
          <t>A 24394-2025</t>
        </is>
      </c>
      <c r="B207" s="1" t="n">
        <v>45797.63663194444</v>
      </c>
      <c r="C207" s="1" t="n">
        <v>46133</v>
      </c>
      <c r="D207" t="inlineStr">
        <is>
          <t>NORRBOTTENS LÄN</t>
        </is>
      </c>
      <c r="E207" t="inlineStr">
        <is>
          <t>PAJALA</t>
        </is>
      </c>
      <c r="F207" t="inlineStr">
        <is>
          <t>SCA</t>
        </is>
      </c>
      <c r="G207" t="n">
        <v>27.1</v>
      </c>
      <c r="H207" t="n">
        <v>0</v>
      </c>
      <c r="I207" t="n">
        <v>0</v>
      </c>
      <c r="J207" t="n">
        <v>0</v>
      </c>
      <c r="K207" t="n">
        <v>0</v>
      </c>
      <c r="L207" t="n">
        <v>0</v>
      </c>
      <c r="M207" t="n">
        <v>0</v>
      </c>
      <c r="N207" t="n">
        <v>0</v>
      </c>
      <c r="O207" t="n">
        <v>0</v>
      </c>
      <c r="P207" t="n">
        <v>0</v>
      </c>
      <c r="Q207" t="n">
        <v>0</v>
      </c>
      <c r="R207" s="2" t="inlineStr"/>
    </row>
    <row r="208" ht="15" customHeight="1">
      <c r="A208" t="inlineStr">
        <is>
          <t>A 62646-2025</t>
        </is>
      </c>
      <c r="B208" s="1" t="n">
        <v>46008.39273148148</v>
      </c>
      <c r="C208" s="1" t="n">
        <v>46133</v>
      </c>
      <c r="D208" t="inlineStr">
        <is>
          <t>NORRBOTTENS LÄN</t>
        </is>
      </c>
      <c r="E208" t="inlineStr">
        <is>
          <t>PAJALA</t>
        </is>
      </c>
      <c r="G208" t="n">
        <v>7.7</v>
      </c>
      <c r="H208" t="n">
        <v>0</v>
      </c>
      <c r="I208" t="n">
        <v>0</v>
      </c>
      <c r="J208" t="n">
        <v>0</v>
      </c>
      <c r="K208" t="n">
        <v>0</v>
      </c>
      <c r="L208" t="n">
        <v>0</v>
      </c>
      <c r="M208" t="n">
        <v>0</v>
      </c>
      <c r="N208" t="n">
        <v>0</v>
      </c>
      <c r="O208" t="n">
        <v>0</v>
      </c>
      <c r="P208" t="n">
        <v>0</v>
      </c>
      <c r="Q208" t="n">
        <v>0</v>
      </c>
      <c r="R208" s="2" t="inlineStr"/>
    </row>
    <row r="209" ht="15" customHeight="1">
      <c r="A209" t="inlineStr">
        <is>
          <t>A 62648-2025</t>
        </is>
      </c>
      <c r="B209" s="1" t="n">
        <v>46008.40052083333</v>
      </c>
      <c r="C209" s="1" t="n">
        <v>46133</v>
      </c>
      <c r="D209" t="inlineStr">
        <is>
          <t>NORRBOTTENS LÄN</t>
        </is>
      </c>
      <c r="E209" t="inlineStr">
        <is>
          <t>PAJALA</t>
        </is>
      </c>
      <c r="G209" t="n">
        <v>5.4</v>
      </c>
      <c r="H209" t="n">
        <v>0</v>
      </c>
      <c r="I209" t="n">
        <v>0</v>
      </c>
      <c r="J209" t="n">
        <v>0</v>
      </c>
      <c r="K209" t="n">
        <v>0</v>
      </c>
      <c r="L209" t="n">
        <v>0</v>
      </c>
      <c r="M209" t="n">
        <v>0</v>
      </c>
      <c r="N209" t="n">
        <v>0</v>
      </c>
      <c r="O209" t="n">
        <v>0</v>
      </c>
      <c r="P209" t="n">
        <v>0</v>
      </c>
      <c r="Q209" t="n">
        <v>0</v>
      </c>
      <c r="R209" s="2" t="inlineStr"/>
    </row>
    <row r="210" ht="15" customHeight="1">
      <c r="A210" t="inlineStr">
        <is>
          <t>A 19928-2023</t>
        </is>
      </c>
      <c r="B210" s="1" t="n">
        <v>45054</v>
      </c>
      <c r="C210" s="1" t="n">
        <v>46133</v>
      </c>
      <c r="D210" t="inlineStr">
        <is>
          <t>NORRBOTTENS LÄN</t>
        </is>
      </c>
      <c r="E210" t="inlineStr">
        <is>
          <t>PAJALA</t>
        </is>
      </c>
      <c r="G210" t="n">
        <v>3.1</v>
      </c>
      <c r="H210" t="n">
        <v>0</v>
      </c>
      <c r="I210" t="n">
        <v>0</v>
      </c>
      <c r="J210" t="n">
        <v>0</v>
      </c>
      <c r="K210" t="n">
        <v>0</v>
      </c>
      <c r="L210" t="n">
        <v>0</v>
      </c>
      <c r="M210" t="n">
        <v>0</v>
      </c>
      <c r="N210" t="n">
        <v>0</v>
      </c>
      <c r="O210" t="n">
        <v>0</v>
      </c>
      <c r="P210" t="n">
        <v>0</v>
      </c>
      <c r="Q210" t="n">
        <v>0</v>
      </c>
      <c r="R210" s="2" t="inlineStr"/>
    </row>
    <row r="211" ht="15" customHeight="1">
      <c r="A211" t="inlineStr">
        <is>
          <t>A 66914-2021</t>
        </is>
      </c>
      <c r="B211" s="1" t="n">
        <v>44522</v>
      </c>
      <c r="C211" s="1" t="n">
        <v>46133</v>
      </c>
      <c r="D211" t="inlineStr">
        <is>
          <t>NORRBOTTENS LÄN</t>
        </is>
      </c>
      <c r="E211" t="inlineStr">
        <is>
          <t>PAJALA</t>
        </is>
      </c>
      <c r="G211" t="n">
        <v>12</v>
      </c>
      <c r="H211" t="n">
        <v>0</v>
      </c>
      <c r="I211" t="n">
        <v>0</v>
      </c>
      <c r="J211" t="n">
        <v>0</v>
      </c>
      <c r="K211" t="n">
        <v>0</v>
      </c>
      <c r="L211" t="n">
        <v>0</v>
      </c>
      <c r="M211" t="n">
        <v>0</v>
      </c>
      <c r="N211" t="n">
        <v>0</v>
      </c>
      <c r="O211" t="n">
        <v>0</v>
      </c>
      <c r="P211" t="n">
        <v>0</v>
      </c>
      <c r="Q211" t="n">
        <v>0</v>
      </c>
      <c r="R211" s="2" t="inlineStr"/>
    </row>
    <row r="212" ht="15" customHeight="1">
      <c r="A212" t="inlineStr">
        <is>
          <t>A 48368-2021</t>
        </is>
      </c>
      <c r="B212" s="1" t="n">
        <v>44451</v>
      </c>
      <c r="C212" s="1" t="n">
        <v>46133</v>
      </c>
      <c r="D212" t="inlineStr">
        <is>
          <t>NORRBOTTENS LÄN</t>
        </is>
      </c>
      <c r="E212" t="inlineStr">
        <is>
          <t>PAJALA</t>
        </is>
      </c>
      <c r="G212" t="n">
        <v>4.2</v>
      </c>
      <c r="H212" t="n">
        <v>0</v>
      </c>
      <c r="I212" t="n">
        <v>0</v>
      </c>
      <c r="J212" t="n">
        <v>0</v>
      </c>
      <c r="K212" t="n">
        <v>0</v>
      </c>
      <c r="L212" t="n">
        <v>0</v>
      </c>
      <c r="M212" t="n">
        <v>0</v>
      </c>
      <c r="N212" t="n">
        <v>0</v>
      </c>
      <c r="O212" t="n">
        <v>0</v>
      </c>
      <c r="P212" t="n">
        <v>0</v>
      </c>
      <c r="Q212" t="n">
        <v>0</v>
      </c>
      <c r="R212" s="2" t="inlineStr"/>
    </row>
    <row r="213" ht="15" customHeight="1">
      <c r="A213" t="inlineStr">
        <is>
          <t>A 48369-2021</t>
        </is>
      </c>
      <c r="B213" s="1" t="n">
        <v>44451</v>
      </c>
      <c r="C213" s="1" t="n">
        <v>46133</v>
      </c>
      <c r="D213" t="inlineStr">
        <is>
          <t>NORRBOTTENS LÄN</t>
        </is>
      </c>
      <c r="E213" t="inlineStr">
        <is>
          <t>PAJALA</t>
        </is>
      </c>
      <c r="G213" t="n">
        <v>5.3</v>
      </c>
      <c r="H213" t="n">
        <v>0</v>
      </c>
      <c r="I213" t="n">
        <v>0</v>
      </c>
      <c r="J213" t="n">
        <v>0</v>
      </c>
      <c r="K213" t="n">
        <v>0</v>
      </c>
      <c r="L213" t="n">
        <v>0</v>
      </c>
      <c r="M213" t="n">
        <v>0</v>
      </c>
      <c r="N213" t="n">
        <v>0</v>
      </c>
      <c r="O213" t="n">
        <v>0</v>
      </c>
      <c r="P213" t="n">
        <v>0</v>
      </c>
      <c r="Q213" t="n">
        <v>0</v>
      </c>
      <c r="R213" s="2" t="inlineStr"/>
    </row>
    <row r="214" ht="15" customHeight="1">
      <c r="A214" t="inlineStr">
        <is>
          <t>A 22054-2024</t>
        </is>
      </c>
      <c r="B214" s="1" t="n">
        <v>45443</v>
      </c>
      <c r="C214" s="1" t="n">
        <v>46133</v>
      </c>
      <c r="D214" t="inlineStr">
        <is>
          <t>NORRBOTTENS LÄN</t>
        </is>
      </c>
      <c r="E214" t="inlineStr">
        <is>
          <t>PAJALA</t>
        </is>
      </c>
      <c r="G214" t="n">
        <v>6.8</v>
      </c>
      <c r="H214" t="n">
        <v>0</v>
      </c>
      <c r="I214" t="n">
        <v>0</v>
      </c>
      <c r="J214" t="n">
        <v>0</v>
      </c>
      <c r="K214" t="n">
        <v>0</v>
      </c>
      <c r="L214" t="n">
        <v>0</v>
      </c>
      <c r="M214" t="n">
        <v>0</v>
      </c>
      <c r="N214" t="n">
        <v>0</v>
      </c>
      <c r="O214" t="n">
        <v>0</v>
      </c>
      <c r="P214" t="n">
        <v>0</v>
      </c>
      <c r="Q214" t="n">
        <v>0</v>
      </c>
      <c r="R214" s="2" t="inlineStr"/>
    </row>
    <row r="215" ht="15" customHeight="1">
      <c r="A215" t="inlineStr">
        <is>
          <t>A 28434-2024</t>
        </is>
      </c>
      <c r="B215" s="1" t="n">
        <v>45477.65798611111</v>
      </c>
      <c r="C215" s="1" t="n">
        <v>46133</v>
      </c>
      <c r="D215" t="inlineStr">
        <is>
          <t>NORRBOTTENS LÄN</t>
        </is>
      </c>
      <c r="E215" t="inlineStr">
        <is>
          <t>PAJALA</t>
        </is>
      </c>
      <c r="G215" t="n">
        <v>0.9</v>
      </c>
      <c r="H215" t="n">
        <v>0</v>
      </c>
      <c r="I215" t="n">
        <v>0</v>
      </c>
      <c r="J215" t="n">
        <v>0</v>
      </c>
      <c r="K215" t="n">
        <v>0</v>
      </c>
      <c r="L215" t="n">
        <v>0</v>
      </c>
      <c r="M215" t="n">
        <v>0</v>
      </c>
      <c r="N215" t="n">
        <v>0</v>
      </c>
      <c r="O215" t="n">
        <v>0</v>
      </c>
      <c r="P215" t="n">
        <v>0</v>
      </c>
      <c r="Q215" t="n">
        <v>0</v>
      </c>
      <c r="R215" s="2" t="inlineStr"/>
    </row>
    <row r="216" ht="15" customHeight="1">
      <c r="A216" t="inlineStr">
        <is>
          <t>A 24963-2024</t>
        </is>
      </c>
      <c r="B216" s="1" t="n">
        <v>45461</v>
      </c>
      <c r="C216" s="1" t="n">
        <v>46133</v>
      </c>
      <c r="D216" t="inlineStr">
        <is>
          <t>NORRBOTTENS LÄN</t>
        </is>
      </c>
      <c r="E216" t="inlineStr">
        <is>
          <t>PAJALA</t>
        </is>
      </c>
      <c r="F216" t="inlineStr">
        <is>
          <t>Sveaskog</t>
        </is>
      </c>
      <c r="G216" t="n">
        <v>12.7</v>
      </c>
      <c r="H216" t="n">
        <v>0</v>
      </c>
      <c r="I216" t="n">
        <v>0</v>
      </c>
      <c r="J216" t="n">
        <v>0</v>
      </c>
      <c r="K216" t="n">
        <v>0</v>
      </c>
      <c r="L216" t="n">
        <v>0</v>
      </c>
      <c r="M216" t="n">
        <v>0</v>
      </c>
      <c r="N216" t="n">
        <v>0</v>
      </c>
      <c r="O216" t="n">
        <v>0</v>
      </c>
      <c r="P216" t="n">
        <v>0</v>
      </c>
      <c r="Q216" t="n">
        <v>0</v>
      </c>
      <c r="R216" s="2" t="inlineStr"/>
    </row>
    <row r="217" ht="15" customHeight="1">
      <c r="A217" t="inlineStr">
        <is>
          <t>A 39923-2025</t>
        </is>
      </c>
      <c r="B217" s="1" t="n">
        <v>45891.6709375</v>
      </c>
      <c r="C217" s="1" t="n">
        <v>46133</v>
      </c>
      <c r="D217" t="inlineStr">
        <is>
          <t>NORRBOTTENS LÄN</t>
        </is>
      </c>
      <c r="E217" t="inlineStr">
        <is>
          <t>PAJALA</t>
        </is>
      </c>
      <c r="F217" t="inlineStr">
        <is>
          <t>Sveaskog</t>
        </is>
      </c>
      <c r="G217" t="n">
        <v>32.1</v>
      </c>
      <c r="H217" t="n">
        <v>0</v>
      </c>
      <c r="I217" t="n">
        <v>0</v>
      </c>
      <c r="J217" t="n">
        <v>0</v>
      </c>
      <c r="K217" t="n">
        <v>0</v>
      </c>
      <c r="L217" t="n">
        <v>0</v>
      </c>
      <c r="M217" t="n">
        <v>0</v>
      </c>
      <c r="N217" t="n">
        <v>0</v>
      </c>
      <c r="O217" t="n">
        <v>0</v>
      </c>
      <c r="P217" t="n">
        <v>0</v>
      </c>
      <c r="Q217" t="n">
        <v>0</v>
      </c>
      <c r="R217" s="2" t="inlineStr"/>
    </row>
    <row r="218" ht="15" customHeight="1">
      <c r="A218" t="inlineStr">
        <is>
          <t>A 24449-2025</t>
        </is>
      </c>
      <c r="B218" s="1" t="n">
        <v>45798</v>
      </c>
      <c r="C218" s="1" t="n">
        <v>46133</v>
      </c>
      <c r="D218" t="inlineStr">
        <is>
          <t>NORRBOTTENS LÄN</t>
        </is>
      </c>
      <c r="E218" t="inlineStr">
        <is>
          <t>PAJALA</t>
        </is>
      </c>
      <c r="G218" t="n">
        <v>18.3</v>
      </c>
      <c r="H218" t="n">
        <v>0</v>
      </c>
      <c r="I218" t="n">
        <v>0</v>
      </c>
      <c r="J218" t="n">
        <v>0</v>
      </c>
      <c r="K218" t="n">
        <v>0</v>
      </c>
      <c r="L218" t="n">
        <v>0</v>
      </c>
      <c r="M218" t="n">
        <v>0</v>
      </c>
      <c r="N218" t="n">
        <v>0</v>
      </c>
      <c r="O218" t="n">
        <v>0</v>
      </c>
      <c r="P218" t="n">
        <v>0</v>
      </c>
      <c r="Q218" t="n">
        <v>0</v>
      </c>
      <c r="R218" s="2" t="inlineStr"/>
    </row>
    <row r="219" ht="15" customHeight="1">
      <c r="A219" t="inlineStr">
        <is>
          <t>A 37321-2024</t>
        </is>
      </c>
      <c r="B219" s="1" t="n">
        <v>45540.49607638889</v>
      </c>
      <c r="C219" s="1" t="n">
        <v>46133</v>
      </c>
      <c r="D219" t="inlineStr">
        <is>
          <t>NORRBOTTENS LÄN</t>
        </is>
      </c>
      <c r="E219" t="inlineStr">
        <is>
          <t>PAJALA</t>
        </is>
      </c>
      <c r="G219" t="n">
        <v>6</v>
      </c>
      <c r="H219" t="n">
        <v>0</v>
      </c>
      <c r="I219" t="n">
        <v>0</v>
      </c>
      <c r="J219" t="n">
        <v>0</v>
      </c>
      <c r="K219" t="n">
        <v>0</v>
      </c>
      <c r="L219" t="n">
        <v>0</v>
      </c>
      <c r="M219" t="n">
        <v>0</v>
      </c>
      <c r="N219" t="n">
        <v>0</v>
      </c>
      <c r="O219" t="n">
        <v>0</v>
      </c>
      <c r="P219" t="n">
        <v>0</v>
      </c>
      <c r="Q219" t="n">
        <v>0</v>
      </c>
      <c r="R219" s="2" t="inlineStr"/>
    </row>
    <row r="220" ht="15" customHeight="1">
      <c r="A220" t="inlineStr">
        <is>
          <t>A 43449-2024</t>
        </is>
      </c>
      <c r="B220" s="1" t="n">
        <v>45568</v>
      </c>
      <c r="C220" s="1" t="n">
        <v>46133</v>
      </c>
      <c r="D220" t="inlineStr">
        <is>
          <t>NORRBOTTENS LÄN</t>
        </is>
      </c>
      <c r="E220" t="inlineStr">
        <is>
          <t>PAJALA</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13167-2024</t>
        </is>
      </c>
      <c r="B221" s="1" t="n">
        <v>45386</v>
      </c>
      <c r="C221" s="1" t="n">
        <v>46133</v>
      </c>
      <c r="D221" t="inlineStr">
        <is>
          <t>NORRBOTTENS LÄN</t>
        </is>
      </c>
      <c r="E221" t="inlineStr">
        <is>
          <t>PAJALA</t>
        </is>
      </c>
      <c r="F221" t="inlineStr">
        <is>
          <t>Allmännings- och besparingsskogar</t>
        </is>
      </c>
      <c r="G221" t="n">
        <v>30.1</v>
      </c>
      <c r="H221" t="n">
        <v>0</v>
      </c>
      <c r="I221" t="n">
        <v>0</v>
      </c>
      <c r="J221" t="n">
        <v>0</v>
      </c>
      <c r="K221" t="n">
        <v>0</v>
      </c>
      <c r="L221" t="n">
        <v>0</v>
      </c>
      <c r="M221" t="n">
        <v>0</v>
      </c>
      <c r="N221" t="n">
        <v>0</v>
      </c>
      <c r="O221" t="n">
        <v>0</v>
      </c>
      <c r="P221" t="n">
        <v>0</v>
      </c>
      <c r="Q221" t="n">
        <v>0</v>
      </c>
      <c r="R221" s="2" t="inlineStr"/>
    </row>
    <row r="222" ht="15" customHeight="1">
      <c r="A222" t="inlineStr">
        <is>
          <t>A 40218-2025</t>
        </is>
      </c>
      <c r="B222" s="1" t="n">
        <v>45894.68872685185</v>
      </c>
      <c r="C222" s="1" t="n">
        <v>46133</v>
      </c>
      <c r="D222" t="inlineStr">
        <is>
          <t>NORRBOTTENS LÄN</t>
        </is>
      </c>
      <c r="E222" t="inlineStr">
        <is>
          <t>PAJALA</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24745-2025</t>
        </is>
      </c>
      <c r="B223" s="1" t="n">
        <v>45799.34627314815</v>
      </c>
      <c r="C223" s="1" t="n">
        <v>46133</v>
      </c>
      <c r="D223" t="inlineStr">
        <is>
          <t>NORRBOTTENS LÄN</t>
        </is>
      </c>
      <c r="E223" t="inlineStr">
        <is>
          <t>PAJALA</t>
        </is>
      </c>
      <c r="F223" t="inlineStr">
        <is>
          <t>SCA</t>
        </is>
      </c>
      <c r="G223" t="n">
        <v>11.5</v>
      </c>
      <c r="H223" t="n">
        <v>0</v>
      </c>
      <c r="I223" t="n">
        <v>0</v>
      </c>
      <c r="J223" t="n">
        <v>0</v>
      </c>
      <c r="K223" t="n">
        <v>0</v>
      </c>
      <c r="L223" t="n">
        <v>0</v>
      </c>
      <c r="M223" t="n">
        <v>0</v>
      </c>
      <c r="N223" t="n">
        <v>0</v>
      </c>
      <c r="O223" t="n">
        <v>0</v>
      </c>
      <c r="P223" t="n">
        <v>0</v>
      </c>
      <c r="Q223" t="n">
        <v>0</v>
      </c>
      <c r="R223" s="2" t="inlineStr"/>
    </row>
    <row r="224" ht="15" customHeight="1">
      <c r="A224" t="inlineStr">
        <is>
          <t>A 40378-2025</t>
        </is>
      </c>
      <c r="B224" s="1" t="n">
        <v>45895.53284722222</v>
      </c>
      <c r="C224" s="1" t="n">
        <v>46133</v>
      </c>
      <c r="D224" t="inlineStr">
        <is>
          <t>NORRBOTTENS LÄN</t>
        </is>
      </c>
      <c r="E224" t="inlineStr">
        <is>
          <t>PAJALA</t>
        </is>
      </c>
      <c r="G224" t="n">
        <v>6.6</v>
      </c>
      <c r="H224" t="n">
        <v>0</v>
      </c>
      <c r="I224" t="n">
        <v>0</v>
      </c>
      <c r="J224" t="n">
        <v>0</v>
      </c>
      <c r="K224" t="n">
        <v>0</v>
      </c>
      <c r="L224" t="n">
        <v>0</v>
      </c>
      <c r="M224" t="n">
        <v>0</v>
      </c>
      <c r="N224" t="n">
        <v>0</v>
      </c>
      <c r="O224" t="n">
        <v>0</v>
      </c>
      <c r="P224" t="n">
        <v>0</v>
      </c>
      <c r="Q224" t="n">
        <v>0</v>
      </c>
      <c r="R224" s="2" t="inlineStr"/>
    </row>
    <row r="225" ht="15" customHeight="1">
      <c r="A225" t="inlineStr">
        <is>
          <t>A 898-2025</t>
        </is>
      </c>
      <c r="B225" s="1" t="n">
        <v>45665</v>
      </c>
      <c r="C225" s="1" t="n">
        <v>46133</v>
      </c>
      <c r="D225" t="inlineStr">
        <is>
          <t>NORRBOTTENS LÄN</t>
        </is>
      </c>
      <c r="E225" t="inlineStr">
        <is>
          <t>PAJALA</t>
        </is>
      </c>
      <c r="G225" t="n">
        <v>2.1</v>
      </c>
      <c r="H225" t="n">
        <v>0</v>
      </c>
      <c r="I225" t="n">
        <v>0</v>
      </c>
      <c r="J225" t="n">
        <v>0</v>
      </c>
      <c r="K225" t="n">
        <v>0</v>
      </c>
      <c r="L225" t="n">
        <v>0</v>
      </c>
      <c r="M225" t="n">
        <v>0</v>
      </c>
      <c r="N225" t="n">
        <v>0</v>
      </c>
      <c r="O225" t="n">
        <v>0</v>
      </c>
      <c r="P225" t="n">
        <v>0</v>
      </c>
      <c r="Q225" t="n">
        <v>0</v>
      </c>
      <c r="R225" s="2" t="inlineStr"/>
    </row>
    <row r="226" ht="15" customHeight="1">
      <c r="A226" t="inlineStr">
        <is>
          <t>A 39188-2024</t>
        </is>
      </c>
      <c r="B226" s="1" t="n">
        <v>45548</v>
      </c>
      <c r="C226" s="1" t="n">
        <v>46133</v>
      </c>
      <c r="D226" t="inlineStr">
        <is>
          <t>NORRBOTTENS LÄN</t>
        </is>
      </c>
      <c r="E226" t="inlineStr">
        <is>
          <t>PAJALA</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25738-2025</t>
        </is>
      </c>
      <c r="B227" s="1" t="n">
        <v>45803</v>
      </c>
      <c r="C227" s="1" t="n">
        <v>46133</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23102-2024</t>
        </is>
      </c>
      <c r="B228" s="1" t="n">
        <v>45450.5350925926</v>
      </c>
      <c r="C228" s="1" t="n">
        <v>46133</v>
      </c>
      <c r="D228" t="inlineStr">
        <is>
          <t>NORRBOTTENS LÄN</t>
        </is>
      </c>
      <c r="E228" t="inlineStr">
        <is>
          <t>PAJALA</t>
        </is>
      </c>
      <c r="F228" t="inlineStr">
        <is>
          <t>Sveaskog</t>
        </is>
      </c>
      <c r="G228" t="n">
        <v>8.1</v>
      </c>
      <c r="H228" t="n">
        <v>0</v>
      </c>
      <c r="I228" t="n">
        <v>0</v>
      </c>
      <c r="J228" t="n">
        <v>0</v>
      </c>
      <c r="K228" t="n">
        <v>0</v>
      </c>
      <c r="L228" t="n">
        <v>0</v>
      </c>
      <c r="M228" t="n">
        <v>0</v>
      </c>
      <c r="N228" t="n">
        <v>0</v>
      </c>
      <c r="O228" t="n">
        <v>0</v>
      </c>
      <c r="P228" t="n">
        <v>0</v>
      </c>
      <c r="Q228" t="n">
        <v>0</v>
      </c>
      <c r="R228" s="2" t="inlineStr"/>
    </row>
    <row r="229" ht="15" customHeight="1">
      <c r="A229" t="inlineStr">
        <is>
          <t>A 40231-2025</t>
        </is>
      </c>
      <c r="B229" s="1" t="n">
        <v>45894</v>
      </c>
      <c r="C229" s="1" t="n">
        <v>46133</v>
      </c>
      <c r="D229" t="inlineStr">
        <is>
          <t>NORRBOTTENS LÄN</t>
        </is>
      </c>
      <c r="E229" t="inlineStr">
        <is>
          <t>PAJALA</t>
        </is>
      </c>
      <c r="F229" t="inlineStr">
        <is>
          <t>Allmännings- och besparingsskogar</t>
        </is>
      </c>
      <c r="G229" t="n">
        <v>35</v>
      </c>
      <c r="H229" t="n">
        <v>0</v>
      </c>
      <c r="I229" t="n">
        <v>0</v>
      </c>
      <c r="J229" t="n">
        <v>0</v>
      </c>
      <c r="K229" t="n">
        <v>0</v>
      </c>
      <c r="L229" t="n">
        <v>0</v>
      </c>
      <c r="M229" t="n">
        <v>0</v>
      </c>
      <c r="N229" t="n">
        <v>0</v>
      </c>
      <c r="O229" t="n">
        <v>0</v>
      </c>
      <c r="P229" t="n">
        <v>0</v>
      </c>
      <c r="Q229" t="n">
        <v>0</v>
      </c>
      <c r="R229" s="2" t="inlineStr"/>
    </row>
    <row r="230" ht="15" customHeight="1">
      <c r="A230" t="inlineStr">
        <is>
          <t>A 44216-2024</t>
        </is>
      </c>
      <c r="B230" s="1" t="n">
        <v>45573.37666666666</v>
      </c>
      <c r="C230" s="1" t="n">
        <v>46133</v>
      </c>
      <c r="D230" t="inlineStr">
        <is>
          <t>NORRBOTTENS LÄN</t>
        </is>
      </c>
      <c r="E230" t="inlineStr">
        <is>
          <t>PAJALA</t>
        </is>
      </c>
      <c r="G230" t="n">
        <v>0.6</v>
      </c>
      <c r="H230" t="n">
        <v>0</v>
      </c>
      <c r="I230" t="n">
        <v>0</v>
      </c>
      <c r="J230" t="n">
        <v>0</v>
      </c>
      <c r="K230" t="n">
        <v>0</v>
      </c>
      <c r="L230" t="n">
        <v>0</v>
      </c>
      <c r="M230" t="n">
        <v>0</v>
      </c>
      <c r="N230" t="n">
        <v>0</v>
      </c>
      <c r="O230" t="n">
        <v>0</v>
      </c>
      <c r="P230" t="n">
        <v>0</v>
      </c>
      <c r="Q230" t="n">
        <v>0</v>
      </c>
      <c r="R230" s="2" t="inlineStr"/>
    </row>
    <row r="231" ht="15" customHeight="1">
      <c r="A231" t="inlineStr">
        <is>
          <t>A 25445-2025</t>
        </is>
      </c>
      <c r="B231" s="1" t="n">
        <v>45801</v>
      </c>
      <c r="C231" s="1" t="n">
        <v>46133</v>
      </c>
      <c r="D231" t="inlineStr">
        <is>
          <t>NORRBOTTENS LÄN</t>
        </is>
      </c>
      <c r="E231" t="inlineStr">
        <is>
          <t>PAJALA</t>
        </is>
      </c>
      <c r="G231" t="n">
        <v>3.8</v>
      </c>
      <c r="H231" t="n">
        <v>0</v>
      </c>
      <c r="I231" t="n">
        <v>0</v>
      </c>
      <c r="J231" t="n">
        <v>0</v>
      </c>
      <c r="K231" t="n">
        <v>0</v>
      </c>
      <c r="L231" t="n">
        <v>0</v>
      </c>
      <c r="M231" t="n">
        <v>0</v>
      </c>
      <c r="N231" t="n">
        <v>0</v>
      </c>
      <c r="O231" t="n">
        <v>0</v>
      </c>
      <c r="P231" t="n">
        <v>0</v>
      </c>
      <c r="Q231" t="n">
        <v>0</v>
      </c>
      <c r="R231" s="2" t="inlineStr"/>
    </row>
    <row r="232" ht="15" customHeight="1">
      <c r="A232" t="inlineStr">
        <is>
          <t>A 27776-2024</t>
        </is>
      </c>
      <c r="B232" s="1" t="n">
        <v>45475</v>
      </c>
      <c r="C232" s="1" t="n">
        <v>46133</v>
      </c>
      <c r="D232" t="inlineStr">
        <is>
          <t>NORRBOTTENS LÄN</t>
        </is>
      </c>
      <c r="E232" t="inlineStr">
        <is>
          <t>PAJALA</t>
        </is>
      </c>
      <c r="G232" t="n">
        <v>20.5</v>
      </c>
      <c r="H232" t="n">
        <v>0</v>
      </c>
      <c r="I232" t="n">
        <v>0</v>
      </c>
      <c r="J232" t="n">
        <v>0</v>
      </c>
      <c r="K232" t="n">
        <v>0</v>
      </c>
      <c r="L232" t="n">
        <v>0</v>
      </c>
      <c r="M232" t="n">
        <v>0</v>
      </c>
      <c r="N232" t="n">
        <v>0</v>
      </c>
      <c r="O232" t="n">
        <v>0</v>
      </c>
      <c r="P232" t="n">
        <v>0</v>
      </c>
      <c r="Q232" t="n">
        <v>0</v>
      </c>
      <c r="R232" s="2" t="inlineStr"/>
    </row>
    <row r="233" ht="15" customHeight="1">
      <c r="A233" t="inlineStr">
        <is>
          <t>A 36989-2021</t>
        </is>
      </c>
      <c r="B233" s="1" t="n">
        <v>44393.61309027778</v>
      </c>
      <c r="C233" s="1" t="n">
        <v>46133</v>
      </c>
      <c r="D233" t="inlineStr">
        <is>
          <t>NORRBOTTENS LÄN</t>
        </is>
      </c>
      <c r="E233" t="inlineStr">
        <is>
          <t>PAJALA</t>
        </is>
      </c>
      <c r="F233" t="inlineStr">
        <is>
          <t>Sveaskog</t>
        </is>
      </c>
      <c r="G233" t="n">
        <v>36.5</v>
      </c>
      <c r="H233" t="n">
        <v>0</v>
      </c>
      <c r="I233" t="n">
        <v>0</v>
      </c>
      <c r="J233" t="n">
        <v>0</v>
      </c>
      <c r="K233" t="n">
        <v>0</v>
      </c>
      <c r="L233" t="n">
        <v>0</v>
      </c>
      <c r="M233" t="n">
        <v>0</v>
      </c>
      <c r="N233" t="n">
        <v>0</v>
      </c>
      <c r="O233" t="n">
        <v>0</v>
      </c>
      <c r="P233" t="n">
        <v>0</v>
      </c>
      <c r="Q233" t="n">
        <v>0</v>
      </c>
      <c r="R233" s="2" t="inlineStr"/>
    </row>
    <row r="234" ht="15" customHeight="1">
      <c r="A234" t="inlineStr">
        <is>
          <t>A 40698-2025</t>
        </is>
      </c>
      <c r="B234" s="1" t="n">
        <v>45897.31237268518</v>
      </c>
      <c r="C234" s="1" t="n">
        <v>46133</v>
      </c>
      <c r="D234" t="inlineStr">
        <is>
          <t>NORRBOTTENS LÄN</t>
        </is>
      </c>
      <c r="E234" t="inlineStr">
        <is>
          <t>PAJALA</t>
        </is>
      </c>
      <c r="G234" t="n">
        <v>2.4</v>
      </c>
      <c r="H234" t="n">
        <v>0</v>
      </c>
      <c r="I234" t="n">
        <v>0</v>
      </c>
      <c r="J234" t="n">
        <v>0</v>
      </c>
      <c r="K234" t="n">
        <v>0</v>
      </c>
      <c r="L234" t="n">
        <v>0</v>
      </c>
      <c r="M234" t="n">
        <v>0</v>
      </c>
      <c r="N234" t="n">
        <v>0</v>
      </c>
      <c r="O234" t="n">
        <v>0</v>
      </c>
      <c r="P234" t="n">
        <v>0</v>
      </c>
      <c r="Q234" t="n">
        <v>0</v>
      </c>
      <c r="R234" s="2" t="inlineStr"/>
    </row>
    <row r="235" ht="15" customHeight="1">
      <c r="A235" t="inlineStr">
        <is>
          <t>A 29939-2022</t>
        </is>
      </c>
      <c r="B235" s="1" t="n">
        <v>44756</v>
      </c>
      <c r="C235" s="1" t="n">
        <v>46133</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50361-2022</t>
        </is>
      </c>
      <c r="B236" s="1" t="n">
        <v>44860</v>
      </c>
      <c r="C236" s="1" t="n">
        <v>46133</v>
      </c>
      <c r="D236" t="inlineStr">
        <is>
          <t>NORRBOTTENS LÄN</t>
        </is>
      </c>
      <c r="E236" t="inlineStr">
        <is>
          <t>PAJALA</t>
        </is>
      </c>
      <c r="G236" t="n">
        <v>33.4</v>
      </c>
      <c r="H236" t="n">
        <v>0</v>
      </c>
      <c r="I236" t="n">
        <v>0</v>
      </c>
      <c r="J236" t="n">
        <v>0</v>
      </c>
      <c r="K236" t="n">
        <v>0</v>
      </c>
      <c r="L236" t="n">
        <v>0</v>
      </c>
      <c r="M236" t="n">
        <v>0</v>
      </c>
      <c r="N236" t="n">
        <v>0</v>
      </c>
      <c r="O236" t="n">
        <v>0</v>
      </c>
      <c r="P236" t="n">
        <v>0</v>
      </c>
      <c r="Q236" t="n">
        <v>0</v>
      </c>
      <c r="R236" s="2" t="inlineStr"/>
    </row>
    <row r="237" ht="15" customHeight="1">
      <c r="A237" t="inlineStr">
        <is>
          <t>A 52354-2022</t>
        </is>
      </c>
      <c r="B237" s="1" t="n">
        <v>44874</v>
      </c>
      <c r="C237" s="1" t="n">
        <v>46133</v>
      </c>
      <c r="D237" t="inlineStr">
        <is>
          <t>NORRBOTTENS LÄN</t>
        </is>
      </c>
      <c r="E237" t="inlineStr">
        <is>
          <t>PAJALA</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42857-2024</t>
        </is>
      </c>
      <c r="B238" s="1" t="n">
        <v>45566</v>
      </c>
      <c r="C238" s="1" t="n">
        <v>46133</v>
      </c>
      <c r="D238" t="inlineStr">
        <is>
          <t>NORRBOTTENS LÄN</t>
        </is>
      </c>
      <c r="E238" t="inlineStr">
        <is>
          <t>PAJALA</t>
        </is>
      </c>
      <c r="G238" t="n">
        <v>40.1</v>
      </c>
      <c r="H238" t="n">
        <v>0</v>
      </c>
      <c r="I238" t="n">
        <v>0</v>
      </c>
      <c r="J238" t="n">
        <v>0</v>
      </c>
      <c r="K238" t="n">
        <v>0</v>
      </c>
      <c r="L238" t="n">
        <v>0</v>
      </c>
      <c r="M238" t="n">
        <v>0</v>
      </c>
      <c r="N238" t="n">
        <v>0</v>
      </c>
      <c r="O238" t="n">
        <v>0</v>
      </c>
      <c r="P238" t="n">
        <v>0</v>
      </c>
      <c r="Q238" t="n">
        <v>0</v>
      </c>
      <c r="R238" s="2" t="inlineStr"/>
    </row>
    <row r="239" ht="15" customHeight="1">
      <c r="A239" t="inlineStr">
        <is>
          <t>A 26224-2025</t>
        </is>
      </c>
      <c r="B239" s="1" t="n">
        <v>45805</v>
      </c>
      <c r="C239" s="1" t="n">
        <v>46133</v>
      </c>
      <c r="D239" t="inlineStr">
        <is>
          <t>NORRBOTTENS LÄN</t>
        </is>
      </c>
      <c r="E239" t="inlineStr">
        <is>
          <t>PAJALA</t>
        </is>
      </c>
      <c r="F239" t="inlineStr">
        <is>
          <t>Sveaskog</t>
        </is>
      </c>
      <c r="G239" t="n">
        <v>7</v>
      </c>
      <c r="H239" t="n">
        <v>0</v>
      </c>
      <c r="I239" t="n">
        <v>0</v>
      </c>
      <c r="J239" t="n">
        <v>0</v>
      </c>
      <c r="K239" t="n">
        <v>0</v>
      </c>
      <c r="L239" t="n">
        <v>0</v>
      </c>
      <c r="M239" t="n">
        <v>0</v>
      </c>
      <c r="N239" t="n">
        <v>0</v>
      </c>
      <c r="O239" t="n">
        <v>0</v>
      </c>
      <c r="P239" t="n">
        <v>0</v>
      </c>
      <c r="Q239" t="n">
        <v>0</v>
      </c>
      <c r="R239" s="2" t="inlineStr"/>
    </row>
    <row r="240" ht="15" customHeight="1">
      <c r="A240" t="inlineStr">
        <is>
          <t>A 56445-2022</t>
        </is>
      </c>
      <c r="B240" s="1" t="n">
        <v>44892</v>
      </c>
      <c r="C240" s="1" t="n">
        <v>46133</v>
      </c>
      <c r="D240" t="inlineStr">
        <is>
          <t>NORRBOTTENS LÄN</t>
        </is>
      </c>
      <c r="E240" t="inlineStr">
        <is>
          <t>PAJALA</t>
        </is>
      </c>
      <c r="G240" t="n">
        <v>15.6</v>
      </c>
      <c r="H240" t="n">
        <v>0</v>
      </c>
      <c r="I240" t="n">
        <v>0</v>
      </c>
      <c r="J240" t="n">
        <v>0</v>
      </c>
      <c r="K240" t="n">
        <v>0</v>
      </c>
      <c r="L240" t="n">
        <v>0</v>
      </c>
      <c r="M240" t="n">
        <v>0</v>
      </c>
      <c r="N240" t="n">
        <v>0</v>
      </c>
      <c r="O240" t="n">
        <v>0</v>
      </c>
      <c r="P240" t="n">
        <v>0</v>
      </c>
      <c r="Q240" t="n">
        <v>0</v>
      </c>
      <c r="R240" s="2" t="inlineStr"/>
    </row>
    <row r="241" ht="15" customHeight="1">
      <c r="A241" t="inlineStr">
        <is>
          <t>A 50823-2024</t>
        </is>
      </c>
      <c r="B241" s="1" t="n">
        <v>45602.57842592592</v>
      </c>
      <c r="C241" s="1" t="n">
        <v>46133</v>
      </c>
      <c r="D241" t="inlineStr">
        <is>
          <t>NORRBOTTENS LÄN</t>
        </is>
      </c>
      <c r="E241" t="inlineStr">
        <is>
          <t>PAJALA</t>
        </is>
      </c>
      <c r="F241" t="inlineStr">
        <is>
          <t>Sveaskog</t>
        </is>
      </c>
      <c r="G241" t="n">
        <v>10.2</v>
      </c>
      <c r="H241" t="n">
        <v>0</v>
      </c>
      <c r="I241" t="n">
        <v>0</v>
      </c>
      <c r="J241" t="n">
        <v>0</v>
      </c>
      <c r="K241" t="n">
        <v>0</v>
      </c>
      <c r="L241" t="n">
        <v>0</v>
      </c>
      <c r="M241" t="n">
        <v>0</v>
      </c>
      <c r="N241" t="n">
        <v>0</v>
      </c>
      <c r="O241" t="n">
        <v>0</v>
      </c>
      <c r="P241" t="n">
        <v>0</v>
      </c>
      <c r="Q241" t="n">
        <v>0</v>
      </c>
      <c r="R241" s="2" t="inlineStr"/>
    </row>
    <row r="242" ht="15" customHeight="1">
      <c r="A242" t="inlineStr">
        <is>
          <t>A 65931-2021</t>
        </is>
      </c>
      <c r="B242" s="1" t="n">
        <v>44517</v>
      </c>
      <c r="C242" s="1" t="n">
        <v>46133</v>
      </c>
      <c r="D242" t="inlineStr">
        <is>
          <t>NORRBOTTENS LÄN</t>
        </is>
      </c>
      <c r="E242" t="inlineStr">
        <is>
          <t>PAJALA</t>
        </is>
      </c>
      <c r="G242" t="n">
        <v>5</v>
      </c>
      <c r="H242" t="n">
        <v>0</v>
      </c>
      <c r="I242" t="n">
        <v>0</v>
      </c>
      <c r="J242" t="n">
        <v>0</v>
      </c>
      <c r="K242" t="n">
        <v>0</v>
      </c>
      <c r="L242" t="n">
        <v>0</v>
      </c>
      <c r="M242" t="n">
        <v>0</v>
      </c>
      <c r="N242" t="n">
        <v>0</v>
      </c>
      <c r="O242" t="n">
        <v>0</v>
      </c>
      <c r="P242" t="n">
        <v>0</v>
      </c>
      <c r="Q242" t="n">
        <v>0</v>
      </c>
      <c r="R242" s="2" t="inlineStr"/>
    </row>
    <row r="243" ht="15" customHeight="1">
      <c r="A243" t="inlineStr">
        <is>
          <t>A 39901-2021</t>
        </is>
      </c>
      <c r="B243" s="1" t="n">
        <v>44417</v>
      </c>
      <c r="C243" s="1" t="n">
        <v>46133</v>
      </c>
      <c r="D243" t="inlineStr">
        <is>
          <t>NORRBOTTENS LÄN</t>
        </is>
      </c>
      <c r="E243" t="inlineStr">
        <is>
          <t>PAJALA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26514-2025</t>
        </is>
      </c>
      <c r="B244" s="1" t="n">
        <v>45807.55243055556</v>
      </c>
      <c r="C244" s="1" t="n">
        <v>46133</v>
      </c>
      <c r="D244" t="inlineStr">
        <is>
          <t>NORRBOTTENS LÄN</t>
        </is>
      </c>
      <c r="E244" t="inlineStr">
        <is>
          <t>PAJALA</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41339-2025</t>
        </is>
      </c>
      <c r="B245" s="1" t="n">
        <v>45899.37665509259</v>
      </c>
      <c r="C245" s="1" t="n">
        <v>46133</v>
      </c>
      <c r="D245" t="inlineStr">
        <is>
          <t>NORRBOTTENS LÄN</t>
        </is>
      </c>
      <c r="E245" t="inlineStr">
        <is>
          <t>PAJALA</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41221-2025</t>
        </is>
      </c>
      <c r="B246" s="1" t="n">
        <v>45898.58672453704</v>
      </c>
      <c r="C246" s="1" t="n">
        <v>46133</v>
      </c>
      <c r="D246" t="inlineStr">
        <is>
          <t>NORRBOTTENS LÄN</t>
        </is>
      </c>
      <c r="E246" t="inlineStr">
        <is>
          <t>PAJALA</t>
        </is>
      </c>
      <c r="F246" t="inlineStr">
        <is>
          <t>Sveaskog</t>
        </is>
      </c>
      <c r="G246" t="n">
        <v>25.8</v>
      </c>
      <c r="H246" t="n">
        <v>0</v>
      </c>
      <c r="I246" t="n">
        <v>0</v>
      </c>
      <c r="J246" t="n">
        <v>0</v>
      </c>
      <c r="K246" t="n">
        <v>0</v>
      </c>
      <c r="L246" t="n">
        <v>0</v>
      </c>
      <c r="M246" t="n">
        <v>0</v>
      </c>
      <c r="N246" t="n">
        <v>0</v>
      </c>
      <c r="O246" t="n">
        <v>0</v>
      </c>
      <c r="P246" t="n">
        <v>0</v>
      </c>
      <c r="Q246" t="n">
        <v>0</v>
      </c>
      <c r="R246" s="2" t="inlineStr"/>
    </row>
    <row r="247" ht="15" customHeight="1">
      <c r="A247" t="inlineStr">
        <is>
          <t>A 41227-2025</t>
        </is>
      </c>
      <c r="B247" s="1" t="n">
        <v>45898.58983796297</v>
      </c>
      <c r="C247" s="1" t="n">
        <v>46133</v>
      </c>
      <c r="D247" t="inlineStr">
        <is>
          <t>NORRBOTTENS LÄN</t>
        </is>
      </c>
      <c r="E247" t="inlineStr">
        <is>
          <t>PAJALA</t>
        </is>
      </c>
      <c r="F247" t="inlineStr">
        <is>
          <t>Sveaskog</t>
        </is>
      </c>
      <c r="G247" t="n">
        <v>26.4</v>
      </c>
      <c r="H247" t="n">
        <v>0</v>
      </c>
      <c r="I247" t="n">
        <v>0</v>
      </c>
      <c r="J247" t="n">
        <v>0</v>
      </c>
      <c r="K247" t="n">
        <v>0</v>
      </c>
      <c r="L247" t="n">
        <v>0</v>
      </c>
      <c r="M247" t="n">
        <v>0</v>
      </c>
      <c r="N247" t="n">
        <v>0</v>
      </c>
      <c r="O247" t="n">
        <v>0</v>
      </c>
      <c r="P247" t="n">
        <v>0</v>
      </c>
      <c r="Q247" t="n">
        <v>0</v>
      </c>
      <c r="R247" s="2" t="inlineStr"/>
    </row>
    <row r="248" ht="15" customHeight="1">
      <c r="A248" t="inlineStr">
        <is>
          <t>A 41292-2025</t>
        </is>
      </c>
      <c r="B248" s="1" t="n">
        <v>45898.64637731481</v>
      </c>
      <c r="C248" s="1" t="n">
        <v>46133</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41294-2025</t>
        </is>
      </c>
      <c r="B249" s="1" t="n">
        <v>45898.6515625</v>
      </c>
      <c r="C249" s="1" t="n">
        <v>46133</v>
      </c>
      <c r="D249" t="inlineStr">
        <is>
          <t>NORRBOTTENS LÄN</t>
        </is>
      </c>
      <c r="E249" t="inlineStr">
        <is>
          <t>PAJALA</t>
        </is>
      </c>
      <c r="G249" t="n">
        <v>3.5</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45898.39429398148</v>
      </c>
      <c r="C250" s="1" t="n">
        <v>46133</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26886-2025</t>
        </is>
      </c>
      <c r="B251" s="1" t="n">
        <v>45810.94515046296</v>
      </c>
      <c r="C251" s="1" t="n">
        <v>46133</v>
      </c>
      <c r="D251" t="inlineStr">
        <is>
          <t>NORRBOTTENS LÄN</t>
        </is>
      </c>
      <c r="E251" t="inlineStr">
        <is>
          <t>PAJALA</t>
        </is>
      </c>
      <c r="F251" t="inlineStr">
        <is>
          <t>Sveaskog</t>
        </is>
      </c>
      <c r="G251" t="n">
        <v>23.7</v>
      </c>
      <c r="H251" t="n">
        <v>0</v>
      </c>
      <c r="I251" t="n">
        <v>0</v>
      </c>
      <c r="J251" t="n">
        <v>0</v>
      </c>
      <c r="K251" t="n">
        <v>0</v>
      </c>
      <c r="L251" t="n">
        <v>0</v>
      </c>
      <c r="M251" t="n">
        <v>0</v>
      </c>
      <c r="N251" t="n">
        <v>0</v>
      </c>
      <c r="O251" t="n">
        <v>0</v>
      </c>
      <c r="P251" t="n">
        <v>0</v>
      </c>
      <c r="Q251" t="n">
        <v>0</v>
      </c>
      <c r="R251" s="2" t="inlineStr"/>
    </row>
    <row r="252" ht="15" customHeight="1">
      <c r="A252" t="inlineStr">
        <is>
          <t>A 37581-2024</t>
        </is>
      </c>
      <c r="B252" s="1" t="n">
        <v>45541.45581018519</v>
      </c>
      <c r="C252" s="1" t="n">
        <v>46133</v>
      </c>
      <c r="D252" t="inlineStr">
        <is>
          <t>NORRBOTTENS LÄN</t>
        </is>
      </c>
      <c r="E252" t="inlineStr">
        <is>
          <t>PAJALA</t>
        </is>
      </c>
      <c r="F252" t="inlineStr">
        <is>
          <t>Sveaskog</t>
        </is>
      </c>
      <c r="G252" t="n">
        <v>40.3</v>
      </c>
      <c r="H252" t="n">
        <v>0</v>
      </c>
      <c r="I252" t="n">
        <v>0</v>
      </c>
      <c r="J252" t="n">
        <v>0</v>
      </c>
      <c r="K252" t="n">
        <v>0</v>
      </c>
      <c r="L252" t="n">
        <v>0</v>
      </c>
      <c r="M252" t="n">
        <v>0</v>
      </c>
      <c r="N252" t="n">
        <v>0</v>
      </c>
      <c r="O252" t="n">
        <v>0</v>
      </c>
      <c r="P252" t="n">
        <v>0</v>
      </c>
      <c r="Q252" t="n">
        <v>0</v>
      </c>
      <c r="R252" s="2" t="inlineStr"/>
    </row>
    <row r="253" ht="15" customHeight="1">
      <c r="A253" t="inlineStr">
        <is>
          <t>A 34074-2022</t>
        </is>
      </c>
      <c r="B253" s="1" t="n">
        <v>44791</v>
      </c>
      <c r="C253" s="1" t="n">
        <v>46133</v>
      </c>
      <c r="D253" t="inlineStr">
        <is>
          <t>NORRBOTTENS LÄN</t>
        </is>
      </c>
      <c r="E253" t="inlineStr">
        <is>
          <t>PAJALA</t>
        </is>
      </c>
      <c r="G253" t="n">
        <v>0.7</v>
      </c>
      <c r="H253" t="n">
        <v>0</v>
      </c>
      <c r="I253" t="n">
        <v>0</v>
      </c>
      <c r="J253" t="n">
        <v>0</v>
      </c>
      <c r="K253" t="n">
        <v>0</v>
      </c>
      <c r="L253" t="n">
        <v>0</v>
      </c>
      <c r="M253" t="n">
        <v>0</v>
      </c>
      <c r="N253" t="n">
        <v>0</v>
      </c>
      <c r="O253" t="n">
        <v>0</v>
      </c>
      <c r="P253" t="n">
        <v>0</v>
      </c>
      <c r="Q253" t="n">
        <v>0</v>
      </c>
      <c r="R253" s="2" t="inlineStr"/>
    </row>
    <row r="254" ht="15" customHeight="1">
      <c r="A254" t="inlineStr">
        <is>
          <t>A 44121-2024</t>
        </is>
      </c>
      <c r="B254" s="1" t="n">
        <v>45572.63907407408</v>
      </c>
      <c r="C254" s="1" t="n">
        <v>46133</v>
      </c>
      <c r="D254" t="inlineStr">
        <is>
          <t>NORRBOTTENS LÄN</t>
        </is>
      </c>
      <c r="E254" t="inlineStr">
        <is>
          <t>PAJALA</t>
        </is>
      </c>
      <c r="F254" t="inlineStr">
        <is>
          <t>Sveaskog</t>
        </is>
      </c>
      <c r="G254" t="n">
        <v>14.1</v>
      </c>
      <c r="H254" t="n">
        <v>0</v>
      </c>
      <c r="I254" t="n">
        <v>0</v>
      </c>
      <c r="J254" t="n">
        <v>0</v>
      </c>
      <c r="K254" t="n">
        <v>0</v>
      </c>
      <c r="L254" t="n">
        <v>0</v>
      </c>
      <c r="M254" t="n">
        <v>0</v>
      </c>
      <c r="N254" t="n">
        <v>0</v>
      </c>
      <c r="O254" t="n">
        <v>0</v>
      </c>
      <c r="P254" t="n">
        <v>0</v>
      </c>
      <c r="Q254" t="n">
        <v>0</v>
      </c>
      <c r="R254" s="2" t="inlineStr"/>
    </row>
    <row r="255" ht="15" customHeight="1">
      <c r="A255" t="inlineStr">
        <is>
          <t>A 4731-2024</t>
        </is>
      </c>
      <c r="B255" s="1" t="n">
        <v>45328</v>
      </c>
      <c r="C255" s="1" t="n">
        <v>46133</v>
      </c>
      <c r="D255" t="inlineStr">
        <is>
          <t>NORRBOTTENS LÄN</t>
        </is>
      </c>
      <c r="E255" t="inlineStr">
        <is>
          <t>PAJALA</t>
        </is>
      </c>
      <c r="F255" t="inlineStr">
        <is>
          <t>Sveaskog</t>
        </is>
      </c>
      <c r="G255" t="n">
        <v>15.6</v>
      </c>
      <c r="H255" t="n">
        <v>0</v>
      </c>
      <c r="I255" t="n">
        <v>0</v>
      </c>
      <c r="J255" t="n">
        <v>0</v>
      </c>
      <c r="K255" t="n">
        <v>0</v>
      </c>
      <c r="L255" t="n">
        <v>0</v>
      </c>
      <c r="M255" t="n">
        <v>0</v>
      </c>
      <c r="N255" t="n">
        <v>0</v>
      </c>
      <c r="O255" t="n">
        <v>0</v>
      </c>
      <c r="P255" t="n">
        <v>0</v>
      </c>
      <c r="Q255" t="n">
        <v>0</v>
      </c>
      <c r="R255" s="2" t="inlineStr"/>
    </row>
    <row r="256" ht="15" customHeight="1">
      <c r="A256" t="inlineStr">
        <is>
          <t>A 40412-2023</t>
        </is>
      </c>
      <c r="B256" s="1" t="n">
        <v>45169.93895833333</v>
      </c>
      <c r="C256" s="1" t="n">
        <v>46133</v>
      </c>
      <c r="D256" t="inlineStr">
        <is>
          <t>NORRBOTTENS LÄN</t>
        </is>
      </c>
      <c r="E256" t="inlineStr">
        <is>
          <t>PAJALA</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8806-2025</t>
        </is>
      </c>
      <c r="B257" s="1" t="n">
        <v>45712.66653935185</v>
      </c>
      <c r="C257" s="1" t="n">
        <v>46133</v>
      </c>
      <c r="D257" t="inlineStr">
        <is>
          <t>NORRBOTTENS LÄN</t>
        </is>
      </c>
      <c r="E257" t="inlineStr">
        <is>
          <t>PAJALA</t>
        </is>
      </c>
      <c r="G257" t="n">
        <v>5.8</v>
      </c>
      <c r="H257" t="n">
        <v>0</v>
      </c>
      <c r="I257" t="n">
        <v>0</v>
      </c>
      <c r="J257" t="n">
        <v>0</v>
      </c>
      <c r="K257" t="n">
        <v>0</v>
      </c>
      <c r="L257" t="n">
        <v>0</v>
      </c>
      <c r="M257" t="n">
        <v>0</v>
      </c>
      <c r="N257" t="n">
        <v>0</v>
      </c>
      <c r="O257" t="n">
        <v>0</v>
      </c>
      <c r="P257" t="n">
        <v>0</v>
      </c>
      <c r="Q257" t="n">
        <v>0</v>
      </c>
      <c r="R257" s="2" t="inlineStr"/>
    </row>
    <row r="258" ht="15" customHeight="1">
      <c r="A258" t="inlineStr">
        <is>
          <t>A 41781-2025</t>
        </is>
      </c>
      <c r="B258" s="1" t="n">
        <v>45902</v>
      </c>
      <c r="C258" s="1" t="n">
        <v>46133</v>
      </c>
      <c r="D258" t="inlineStr">
        <is>
          <t>NORRBOTTENS LÄN</t>
        </is>
      </c>
      <c r="E258" t="inlineStr">
        <is>
          <t>PAJALA</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43445-2024</t>
        </is>
      </c>
      <c r="B259" s="1" t="n">
        <v>45568</v>
      </c>
      <c r="C259" s="1" t="n">
        <v>46133</v>
      </c>
      <c r="D259" t="inlineStr">
        <is>
          <t>NORRBOTTENS LÄN</t>
        </is>
      </c>
      <c r="E259" t="inlineStr">
        <is>
          <t>PAJALA</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61477-2022</t>
        </is>
      </c>
      <c r="B260" s="1" t="n">
        <v>44910</v>
      </c>
      <c r="C260" s="1" t="n">
        <v>46133</v>
      </c>
      <c r="D260" t="inlineStr">
        <is>
          <t>NORRBOTTENS LÄN</t>
        </is>
      </c>
      <c r="E260" t="inlineStr">
        <is>
          <t>PAJALA</t>
        </is>
      </c>
      <c r="G260" t="n">
        <v>1.5</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46133</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41780-2025</t>
        </is>
      </c>
      <c r="B262" s="1" t="n">
        <v>45902</v>
      </c>
      <c r="C262" s="1" t="n">
        <v>46133</v>
      </c>
      <c r="D262" t="inlineStr">
        <is>
          <t>NORRBOTTENS LÄN</t>
        </is>
      </c>
      <c r="E262" t="inlineStr">
        <is>
          <t>PAJALA</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29878-2024</t>
        </is>
      </c>
      <c r="B263" s="1" t="n">
        <v>45486.55885416667</v>
      </c>
      <c r="C263" s="1" t="n">
        <v>46133</v>
      </c>
      <c r="D263" t="inlineStr">
        <is>
          <t>NORRBOTTENS LÄN</t>
        </is>
      </c>
      <c r="E263" t="inlineStr">
        <is>
          <t>PAJALA</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15124-2024</t>
        </is>
      </c>
      <c r="B264" s="1" t="n">
        <v>45399.75060185185</v>
      </c>
      <c r="C264" s="1" t="n">
        <v>46133</v>
      </c>
      <c r="D264" t="inlineStr">
        <is>
          <t>NORRBOTTENS LÄN</t>
        </is>
      </c>
      <c r="E264" t="inlineStr">
        <is>
          <t>PAJALA</t>
        </is>
      </c>
      <c r="G264" t="n">
        <v>3.6</v>
      </c>
      <c r="H264" t="n">
        <v>0</v>
      </c>
      <c r="I264" t="n">
        <v>0</v>
      </c>
      <c r="J264" t="n">
        <v>0</v>
      </c>
      <c r="K264" t="n">
        <v>0</v>
      </c>
      <c r="L264" t="n">
        <v>0</v>
      </c>
      <c r="M264" t="n">
        <v>0</v>
      </c>
      <c r="N264" t="n">
        <v>0</v>
      </c>
      <c r="O264" t="n">
        <v>0</v>
      </c>
      <c r="P264" t="n">
        <v>0</v>
      </c>
      <c r="Q264" t="n">
        <v>0</v>
      </c>
      <c r="R264" s="2" t="inlineStr"/>
    </row>
    <row r="265" ht="15" customHeight="1">
      <c r="A265" t="inlineStr">
        <is>
          <t>A 48391-2023</t>
        </is>
      </c>
      <c r="B265" s="1" t="n">
        <v>45201</v>
      </c>
      <c r="C265" s="1" t="n">
        <v>46133</v>
      </c>
      <c r="D265" t="inlineStr">
        <is>
          <t>NORRBOTTENS LÄN</t>
        </is>
      </c>
      <c r="E265" t="inlineStr">
        <is>
          <t>PAJALA</t>
        </is>
      </c>
      <c r="G265" t="n">
        <v>6.5</v>
      </c>
      <c r="H265" t="n">
        <v>0</v>
      </c>
      <c r="I265" t="n">
        <v>0</v>
      </c>
      <c r="J265" t="n">
        <v>0</v>
      </c>
      <c r="K265" t="n">
        <v>0</v>
      </c>
      <c r="L265" t="n">
        <v>0</v>
      </c>
      <c r="M265" t="n">
        <v>0</v>
      </c>
      <c r="N265" t="n">
        <v>0</v>
      </c>
      <c r="O265" t="n">
        <v>0</v>
      </c>
      <c r="P265" t="n">
        <v>0</v>
      </c>
      <c r="Q265" t="n">
        <v>0</v>
      </c>
      <c r="R265" s="2" t="inlineStr"/>
    </row>
    <row r="266" ht="15" customHeight="1">
      <c r="A266" t="inlineStr">
        <is>
          <t>A 43819-2023</t>
        </is>
      </c>
      <c r="B266" s="1" t="n">
        <v>45187</v>
      </c>
      <c r="C266" s="1" t="n">
        <v>46133</v>
      </c>
      <c r="D266" t="inlineStr">
        <is>
          <t>NORRBOTTENS LÄN</t>
        </is>
      </c>
      <c r="E266" t="inlineStr">
        <is>
          <t>PAJALA</t>
        </is>
      </c>
      <c r="G266" t="n">
        <v>25.8</v>
      </c>
      <c r="H266" t="n">
        <v>0</v>
      </c>
      <c r="I266" t="n">
        <v>0</v>
      </c>
      <c r="J266" t="n">
        <v>0</v>
      </c>
      <c r="K266" t="n">
        <v>0</v>
      </c>
      <c r="L266" t="n">
        <v>0</v>
      </c>
      <c r="M266" t="n">
        <v>0</v>
      </c>
      <c r="N266" t="n">
        <v>0</v>
      </c>
      <c r="O266" t="n">
        <v>0</v>
      </c>
      <c r="P266" t="n">
        <v>0</v>
      </c>
      <c r="Q266" t="n">
        <v>0</v>
      </c>
      <c r="R266" s="2" t="inlineStr"/>
    </row>
    <row r="267" ht="15" customHeight="1">
      <c r="A267" t="inlineStr">
        <is>
          <t>A 42016-2025</t>
        </is>
      </c>
      <c r="B267" s="1" t="n">
        <v>45903.5825</v>
      </c>
      <c r="C267" s="1" t="n">
        <v>46133</v>
      </c>
      <c r="D267" t="inlineStr">
        <is>
          <t>NORRBOTTENS LÄN</t>
        </is>
      </c>
      <c r="E267" t="inlineStr">
        <is>
          <t>PAJALA</t>
        </is>
      </c>
      <c r="F267" t="inlineStr">
        <is>
          <t>Sveaskog</t>
        </is>
      </c>
      <c r="G267" t="n">
        <v>32.3</v>
      </c>
      <c r="H267" t="n">
        <v>0</v>
      </c>
      <c r="I267" t="n">
        <v>0</v>
      </c>
      <c r="J267" t="n">
        <v>0</v>
      </c>
      <c r="K267" t="n">
        <v>0</v>
      </c>
      <c r="L267" t="n">
        <v>0</v>
      </c>
      <c r="M267" t="n">
        <v>0</v>
      </c>
      <c r="N267" t="n">
        <v>0</v>
      </c>
      <c r="O267" t="n">
        <v>0</v>
      </c>
      <c r="P267" t="n">
        <v>0</v>
      </c>
      <c r="Q267" t="n">
        <v>0</v>
      </c>
      <c r="R267" s="2" t="inlineStr"/>
    </row>
    <row r="268" ht="15" customHeight="1">
      <c r="A268" t="inlineStr">
        <is>
          <t>A 50519-2024</t>
        </is>
      </c>
      <c r="B268" s="1" t="n">
        <v>45601</v>
      </c>
      <c r="C268" s="1" t="n">
        <v>46133</v>
      </c>
      <c r="D268" t="inlineStr">
        <is>
          <t>NORRBOTTENS LÄN</t>
        </is>
      </c>
      <c r="E268" t="inlineStr">
        <is>
          <t>PAJALA</t>
        </is>
      </c>
      <c r="F268" t="inlineStr">
        <is>
          <t>Sveaskog</t>
        </is>
      </c>
      <c r="G268" t="n">
        <v>31.8</v>
      </c>
      <c r="H268" t="n">
        <v>0</v>
      </c>
      <c r="I268" t="n">
        <v>0</v>
      </c>
      <c r="J268" t="n">
        <v>0</v>
      </c>
      <c r="K268" t="n">
        <v>0</v>
      </c>
      <c r="L268" t="n">
        <v>0</v>
      </c>
      <c r="M268" t="n">
        <v>0</v>
      </c>
      <c r="N268" t="n">
        <v>0</v>
      </c>
      <c r="O268" t="n">
        <v>0</v>
      </c>
      <c r="P268" t="n">
        <v>0</v>
      </c>
      <c r="Q268" t="n">
        <v>0</v>
      </c>
      <c r="R268" s="2" t="inlineStr"/>
    </row>
    <row r="269" ht="15" customHeight="1">
      <c r="A269" t="inlineStr">
        <is>
          <t>A 50569-2024</t>
        </is>
      </c>
      <c r="B269" s="1" t="n">
        <v>45601.60356481482</v>
      </c>
      <c r="C269" s="1" t="n">
        <v>46133</v>
      </c>
      <c r="D269" t="inlineStr">
        <is>
          <t>NORRBOTTENS LÄN</t>
        </is>
      </c>
      <c r="E269" t="inlineStr">
        <is>
          <t>PAJALA</t>
        </is>
      </c>
      <c r="G269" t="n">
        <v>6.8</v>
      </c>
      <c r="H269" t="n">
        <v>0</v>
      </c>
      <c r="I269" t="n">
        <v>0</v>
      </c>
      <c r="J269" t="n">
        <v>0</v>
      </c>
      <c r="K269" t="n">
        <v>0</v>
      </c>
      <c r="L269" t="n">
        <v>0</v>
      </c>
      <c r="M269" t="n">
        <v>0</v>
      </c>
      <c r="N269" t="n">
        <v>0</v>
      </c>
      <c r="O269" t="n">
        <v>0</v>
      </c>
      <c r="P269" t="n">
        <v>0</v>
      </c>
      <c r="Q269" t="n">
        <v>0</v>
      </c>
      <c r="R269" s="2" t="inlineStr"/>
    </row>
    <row r="270" ht="15" customHeight="1">
      <c r="A270" t="inlineStr">
        <is>
          <t>A 48485-2024</t>
        </is>
      </c>
      <c r="B270" s="1" t="n">
        <v>45592.39511574074</v>
      </c>
      <c r="C270" s="1" t="n">
        <v>46133</v>
      </c>
      <c r="D270" t="inlineStr">
        <is>
          <t>NORRBOTTENS LÄN</t>
        </is>
      </c>
      <c r="E270" t="inlineStr">
        <is>
          <t>PAJALA</t>
        </is>
      </c>
      <c r="G270" t="n">
        <v>0.9</v>
      </c>
      <c r="H270" t="n">
        <v>0</v>
      </c>
      <c r="I270" t="n">
        <v>0</v>
      </c>
      <c r="J270" t="n">
        <v>0</v>
      </c>
      <c r="K270" t="n">
        <v>0</v>
      </c>
      <c r="L270" t="n">
        <v>0</v>
      </c>
      <c r="M270" t="n">
        <v>0</v>
      </c>
      <c r="N270" t="n">
        <v>0</v>
      </c>
      <c r="O270" t="n">
        <v>0</v>
      </c>
      <c r="P270" t="n">
        <v>0</v>
      </c>
      <c r="Q270" t="n">
        <v>0</v>
      </c>
      <c r="R270" s="2" t="inlineStr"/>
    </row>
    <row r="271" ht="15" customHeight="1">
      <c r="A271" t="inlineStr">
        <is>
          <t>A 13466-2025</t>
        </is>
      </c>
      <c r="B271" s="1" t="n">
        <v>45736</v>
      </c>
      <c r="C271" s="1" t="n">
        <v>46133</v>
      </c>
      <c r="D271" t="inlineStr">
        <is>
          <t>NORRBOTTENS LÄN</t>
        </is>
      </c>
      <c r="E271" t="inlineStr">
        <is>
          <t>PAJALA</t>
        </is>
      </c>
      <c r="G271" t="n">
        <v>1.2</v>
      </c>
      <c r="H271" t="n">
        <v>0</v>
      </c>
      <c r="I271" t="n">
        <v>0</v>
      </c>
      <c r="J271" t="n">
        <v>0</v>
      </c>
      <c r="K271" t="n">
        <v>0</v>
      </c>
      <c r="L271" t="n">
        <v>0</v>
      </c>
      <c r="M271" t="n">
        <v>0</v>
      </c>
      <c r="N271" t="n">
        <v>0</v>
      </c>
      <c r="O271" t="n">
        <v>0</v>
      </c>
      <c r="P271" t="n">
        <v>0</v>
      </c>
      <c r="Q271" t="n">
        <v>0</v>
      </c>
      <c r="R271" s="2" t="inlineStr"/>
    </row>
    <row r="272" ht="15" customHeight="1">
      <c r="A272" t="inlineStr">
        <is>
          <t>A 42536-2025</t>
        </is>
      </c>
      <c r="B272" s="1" t="n">
        <v>45905.56935185185</v>
      </c>
      <c r="C272" s="1" t="n">
        <v>46133</v>
      </c>
      <c r="D272" t="inlineStr">
        <is>
          <t>NORRBOTTENS LÄN</t>
        </is>
      </c>
      <c r="E272" t="inlineStr">
        <is>
          <t>PAJALA</t>
        </is>
      </c>
      <c r="F272" t="inlineStr">
        <is>
          <t>Sveaskog</t>
        </is>
      </c>
      <c r="G272" t="n">
        <v>6.3</v>
      </c>
      <c r="H272" t="n">
        <v>0</v>
      </c>
      <c r="I272" t="n">
        <v>0</v>
      </c>
      <c r="J272" t="n">
        <v>0</v>
      </c>
      <c r="K272" t="n">
        <v>0</v>
      </c>
      <c r="L272" t="n">
        <v>0</v>
      </c>
      <c r="M272" t="n">
        <v>0</v>
      </c>
      <c r="N272" t="n">
        <v>0</v>
      </c>
      <c r="O272" t="n">
        <v>0</v>
      </c>
      <c r="P272" t="n">
        <v>0</v>
      </c>
      <c r="Q272" t="n">
        <v>0</v>
      </c>
      <c r="R272" s="2" t="inlineStr"/>
    </row>
    <row r="273" ht="15" customHeight="1">
      <c r="A273" t="inlineStr">
        <is>
          <t>A 35687-2023</t>
        </is>
      </c>
      <c r="B273" s="1" t="n">
        <v>45147</v>
      </c>
      <c r="C273" s="1" t="n">
        <v>46133</v>
      </c>
      <c r="D273" t="inlineStr">
        <is>
          <t>NORRBOTTENS LÄN</t>
        </is>
      </c>
      <c r="E273" t="inlineStr">
        <is>
          <t>PAJALA</t>
        </is>
      </c>
      <c r="G273" t="n">
        <v>2.5</v>
      </c>
      <c r="H273" t="n">
        <v>0</v>
      </c>
      <c r="I273" t="n">
        <v>0</v>
      </c>
      <c r="J273" t="n">
        <v>0</v>
      </c>
      <c r="K273" t="n">
        <v>0</v>
      </c>
      <c r="L273" t="n">
        <v>0</v>
      </c>
      <c r="M273" t="n">
        <v>0</v>
      </c>
      <c r="N273" t="n">
        <v>0</v>
      </c>
      <c r="O273" t="n">
        <v>0</v>
      </c>
      <c r="P273" t="n">
        <v>0</v>
      </c>
      <c r="Q273" t="n">
        <v>0</v>
      </c>
      <c r="R273" s="2" t="inlineStr"/>
    </row>
    <row r="274" ht="15" customHeight="1">
      <c r="A274" t="inlineStr">
        <is>
          <t>A 40804-2024</t>
        </is>
      </c>
      <c r="B274" s="1" t="n">
        <v>45558.53196759259</v>
      </c>
      <c r="C274" s="1" t="n">
        <v>46133</v>
      </c>
      <c r="D274" t="inlineStr">
        <is>
          <t>NORRBOTTENS LÄN</t>
        </is>
      </c>
      <c r="E274" t="inlineStr">
        <is>
          <t>PAJALA</t>
        </is>
      </c>
      <c r="G274" t="n">
        <v>93</v>
      </c>
      <c r="H274" t="n">
        <v>0</v>
      </c>
      <c r="I274" t="n">
        <v>0</v>
      </c>
      <c r="J274" t="n">
        <v>0</v>
      </c>
      <c r="K274" t="n">
        <v>0</v>
      </c>
      <c r="L274" t="n">
        <v>0</v>
      </c>
      <c r="M274" t="n">
        <v>0</v>
      </c>
      <c r="N274" t="n">
        <v>0</v>
      </c>
      <c r="O274" t="n">
        <v>0</v>
      </c>
      <c r="P274" t="n">
        <v>0</v>
      </c>
      <c r="Q274" t="n">
        <v>0</v>
      </c>
      <c r="R274" s="2" t="inlineStr"/>
    </row>
    <row r="275" ht="15" customHeight="1">
      <c r="A275" t="inlineStr">
        <is>
          <t>A 42650-2025</t>
        </is>
      </c>
      <c r="B275" s="1" t="n">
        <v>45906</v>
      </c>
      <c r="C275" s="1" t="n">
        <v>46133</v>
      </c>
      <c r="D275" t="inlineStr">
        <is>
          <t>NORRBOTTENS LÄN</t>
        </is>
      </c>
      <c r="E275" t="inlineStr">
        <is>
          <t>PAJALA</t>
        </is>
      </c>
      <c r="G275" t="n">
        <v>0.4</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46133</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43068-2025</t>
        </is>
      </c>
      <c r="B277" s="1" t="n">
        <v>45909.59424768519</v>
      </c>
      <c r="C277" s="1" t="n">
        <v>46133</v>
      </c>
      <c r="D277" t="inlineStr">
        <is>
          <t>NORRBOTTENS LÄN</t>
        </is>
      </c>
      <c r="E277" t="inlineStr">
        <is>
          <t>PAJALA</t>
        </is>
      </c>
      <c r="G277" t="n">
        <v>1</v>
      </c>
      <c r="H277" t="n">
        <v>0</v>
      </c>
      <c r="I277" t="n">
        <v>0</v>
      </c>
      <c r="J277" t="n">
        <v>0</v>
      </c>
      <c r="K277" t="n">
        <v>0</v>
      </c>
      <c r="L277" t="n">
        <v>0</v>
      </c>
      <c r="M277" t="n">
        <v>0</v>
      </c>
      <c r="N277" t="n">
        <v>0</v>
      </c>
      <c r="O277" t="n">
        <v>0</v>
      </c>
      <c r="P277" t="n">
        <v>0</v>
      </c>
      <c r="Q277" t="n">
        <v>0</v>
      </c>
      <c r="R277" s="2" t="inlineStr"/>
    </row>
    <row r="278" ht="15" customHeight="1">
      <c r="A278" t="inlineStr">
        <is>
          <t>A 29173-2025</t>
        </is>
      </c>
      <c r="B278" s="1" t="n">
        <v>45821.70905092593</v>
      </c>
      <c r="C278" s="1" t="n">
        <v>46133</v>
      </c>
      <c r="D278" t="inlineStr">
        <is>
          <t>NORRBOTTENS LÄN</t>
        </is>
      </c>
      <c r="E278" t="inlineStr">
        <is>
          <t>PAJALA</t>
        </is>
      </c>
      <c r="F278" t="inlineStr">
        <is>
          <t>Sveaskog</t>
        </is>
      </c>
      <c r="G278" t="n">
        <v>0.3</v>
      </c>
      <c r="H278" t="n">
        <v>0</v>
      </c>
      <c r="I278" t="n">
        <v>0</v>
      </c>
      <c r="J278" t="n">
        <v>0</v>
      </c>
      <c r="K278" t="n">
        <v>0</v>
      </c>
      <c r="L278" t="n">
        <v>0</v>
      </c>
      <c r="M278" t="n">
        <v>0</v>
      </c>
      <c r="N278" t="n">
        <v>0</v>
      </c>
      <c r="O278" t="n">
        <v>0</v>
      </c>
      <c r="P278" t="n">
        <v>0</v>
      </c>
      <c r="Q278" t="n">
        <v>0</v>
      </c>
      <c r="R278" s="2" t="inlineStr"/>
    </row>
    <row r="279" ht="15" customHeight="1">
      <c r="A279" t="inlineStr">
        <is>
          <t>A 23893-2024</t>
        </is>
      </c>
      <c r="B279" s="1" t="n">
        <v>45455</v>
      </c>
      <c r="C279" s="1" t="n">
        <v>46133</v>
      </c>
      <c r="D279" t="inlineStr">
        <is>
          <t>NORRBOTTENS LÄN</t>
        </is>
      </c>
      <c r="E279" t="inlineStr">
        <is>
          <t>PAJALA</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42643-2025</t>
        </is>
      </c>
      <c r="B280" s="1" t="n">
        <v>45906</v>
      </c>
      <c r="C280" s="1" t="n">
        <v>46133</v>
      </c>
      <c r="D280" t="inlineStr">
        <is>
          <t>NORRBOTTENS LÄN</t>
        </is>
      </c>
      <c r="E280" t="inlineStr">
        <is>
          <t>PAJALA</t>
        </is>
      </c>
      <c r="G280" t="n">
        <v>1.2</v>
      </c>
      <c r="H280" t="n">
        <v>0</v>
      </c>
      <c r="I280" t="n">
        <v>0</v>
      </c>
      <c r="J280" t="n">
        <v>0</v>
      </c>
      <c r="K280" t="n">
        <v>0</v>
      </c>
      <c r="L280" t="n">
        <v>0</v>
      </c>
      <c r="M280" t="n">
        <v>0</v>
      </c>
      <c r="N280" t="n">
        <v>0</v>
      </c>
      <c r="O280" t="n">
        <v>0</v>
      </c>
      <c r="P280" t="n">
        <v>0</v>
      </c>
      <c r="Q280" t="n">
        <v>0</v>
      </c>
      <c r="R280" s="2" t="inlineStr"/>
    </row>
    <row r="281" ht="15" customHeight="1">
      <c r="A281" t="inlineStr">
        <is>
          <t>A 43074-2025</t>
        </is>
      </c>
      <c r="B281" s="1" t="n">
        <v>45909.60006944444</v>
      </c>
      <c r="C281" s="1" t="n">
        <v>46133</v>
      </c>
      <c r="D281" t="inlineStr">
        <is>
          <t>NORRBOTTENS LÄN</t>
        </is>
      </c>
      <c r="E281" t="inlineStr">
        <is>
          <t>PAJALA</t>
        </is>
      </c>
      <c r="G281" t="n">
        <v>0.8</v>
      </c>
      <c r="H281" t="n">
        <v>0</v>
      </c>
      <c r="I281" t="n">
        <v>0</v>
      </c>
      <c r="J281" t="n">
        <v>0</v>
      </c>
      <c r="K281" t="n">
        <v>0</v>
      </c>
      <c r="L281" t="n">
        <v>0</v>
      </c>
      <c r="M281" t="n">
        <v>0</v>
      </c>
      <c r="N281" t="n">
        <v>0</v>
      </c>
      <c r="O281" t="n">
        <v>0</v>
      </c>
      <c r="P281" t="n">
        <v>0</v>
      </c>
      <c r="Q281" t="n">
        <v>0</v>
      </c>
      <c r="R281" s="2" t="inlineStr"/>
    </row>
    <row r="282" ht="15" customHeight="1">
      <c r="A282" t="inlineStr">
        <is>
          <t>A 29155-2025</t>
        </is>
      </c>
      <c r="B282" s="1" t="n">
        <v>45821.65634259259</v>
      </c>
      <c r="C282" s="1" t="n">
        <v>46133</v>
      </c>
      <c r="D282" t="inlineStr">
        <is>
          <t>NORRBOTTENS LÄN</t>
        </is>
      </c>
      <c r="E282" t="inlineStr">
        <is>
          <t>PAJALA</t>
        </is>
      </c>
      <c r="G282" t="n">
        <v>4</v>
      </c>
      <c r="H282" t="n">
        <v>0</v>
      </c>
      <c r="I282" t="n">
        <v>0</v>
      </c>
      <c r="J282" t="n">
        <v>0</v>
      </c>
      <c r="K282" t="n">
        <v>0</v>
      </c>
      <c r="L282" t="n">
        <v>0</v>
      </c>
      <c r="M282" t="n">
        <v>0</v>
      </c>
      <c r="N282" t="n">
        <v>0</v>
      </c>
      <c r="O282" t="n">
        <v>0</v>
      </c>
      <c r="P282" t="n">
        <v>0</v>
      </c>
      <c r="Q282" t="n">
        <v>0</v>
      </c>
      <c r="R282" s="2" t="inlineStr"/>
    </row>
    <row r="283" ht="15" customHeight="1">
      <c r="A283" t="inlineStr">
        <is>
          <t>A 28796-2025</t>
        </is>
      </c>
      <c r="B283" s="1" t="n">
        <v>45820.47928240741</v>
      </c>
      <c r="C283" s="1" t="n">
        <v>46133</v>
      </c>
      <c r="D283" t="inlineStr">
        <is>
          <t>NORRBOTTENS LÄN</t>
        </is>
      </c>
      <c r="E283" t="inlineStr">
        <is>
          <t>PAJALA</t>
        </is>
      </c>
      <c r="G283" t="n">
        <v>2</v>
      </c>
      <c r="H283" t="n">
        <v>0</v>
      </c>
      <c r="I283" t="n">
        <v>0</v>
      </c>
      <c r="J283" t="n">
        <v>0</v>
      </c>
      <c r="K283" t="n">
        <v>0</v>
      </c>
      <c r="L283" t="n">
        <v>0</v>
      </c>
      <c r="M283" t="n">
        <v>0</v>
      </c>
      <c r="N283" t="n">
        <v>0</v>
      </c>
      <c r="O283" t="n">
        <v>0</v>
      </c>
      <c r="P283" t="n">
        <v>0</v>
      </c>
      <c r="Q283" t="n">
        <v>0</v>
      </c>
      <c r="R283" s="2" t="inlineStr"/>
    </row>
    <row r="284" ht="15" customHeight="1">
      <c r="A284" t="inlineStr">
        <is>
          <t>A 28861-2025</t>
        </is>
      </c>
      <c r="B284" s="1" t="n">
        <v>45820.59181712963</v>
      </c>
      <c r="C284" s="1" t="n">
        <v>46133</v>
      </c>
      <c r="D284" t="inlineStr">
        <is>
          <t>NORRBOTTENS LÄN</t>
        </is>
      </c>
      <c r="E284" t="inlineStr">
        <is>
          <t>PAJALA</t>
        </is>
      </c>
      <c r="G284" t="n">
        <v>2.1</v>
      </c>
      <c r="H284" t="n">
        <v>0</v>
      </c>
      <c r="I284" t="n">
        <v>0</v>
      </c>
      <c r="J284" t="n">
        <v>0</v>
      </c>
      <c r="K284" t="n">
        <v>0</v>
      </c>
      <c r="L284" t="n">
        <v>0</v>
      </c>
      <c r="M284" t="n">
        <v>0</v>
      </c>
      <c r="N284" t="n">
        <v>0</v>
      </c>
      <c r="O284" t="n">
        <v>0</v>
      </c>
      <c r="P284" t="n">
        <v>0</v>
      </c>
      <c r="Q284" t="n">
        <v>0</v>
      </c>
      <c r="R284" s="2" t="inlineStr"/>
    </row>
    <row r="285" ht="15" customHeight="1">
      <c r="A285" t="inlineStr">
        <is>
          <t>A 28916-2025</t>
        </is>
      </c>
      <c r="B285" s="1" t="n">
        <v>45820.663125</v>
      </c>
      <c r="C285" s="1" t="n">
        <v>46133</v>
      </c>
      <c r="D285" t="inlineStr">
        <is>
          <t>NORRBOTTENS LÄN</t>
        </is>
      </c>
      <c r="E285" t="inlineStr">
        <is>
          <t>PAJALA</t>
        </is>
      </c>
      <c r="F285" t="inlineStr">
        <is>
          <t>Sveaskog</t>
        </is>
      </c>
      <c r="G285" t="n">
        <v>4.8</v>
      </c>
      <c r="H285" t="n">
        <v>0</v>
      </c>
      <c r="I285" t="n">
        <v>0</v>
      </c>
      <c r="J285" t="n">
        <v>0</v>
      </c>
      <c r="K285" t="n">
        <v>0</v>
      </c>
      <c r="L285" t="n">
        <v>0</v>
      </c>
      <c r="M285" t="n">
        <v>0</v>
      </c>
      <c r="N285" t="n">
        <v>0</v>
      </c>
      <c r="O285" t="n">
        <v>0</v>
      </c>
      <c r="P285" t="n">
        <v>0</v>
      </c>
      <c r="Q285" t="n">
        <v>0</v>
      </c>
      <c r="R285" s="2" t="inlineStr"/>
    </row>
    <row r="286" ht="15" customHeight="1">
      <c r="A286" t="inlineStr">
        <is>
          <t>A 29172-2025</t>
        </is>
      </c>
      <c r="B286" s="1" t="n">
        <v>45821.70695601852</v>
      </c>
      <c r="C286" s="1" t="n">
        <v>46133</v>
      </c>
      <c r="D286" t="inlineStr">
        <is>
          <t>NORRBOTTENS LÄN</t>
        </is>
      </c>
      <c r="E286" t="inlineStr">
        <is>
          <t>PAJALA</t>
        </is>
      </c>
      <c r="F286" t="inlineStr">
        <is>
          <t>Sveaskog</t>
        </is>
      </c>
      <c r="G286" t="n">
        <v>40.3</v>
      </c>
      <c r="H286" t="n">
        <v>0</v>
      </c>
      <c r="I286" t="n">
        <v>0</v>
      </c>
      <c r="J286" t="n">
        <v>0</v>
      </c>
      <c r="K286" t="n">
        <v>0</v>
      </c>
      <c r="L286" t="n">
        <v>0</v>
      </c>
      <c r="M286" t="n">
        <v>0</v>
      </c>
      <c r="N286" t="n">
        <v>0</v>
      </c>
      <c r="O286" t="n">
        <v>0</v>
      </c>
      <c r="P286" t="n">
        <v>0</v>
      </c>
      <c r="Q286" t="n">
        <v>0</v>
      </c>
      <c r="R286" s="2" t="inlineStr"/>
    </row>
    <row r="287" ht="15" customHeight="1">
      <c r="A287" t="inlineStr">
        <is>
          <t>A 27325-2024</t>
        </is>
      </c>
      <c r="B287" s="1" t="n">
        <v>45472.38306712963</v>
      </c>
      <c r="C287" s="1" t="n">
        <v>46133</v>
      </c>
      <c r="D287" t="inlineStr">
        <is>
          <t>NORRBOTTENS LÄN</t>
        </is>
      </c>
      <c r="E287" t="inlineStr">
        <is>
          <t>PAJALA</t>
        </is>
      </c>
      <c r="G287" t="n">
        <v>4.8</v>
      </c>
      <c r="H287" t="n">
        <v>0</v>
      </c>
      <c r="I287" t="n">
        <v>0</v>
      </c>
      <c r="J287" t="n">
        <v>0</v>
      </c>
      <c r="K287" t="n">
        <v>0</v>
      </c>
      <c r="L287" t="n">
        <v>0</v>
      </c>
      <c r="M287" t="n">
        <v>0</v>
      </c>
      <c r="N287" t="n">
        <v>0</v>
      </c>
      <c r="O287" t="n">
        <v>0</v>
      </c>
      <c r="P287" t="n">
        <v>0</v>
      </c>
      <c r="Q287" t="n">
        <v>0</v>
      </c>
      <c r="R287" s="2" t="inlineStr"/>
    </row>
    <row r="288" ht="15" customHeight="1">
      <c r="A288" t="inlineStr">
        <is>
          <t>A 43281-2025</t>
        </is>
      </c>
      <c r="B288" s="1" t="n">
        <v>45910.59592592593</v>
      </c>
      <c r="C288" s="1" t="n">
        <v>46133</v>
      </c>
      <c r="D288" t="inlineStr">
        <is>
          <t>NORRBOTTENS LÄN</t>
        </is>
      </c>
      <c r="E288" t="inlineStr">
        <is>
          <t>PAJALA</t>
        </is>
      </c>
      <c r="G288" t="n">
        <v>2.9</v>
      </c>
      <c r="H288" t="n">
        <v>0</v>
      </c>
      <c r="I288" t="n">
        <v>0</v>
      </c>
      <c r="J288" t="n">
        <v>0</v>
      </c>
      <c r="K288" t="n">
        <v>0</v>
      </c>
      <c r="L288" t="n">
        <v>0</v>
      </c>
      <c r="M288" t="n">
        <v>0</v>
      </c>
      <c r="N288" t="n">
        <v>0</v>
      </c>
      <c r="O288" t="n">
        <v>0</v>
      </c>
      <c r="P288" t="n">
        <v>0</v>
      </c>
      <c r="Q288" t="n">
        <v>0</v>
      </c>
      <c r="R288" s="2" t="inlineStr"/>
    </row>
    <row r="289" ht="15" customHeight="1">
      <c r="A289" t="inlineStr">
        <is>
          <t>A 28800-2025</t>
        </is>
      </c>
      <c r="B289" s="1" t="n">
        <v>45820.48586805556</v>
      </c>
      <c r="C289" s="1" t="n">
        <v>46133</v>
      </c>
      <c r="D289" t="inlineStr">
        <is>
          <t>NORRBOTTENS LÄN</t>
        </is>
      </c>
      <c r="E289" t="inlineStr">
        <is>
          <t>PAJALA</t>
        </is>
      </c>
      <c r="G289" t="n">
        <v>2.6</v>
      </c>
      <c r="H289" t="n">
        <v>0</v>
      </c>
      <c r="I289" t="n">
        <v>0</v>
      </c>
      <c r="J289" t="n">
        <v>0</v>
      </c>
      <c r="K289" t="n">
        <v>0</v>
      </c>
      <c r="L289" t="n">
        <v>0</v>
      </c>
      <c r="M289" t="n">
        <v>0</v>
      </c>
      <c r="N289" t="n">
        <v>0</v>
      </c>
      <c r="O289" t="n">
        <v>0</v>
      </c>
      <c r="P289" t="n">
        <v>0</v>
      </c>
      <c r="Q289" t="n">
        <v>0</v>
      </c>
      <c r="R289" s="2" t="inlineStr"/>
    </row>
    <row r="290" ht="15" customHeight="1">
      <c r="A290" t="inlineStr">
        <is>
          <t>A 27326-2024</t>
        </is>
      </c>
      <c r="B290" s="1" t="n">
        <v>45472.38951388889</v>
      </c>
      <c r="C290" s="1" t="n">
        <v>46133</v>
      </c>
      <c r="D290" t="inlineStr">
        <is>
          <t>NORRBOTTENS LÄN</t>
        </is>
      </c>
      <c r="E290" t="inlineStr">
        <is>
          <t>PAJALA</t>
        </is>
      </c>
      <c r="G290" t="n">
        <v>3.4</v>
      </c>
      <c r="H290" t="n">
        <v>0</v>
      </c>
      <c r="I290" t="n">
        <v>0</v>
      </c>
      <c r="J290" t="n">
        <v>0</v>
      </c>
      <c r="K290" t="n">
        <v>0</v>
      </c>
      <c r="L290" t="n">
        <v>0</v>
      </c>
      <c r="M290" t="n">
        <v>0</v>
      </c>
      <c r="N290" t="n">
        <v>0</v>
      </c>
      <c r="O290" t="n">
        <v>0</v>
      </c>
      <c r="P290" t="n">
        <v>0</v>
      </c>
      <c r="Q290" t="n">
        <v>0</v>
      </c>
      <c r="R290" s="2" t="inlineStr"/>
    </row>
    <row r="291" ht="15" customHeight="1">
      <c r="A291" t="inlineStr">
        <is>
          <t>A 29421-2025</t>
        </is>
      </c>
      <c r="B291" s="1" t="n">
        <v>45824</v>
      </c>
      <c r="C291" s="1" t="n">
        <v>46133</v>
      </c>
      <c r="D291" t="inlineStr">
        <is>
          <t>NORRBOTTENS LÄN</t>
        </is>
      </c>
      <c r="E291" t="inlineStr">
        <is>
          <t>PAJALA</t>
        </is>
      </c>
      <c r="G291" t="n">
        <v>8.6</v>
      </c>
      <c r="H291" t="n">
        <v>0</v>
      </c>
      <c r="I291" t="n">
        <v>0</v>
      </c>
      <c r="J291" t="n">
        <v>0</v>
      </c>
      <c r="K291" t="n">
        <v>0</v>
      </c>
      <c r="L291" t="n">
        <v>0</v>
      </c>
      <c r="M291" t="n">
        <v>0</v>
      </c>
      <c r="N291" t="n">
        <v>0</v>
      </c>
      <c r="O291" t="n">
        <v>0</v>
      </c>
      <c r="P291" t="n">
        <v>0</v>
      </c>
      <c r="Q291" t="n">
        <v>0</v>
      </c>
      <c r="R291" s="2" t="inlineStr"/>
    </row>
    <row r="292" ht="15" customHeight="1">
      <c r="A292" t="inlineStr">
        <is>
          <t>A 2988-2025</t>
        </is>
      </c>
      <c r="B292" s="1" t="n">
        <v>45678</v>
      </c>
      <c r="C292" s="1" t="n">
        <v>46133</v>
      </c>
      <c r="D292" t="inlineStr">
        <is>
          <t>NORRBOTTENS LÄN</t>
        </is>
      </c>
      <c r="E292" t="inlineStr">
        <is>
          <t>PAJALA</t>
        </is>
      </c>
      <c r="G292" t="n">
        <v>5.3</v>
      </c>
      <c r="H292" t="n">
        <v>0</v>
      </c>
      <c r="I292" t="n">
        <v>0</v>
      </c>
      <c r="J292" t="n">
        <v>0</v>
      </c>
      <c r="K292" t="n">
        <v>0</v>
      </c>
      <c r="L292" t="n">
        <v>0</v>
      </c>
      <c r="M292" t="n">
        <v>0</v>
      </c>
      <c r="N292" t="n">
        <v>0</v>
      </c>
      <c r="O292" t="n">
        <v>0</v>
      </c>
      <c r="P292" t="n">
        <v>0</v>
      </c>
      <c r="Q292" t="n">
        <v>0</v>
      </c>
      <c r="R292" s="2" t="inlineStr"/>
    </row>
    <row r="293" ht="15" customHeight="1">
      <c r="A293" t="inlineStr">
        <is>
          <t>A 1290-2025</t>
        </is>
      </c>
      <c r="B293" s="1" t="n">
        <v>45667</v>
      </c>
      <c r="C293" s="1" t="n">
        <v>46133</v>
      </c>
      <c r="D293" t="inlineStr">
        <is>
          <t>NORRBOTTENS LÄN</t>
        </is>
      </c>
      <c r="E293" t="inlineStr">
        <is>
          <t>PAJALA</t>
        </is>
      </c>
      <c r="G293" t="n">
        <v>23.4</v>
      </c>
      <c r="H293" t="n">
        <v>0</v>
      </c>
      <c r="I293" t="n">
        <v>0</v>
      </c>
      <c r="J293" t="n">
        <v>0</v>
      </c>
      <c r="K293" t="n">
        <v>0</v>
      </c>
      <c r="L293" t="n">
        <v>0</v>
      </c>
      <c r="M293" t="n">
        <v>0</v>
      </c>
      <c r="N293" t="n">
        <v>0</v>
      </c>
      <c r="O293" t="n">
        <v>0</v>
      </c>
      <c r="P293" t="n">
        <v>0</v>
      </c>
      <c r="Q293" t="n">
        <v>0</v>
      </c>
      <c r="R293" s="2" t="inlineStr"/>
    </row>
    <row r="294" ht="15" customHeight="1">
      <c r="A294" t="inlineStr">
        <is>
          <t>A 26643-2024</t>
        </is>
      </c>
      <c r="B294" s="1" t="n">
        <v>45469.92849537037</v>
      </c>
      <c r="C294" s="1" t="n">
        <v>46133</v>
      </c>
      <c r="D294" t="inlineStr">
        <is>
          <t>NORRBOTTENS LÄN</t>
        </is>
      </c>
      <c r="E294" t="inlineStr">
        <is>
          <t>PAJALA</t>
        </is>
      </c>
      <c r="G294" t="n">
        <v>3.2</v>
      </c>
      <c r="H294" t="n">
        <v>0</v>
      </c>
      <c r="I294" t="n">
        <v>0</v>
      </c>
      <c r="J294" t="n">
        <v>0</v>
      </c>
      <c r="K294" t="n">
        <v>0</v>
      </c>
      <c r="L294" t="n">
        <v>0</v>
      </c>
      <c r="M294" t="n">
        <v>0</v>
      </c>
      <c r="N294" t="n">
        <v>0</v>
      </c>
      <c r="O294" t="n">
        <v>0</v>
      </c>
      <c r="P294" t="n">
        <v>0</v>
      </c>
      <c r="Q294" t="n">
        <v>0</v>
      </c>
      <c r="R294" s="2" t="inlineStr"/>
    </row>
    <row r="295" ht="15" customHeight="1">
      <c r="A295" t="inlineStr">
        <is>
          <t>A 53088-2024</t>
        </is>
      </c>
      <c r="B295" s="1" t="n">
        <v>45611.51275462963</v>
      </c>
      <c r="C295" s="1" t="n">
        <v>46133</v>
      </c>
      <c r="D295" t="inlineStr">
        <is>
          <t>NORRBOTTENS LÄN</t>
        </is>
      </c>
      <c r="E295" t="inlineStr">
        <is>
          <t>PAJALA</t>
        </is>
      </c>
      <c r="G295" t="n">
        <v>3.2</v>
      </c>
      <c r="H295" t="n">
        <v>0</v>
      </c>
      <c r="I295" t="n">
        <v>0</v>
      </c>
      <c r="J295" t="n">
        <v>0</v>
      </c>
      <c r="K295" t="n">
        <v>0</v>
      </c>
      <c r="L295" t="n">
        <v>0</v>
      </c>
      <c r="M295" t="n">
        <v>0</v>
      </c>
      <c r="N295" t="n">
        <v>0</v>
      </c>
      <c r="O295" t="n">
        <v>0</v>
      </c>
      <c r="P295" t="n">
        <v>0</v>
      </c>
      <c r="Q295" t="n">
        <v>0</v>
      </c>
      <c r="R295" s="2" t="inlineStr"/>
    </row>
    <row r="296" ht="15" customHeight="1">
      <c r="A296" t="inlineStr">
        <is>
          <t>A 43270-2025</t>
        </is>
      </c>
      <c r="B296" s="1" t="n">
        <v>45910.58450231481</v>
      </c>
      <c r="C296" s="1" t="n">
        <v>46133</v>
      </c>
      <c r="D296" t="inlineStr">
        <is>
          <t>NORRBOTTENS LÄN</t>
        </is>
      </c>
      <c r="E296" t="inlineStr">
        <is>
          <t>PAJALA</t>
        </is>
      </c>
      <c r="G296" t="n">
        <v>1.1</v>
      </c>
      <c r="H296" t="n">
        <v>0</v>
      </c>
      <c r="I296" t="n">
        <v>0</v>
      </c>
      <c r="J296" t="n">
        <v>0</v>
      </c>
      <c r="K296" t="n">
        <v>0</v>
      </c>
      <c r="L296" t="n">
        <v>0</v>
      </c>
      <c r="M296" t="n">
        <v>0</v>
      </c>
      <c r="N296" t="n">
        <v>0</v>
      </c>
      <c r="O296" t="n">
        <v>0</v>
      </c>
      <c r="P296" t="n">
        <v>0</v>
      </c>
      <c r="Q296" t="n">
        <v>0</v>
      </c>
      <c r="R296" s="2" t="inlineStr"/>
    </row>
    <row r="297" ht="15" customHeight="1">
      <c r="A297" t="inlineStr">
        <is>
          <t>A 43915-2025</t>
        </is>
      </c>
      <c r="B297" s="1" t="n">
        <v>45914.72663194445</v>
      </c>
      <c r="C297" s="1" t="n">
        <v>46133</v>
      </c>
      <c r="D297" t="inlineStr">
        <is>
          <t>NORRBOTTENS LÄN</t>
        </is>
      </c>
      <c r="E297" t="inlineStr">
        <is>
          <t>PAJALA</t>
        </is>
      </c>
      <c r="G297" t="n">
        <v>1.5</v>
      </c>
      <c r="H297" t="n">
        <v>0</v>
      </c>
      <c r="I297" t="n">
        <v>0</v>
      </c>
      <c r="J297" t="n">
        <v>0</v>
      </c>
      <c r="K297" t="n">
        <v>0</v>
      </c>
      <c r="L297" t="n">
        <v>0</v>
      </c>
      <c r="M297" t="n">
        <v>0</v>
      </c>
      <c r="N297" t="n">
        <v>0</v>
      </c>
      <c r="O297" t="n">
        <v>0</v>
      </c>
      <c r="P297" t="n">
        <v>0</v>
      </c>
      <c r="Q297" t="n">
        <v>0</v>
      </c>
      <c r="R297" s="2" t="inlineStr"/>
    </row>
    <row r="298" ht="15" customHeight="1">
      <c r="A298" t="inlineStr">
        <is>
          <t>A 30372-2025</t>
        </is>
      </c>
      <c r="B298" s="1" t="n">
        <v>45827.56185185185</v>
      </c>
      <c r="C298" s="1" t="n">
        <v>46133</v>
      </c>
      <c r="D298" t="inlineStr">
        <is>
          <t>NORRBOTTENS LÄN</t>
        </is>
      </c>
      <c r="E298" t="inlineStr">
        <is>
          <t>PAJALA</t>
        </is>
      </c>
      <c r="F298" t="inlineStr">
        <is>
          <t>Sveaskog</t>
        </is>
      </c>
      <c r="G298" t="n">
        <v>32.2</v>
      </c>
      <c r="H298" t="n">
        <v>0</v>
      </c>
      <c r="I298" t="n">
        <v>0</v>
      </c>
      <c r="J298" t="n">
        <v>0</v>
      </c>
      <c r="K298" t="n">
        <v>0</v>
      </c>
      <c r="L298" t="n">
        <v>0</v>
      </c>
      <c r="M298" t="n">
        <v>0</v>
      </c>
      <c r="N298" t="n">
        <v>0</v>
      </c>
      <c r="O298" t="n">
        <v>0</v>
      </c>
      <c r="P298" t="n">
        <v>0</v>
      </c>
      <c r="Q298" t="n">
        <v>0</v>
      </c>
      <c r="R298" s="2" t="inlineStr"/>
    </row>
    <row r="299" ht="15" customHeight="1">
      <c r="A299" t="inlineStr">
        <is>
          <t>A 42148-2024</t>
        </is>
      </c>
      <c r="B299" s="1" t="n">
        <v>45562</v>
      </c>
      <c r="C299" s="1" t="n">
        <v>46133</v>
      </c>
      <c r="D299" t="inlineStr">
        <is>
          <t>NORRBOTTENS LÄN</t>
        </is>
      </c>
      <c r="E299" t="inlineStr">
        <is>
          <t>PAJALA</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53094-2023</t>
        </is>
      </c>
      <c r="B300" s="1" t="n">
        <v>45227.72846064815</v>
      </c>
      <c r="C300" s="1" t="n">
        <v>46133</v>
      </c>
      <c r="D300" t="inlineStr">
        <is>
          <t>NORRBOTTENS LÄN</t>
        </is>
      </c>
      <c r="E300" t="inlineStr">
        <is>
          <t>PAJALA</t>
        </is>
      </c>
      <c r="G300" t="n">
        <v>2</v>
      </c>
      <c r="H300" t="n">
        <v>0</v>
      </c>
      <c r="I300" t="n">
        <v>0</v>
      </c>
      <c r="J300" t="n">
        <v>0</v>
      </c>
      <c r="K300" t="n">
        <v>0</v>
      </c>
      <c r="L300" t="n">
        <v>0</v>
      </c>
      <c r="M300" t="n">
        <v>0</v>
      </c>
      <c r="N300" t="n">
        <v>0</v>
      </c>
      <c r="O300" t="n">
        <v>0</v>
      </c>
      <c r="P300" t="n">
        <v>0</v>
      </c>
      <c r="Q300" t="n">
        <v>0</v>
      </c>
      <c r="R300" s="2" t="inlineStr"/>
    </row>
    <row r="301" ht="15" customHeight="1">
      <c r="A301" t="inlineStr">
        <is>
          <t>A 56166-2021</t>
        </is>
      </c>
      <c r="B301" s="1" t="n">
        <v>44477.66917824074</v>
      </c>
      <c r="C301" s="1" t="n">
        <v>46133</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30785-2025</t>
        </is>
      </c>
      <c r="B302" s="1" t="n">
        <v>45831.62880787037</v>
      </c>
      <c r="C302" s="1" t="n">
        <v>46133</v>
      </c>
      <c r="D302" t="inlineStr">
        <is>
          <t>NORRBOTTENS LÄN</t>
        </is>
      </c>
      <c r="E302" t="inlineStr">
        <is>
          <t>PAJALA</t>
        </is>
      </c>
      <c r="F302" t="inlineStr">
        <is>
          <t>Sveaskog</t>
        </is>
      </c>
      <c r="G302" t="n">
        <v>16.7</v>
      </c>
      <c r="H302" t="n">
        <v>0</v>
      </c>
      <c r="I302" t="n">
        <v>0</v>
      </c>
      <c r="J302" t="n">
        <v>0</v>
      </c>
      <c r="K302" t="n">
        <v>0</v>
      </c>
      <c r="L302" t="n">
        <v>0</v>
      </c>
      <c r="M302" t="n">
        <v>0</v>
      </c>
      <c r="N302" t="n">
        <v>0</v>
      </c>
      <c r="O302" t="n">
        <v>0</v>
      </c>
      <c r="P302" t="n">
        <v>0</v>
      </c>
      <c r="Q302" t="n">
        <v>0</v>
      </c>
      <c r="R302" s="2" t="inlineStr"/>
    </row>
    <row r="303" ht="15" customHeight="1">
      <c r="A303" t="inlineStr">
        <is>
          <t>A 5739-2024</t>
        </is>
      </c>
      <c r="B303" s="1" t="n">
        <v>45334.95219907408</v>
      </c>
      <c r="C303" s="1" t="n">
        <v>46133</v>
      </c>
      <c r="D303" t="inlineStr">
        <is>
          <t>NORRBOTTENS LÄN</t>
        </is>
      </c>
      <c r="E303" t="inlineStr">
        <is>
          <t>PAJALA</t>
        </is>
      </c>
      <c r="G303" t="n">
        <v>4.9</v>
      </c>
      <c r="H303" t="n">
        <v>0</v>
      </c>
      <c r="I303" t="n">
        <v>0</v>
      </c>
      <c r="J303" t="n">
        <v>0</v>
      </c>
      <c r="K303" t="n">
        <v>0</v>
      </c>
      <c r="L303" t="n">
        <v>0</v>
      </c>
      <c r="M303" t="n">
        <v>0</v>
      </c>
      <c r="N303" t="n">
        <v>0</v>
      </c>
      <c r="O303" t="n">
        <v>0</v>
      </c>
      <c r="P303" t="n">
        <v>0</v>
      </c>
      <c r="Q303" t="n">
        <v>0</v>
      </c>
      <c r="R303" s="2" t="inlineStr"/>
    </row>
    <row r="304" ht="15" customHeight="1">
      <c r="A304" t="inlineStr">
        <is>
          <t>A 31205-2025</t>
        </is>
      </c>
      <c r="B304" s="1" t="n">
        <v>45832.70251157408</v>
      </c>
      <c r="C304" s="1" t="n">
        <v>46133</v>
      </c>
      <c r="D304" t="inlineStr">
        <is>
          <t>NORRBOTTENS LÄN</t>
        </is>
      </c>
      <c r="E304" t="inlineStr">
        <is>
          <t>PAJALA</t>
        </is>
      </c>
      <c r="F304" t="inlineStr">
        <is>
          <t>Sveaskog</t>
        </is>
      </c>
      <c r="G304" t="n">
        <v>3.4</v>
      </c>
      <c r="H304" t="n">
        <v>0</v>
      </c>
      <c r="I304" t="n">
        <v>0</v>
      </c>
      <c r="J304" t="n">
        <v>0</v>
      </c>
      <c r="K304" t="n">
        <v>0</v>
      </c>
      <c r="L304" t="n">
        <v>0</v>
      </c>
      <c r="M304" t="n">
        <v>0</v>
      </c>
      <c r="N304" t="n">
        <v>0</v>
      </c>
      <c r="O304" t="n">
        <v>0</v>
      </c>
      <c r="P304" t="n">
        <v>0</v>
      </c>
      <c r="Q304" t="n">
        <v>0</v>
      </c>
      <c r="R304" s="2" t="inlineStr"/>
    </row>
    <row r="305" ht="15" customHeight="1">
      <c r="A305" t="inlineStr">
        <is>
          <t>A 44997-2024</t>
        </is>
      </c>
      <c r="B305" s="1" t="n">
        <v>45575</v>
      </c>
      <c r="C305" s="1" t="n">
        <v>46133</v>
      </c>
      <c r="D305" t="inlineStr">
        <is>
          <t>NORRBOTTENS LÄN</t>
        </is>
      </c>
      <c r="E305" t="inlineStr">
        <is>
          <t>PAJALA</t>
        </is>
      </c>
      <c r="G305" t="n">
        <v>4.5</v>
      </c>
      <c r="H305" t="n">
        <v>0</v>
      </c>
      <c r="I305" t="n">
        <v>0</v>
      </c>
      <c r="J305" t="n">
        <v>0</v>
      </c>
      <c r="K305" t="n">
        <v>0</v>
      </c>
      <c r="L305" t="n">
        <v>0</v>
      </c>
      <c r="M305" t="n">
        <v>0</v>
      </c>
      <c r="N305" t="n">
        <v>0</v>
      </c>
      <c r="O305" t="n">
        <v>0</v>
      </c>
      <c r="P305" t="n">
        <v>0</v>
      </c>
      <c r="Q305" t="n">
        <v>0</v>
      </c>
      <c r="R305" s="2" t="inlineStr"/>
    </row>
    <row r="306" ht="15" customHeight="1">
      <c r="A306" t="inlineStr">
        <is>
          <t>A 31019-2025</t>
        </is>
      </c>
      <c r="B306" s="1" t="n">
        <v>45832.51322916667</v>
      </c>
      <c r="C306" s="1" t="n">
        <v>46133</v>
      </c>
      <c r="D306" t="inlineStr">
        <is>
          <t>NORRBOTTENS LÄN</t>
        </is>
      </c>
      <c r="E306" t="inlineStr">
        <is>
          <t>PAJALA</t>
        </is>
      </c>
      <c r="F306" t="inlineStr">
        <is>
          <t>Sveaskog</t>
        </is>
      </c>
      <c r="G306" t="n">
        <v>6.7</v>
      </c>
      <c r="H306" t="n">
        <v>0</v>
      </c>
      <c r="I306" t="n">
        <v>0</v>
      </c>
      <c r="J306" t="n">
        <v>0</v>
      </c>
      <c r="K306" t="n">
        <v>0</v>
      </c>
      <c r="L306" t="n">
        <v>0</v>
      </c>
      <c r="M306" t="n">
        <v>0</v>
      </c>
      <c r="N306" t="n">
        <v>0</v>
      </c>
      <c r="O306" t="n">
        <v>0</v>
      </c>
      <c r="P306" t="n">
        <v>0</v>
      </c>
      <c r="Q306" t="n">
        <v>0</v>
      </c>
      <c r="R306" s="2" t="inlineStr"/>
    </row>
    <row r="307" ht="15" customHeight="1">
      <c r="A307" t="inlineStr">
        <is>
          <t>A 44985-2025</t>
        </is>
      </c>
      <c r="B307" s="1" t="n">
        <v>45918.65290509259</v>
      </c>
      <c r="C307" s="1" t="n">
        <v>46133</v>
      </c>
      <c r="D307" t="inlineStr">
        <is>
          <t>NORRBOTTENS LÄN</t>
        </is>
      </c>
      <c r="E307" t="inlineStr">
        <is>
          <t>PAJALA</t>
        </is>
      </c>
      <c r="F307" t="inlineStr">
        <is>
          <t>Sveaskog</t>
        </is>
      </c>
      <c r="G307" t="n">
        <v>17.8</v>
      </c>
      <c r="H307" t="n">
        <v>0</v>
      </c>
      <c r="I307" t="n">
        <v>0</v>
      </c>
      <c r="J307" t="n">
        <v>0</v>
      </c>
      <c r="K307" t="n">
        <v>0</v>
      </c>
      <c r="L307" t="n">
        <v>0</v>
      </c>
      <c r="M307" t="n">
        <v>0</v>
      </c>
      <c r="N307" t="n">
        <v>0</v>
      </c>
      <c r="O307" t="n">
        <v>0</v>
      </c>
      <c r="P307" t="n">
        <v>0</v>
      </c>
      <c r="Q307" t="n">
        <v>0</v>
      </c>
      <c r="R307" s="2" t="inlineStr"/>
    </row>
    <row r="308" ht="15" customHeight="1">
      <c r="A308" t="inlineStr">
        <is>
          <t>A 63873-2025</t>
        </is>
      </c>
      <c r="B308" s="1" t="n">
        <v>46020.52609953703</v>
      </c>
      <c r="C308" s="1" t="n">
        <v>46133</v>
      </c>
      <c r="D308" t="inlineStr">
        <is>
          <t>NORRBOTTENS LÄN</t>
        </is>
      </c>
      <c r="E308" t="inlineStr">
        <is>
          <t>PAJALA</t>
        </is>
      </c>
      <c r="G308" t="n">
        <v>2.3</v>
      </c>
      <c r="H308" t="n">
        <v>0</v>
      </c>
      <c r="I308" t="n">
        <v>0</v>
      </c>
      <c r="J308" t="n">
        <v>0</v>
      </c>
      <c r="K308" t="n">
        <v>0</v>
      </c>
      <c r="L308" t="n">
        <v>0</v>
      </c>
      <c r="M308" t="n">
        <v>0</v>
      </c>
      <c r="N308" t="n">
        <v>0</v>
      </c>
      <c r="O308" t="n">
        <v>0</v>
      </c>
      <c r="P308" t="n">
        <v>0</v>
      </c>
      <c r="Q308" t="n">
        <v>0</v>
      </c>
      <c r="R308" s="2" t="inlineStr"/>
    </row>
    <row r="309" ht="15" customHeight="1">
      <c r="A309" t="inlineStr">
        <is>
          <t>A 9838-2024</t>
        </is>
      </c>
      <c r="B309" s="1" t="n">
        <v>45362</v>
      </c>
      <c r="C309" s="1" t="n">
        <v>46133</v>
      </c>
      <c r="D309" t="inlineStr">
        <is>
          <t>NORRBOTTENS LÄN</t>
        </is>
      </c>
      <c r="E309" t="inlineStr">
        <is>
          <t>PAJALA</t>
        </is>
      </c>
      <c r="F309" t="inlineStr">
        <is>
          <t>Allmännings- och besparingsskogar</t>
        </is>
      </c>
      <c r="G309" t="n">
        <v>22.5</v>
      </c>
      <c r="H309" t="n">
        <v>0</v>
      </c>
      <c r="I309" t="n">
        <v>0</v>
      </c>
      <c r="J309" t="n">
        <v>0</v>
      </c>
      <c r="K309" t="n">
        <v>0</v>
      </c>
      <c r="L309" t="n">
        <v>0</v>
      </c>
      <c r="M309" t="n">
        <v>0</v>
      </c>
      <c r="N309" t="n">
        <v>0</v>
      </c>
      <c r="O309" t="n">
        <v>0</v>
      </c>
      <c r="P309" t="n">
        <v>0</v>
      </c>
      <c r="Q309" t="n">
        <v>0</v>
      </c>
      <c r="R309" s="2" t="inlineStr"/>
    </row>
    <row r="310" ht="15" customHeight="1">
      <c r="A310" t="inlineStr">
        <is>
          <t>A 45285-2025</t>
        </is>
      </c>
      <c r="B310" s="1" t="n">
        <v>45919</v>
      </c>
      <c r="C310" s="1" t="n">
        <v>46133</v>
      </c>
      <c r="D310" t="inlineStr">
        <is>
          <t>NORRBOTTENS LÄN</t>
        </is>
      </c>
      <c r="E310" t="inlineStr">
        <is>
          <t>PAJALA</t>
        </is>
      </c>
      <c r="G310" t="n">
        <v>1.2</v>
      </c>
      <c r="H310" t="n">
        <v>0</v>
      </c>
      <c r="I310" t="n">
        <v>0</v>
      </c>
      <c r="J310" t="n">
        <v>0</v>
      </c>
      <c r="K310" t="n">
        <v>0</v>
      </c>
      <c r="L310" t="n">
        <v>0</v>
      </c>
      <c r="M310" t="n">
        <v>0</v>
      </c>
      <c r="N310" t="n">
        <v>0</v>
      </c>
      <c r="O310" t="n">
        <v>0</v>
      </c>
      <c r="P310" t="n">
        <v>0</v>
      </c>
      <c r="Q310" t="n">
        <v>0</v>
      </c>
      <c r="R310" s="2" t="inlineStr"/>
    </row>
    <row r="311" ht="15" customHeight="1">
      <c r="A311" t="inlineStr">
        <is>
          <t>A 64047-2025</t>
        </is>
      </c>
      <c r="B311" s="1" t="n">
        <v>46021.57800925926</v>
      </c>
      <c r="C311" s="1" t="n">
        <v>46133</v>
      </c>
      <c r="D311" t="inlineStr">
        <is>
          <t>NORRBOTTENS LÄN</t>
        </is>
      </c>
      <c r="E311" t="inlineStr">
        <is>
          <t>PAJALA</t>
        </is>
      </c>
      <c r="G311" t="n">
        <v>1.9</v>
      </c>
      <c r="H311" t="n">
        <v>0</v>
      </c>
      <c r="I311" t="n">
        <v>0</v>
      </c>
      <c r="J311" t="n">
        <v>0</v>
      </c>
      <c r="K311" t="n">
        <v>0</v>
      </c>
      <c r="L311" t="n">
        <v>0</v>
      </c>
      <c r="M311" t="n">
        <v>0</v>
      </c>
      <c r="N311" t="n">
        <v>0</v>
      </c>
      <c r="O311" t="n">
        <v>0</v>
      </c>
      <c r="P311" t="n">
        <v>0</v>
      </c>
      <c r="Q311" t="n">
        <v>0</v>
      </c>
      <c r="R311" s="2" t="inlineStr"/>
    </row>
    <row r="312" ht="15" customHeight="1">
      <c r="A312" t="inlineStr">
        <is>
          <t>A 42249-2023</t>
        </is>
      </c>
      <c r="B312" s="1" t="n">
        <v>45180.36606481481</v>
      </c>
      <c r="C312" s="1" t="n">
        <v>46133</v>
      </c>
      <c r="D312" t="inlineStr">
        <is>
          <t>NORRBOTTENS LÄN</t>
        </is>
      </c>
      <c r="E312" t="inlineStr">
        <is>
          <t>PAJALA</t>
        </is>
      </c>
      <c r="G312" t="n">
        <v>0.8</v>
      </c>
      <c r="H312" t="n">
        <v>0</v>
      </c>
      <c r="I312" t="n">
        <v>0</v>
      </c>
      <c r="J312" t="n">
        <v>0</v>
      </c>
      <c r="K312" t="n">
        <v>0</v>
      </c>
      <c r="L312" t="n">
        <v>0</v>
      </c>
      <c r="M312" t="n">
        <v>0</v>
      </c>
      <c r="N312" t="n">
        <v>0</v>
      </c>
      <c r="O312" t="n">
        <v>0</v>
      </c>
      <c r="P312" t="n">
        <v>0</v>
      </c>
      <c r="Q312" t="n">
        <v>0</v>
      </c>
      <c r="R312" s="2" t="inlineStr"/>
    </row>
    <row r="313" ht="15" customHeight="1">
      <c r="A313" t="inlineStr">
        <is>
          <t>A 64040-2025</t>
        </is>
      </c>
      <c r="B313" s="1" t="n">
        <v>46021.54148148148</v>
      </c>
      <c r="C313" s="1" t="n">
        <v>46133</v>
      </c>
      <c r="D313" t="inlineStr">
        <is>
          <t>NORRBOTTENS LÄN</t>
        </is>
      </c>
      <c r="E313" t="inlineStr">
        <is>
          <t>PAJALA</t>
        </is>
      </c>
      <c r="G313" t="n">
        <v>6.7</v>
      </c>
      <c r="H313" t="n">
        <v>0</v>
      </c>
      <c r="I313" t="n">
        <v>0</v>
      </c>
      <c r="J313" t="n">
        <v>0</v>
      </c>
      <c r="K313" t="n">
        <v>0</v>
      </c>
      <c r="L313" t="n">
        <v>0</v>
      </c>
      <c r="M313" t="n">
        <v>0</v>
      </c>
      <c r="N313" t="n">
        <v>0</v>
      </c>
      <c r="O313" t="n">
        <v>0</v>
      </c>
      <c r="P313" t="n">
        <v>0</v>
      </c>
      <c r="Q313" t="n">
        <v>0</v>
      </c>
      <c r="R313" s="2" t="inlineStr"/>
    </row>
    <row r="314" ht="15" customHeight="1">
      <c r="A314" t="inlineStr">
        <is>
          <t>A 45106-2025</t>
        </is>
      </c>
      <c r="B314" s="1" t="n">
        <v>45919.4040625</v>
      </c>
      <c r="C314" s="1" t="n">
        <v>46133</v>
      </c>
      <c r="D314" t="inlineStr">
        <is>
          <t>NORRBOTTENS LÄN</t>
        </is>
      </c>
      <c r="E314" t="inlineStr">
        <is>
          <t>PAJALA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44999-2025</t>
        </is>
      </c>
      <c r="B315" s="1" t="n">
        <v>45918.66138888889</v>
      </c>
      <c r="C315" s="1" t="n">
        <v>46133</v>
      </c>
      <c r="D315" t="inlineStr">
        <is>
          <t>NORRBOTTENS LÄN</t>
        </is>
      </c>
      <c r="E315" t="inlineStr">
        <is>
          <t>PAJALA</t>
        </is>
      </c>
      <c r="F315" t="inlineStr">
        <is>
          <t>Sveaskog</t>
        </is>
      </c>
      <c r="G315" t="n">
        <v>14.4</v>
      </c>
      <c r="H315" t="n">
        <v>0</v>
      </c>
      <c r="I315" t="n">
        <v>0</v>
      </c>
      <c r="J315" t="n">
        <v>0</v>
      </c>
      <c r="K315" t="n">
        <v>0</v>
      </c>
      <c r="L315" t="n">
        <v>0</v>
      </c>
      <c r="M315" t="n">
        <v>0</v>
      </c>
      <c r="N315" t="n">
        <v>0</v>
      </c>
      <c r="O315" t="n">
        <v>0</v>
      </c>
      <c r="P315" t="n">
        <v>0</v>
      </c>
      <c r="Q315" t="n">
        <v>0</v>
      </c>
      <c r="R315" s="2" t="inlineStr"/>
    </row>
    <row r="316" ht="15" customHeight="1">
      <c r="A316" t="inlineStr">
        <is>
          <t>A 45799-2025</t>
        </is>
      </c>
      <c r="B316" s="1" t="n">
        <v>45923.5744675926</v>
      </c>
      <c r="C316" s="1" t="n">
        <v>46133</v>
      </c>
      <c r="D316" t="inlineStr">
        <is>
          <t>NORRBOTTENS LÄN</t>
        </is>
      </c>
      <c r="E316" t="inlineStr">
        <is>
          <t>PAJALA</t>
        </is>
      </c>
      <c r="G316" t="n">
        <v>1.4</v>
      </c>
      <c r="H316" t="n">
        <v>0</v>
      </c>
      <c r="I316" t="n">
        <v>0</v>
      </c>
      <c r="J316" t="n">
        <v>0</v>
      </c>
      <c r="K316" t="n">
        <v>0</v>
      </c>
      <c r="L316" t="n">
        <v>0</v>
      </c>
      <c r="M316" t="n">
        <v>0</v>
      </c>
      <c r="N316" t="n">
        <v>0</v>
      </c>
      <c r="O316" t="n">
        <v>0</v>
      </c>
      <c r="P316" t="n">
        <v>0</v>
      </c>
      <c r="Q316" t="n">
        <v>0</v>
      </c>
      <c r="R316" s="2" t="inlineStr"/>
    </row>
    <row r="317" ht="15" customHeight="1">
      <c r="A317" t="inlineStr">
        <is>
          <t>A 63867-2025</t>
        </is>
      </c>
      <c r="B317" s="1" t="n">
        <v>46020.50987268519</v>
      </c>
      <c r="C317" s="1" t="n">
        <v>46133</v>
      </c>
      <c r="D317" t="inlineStr">
        <is>
          <t>NORRBOTTENS LÄN</t>
        </is>
      </c>
      <c r="E317" t="inlineStr">
        <is>
          <t>PAJALA</t>
        </is>
      </c>
      <c r="G317" t="n">
        <v>2.3</v>
      </c>
      <c r="H317" t="n">
        <v>0</v>
      </c>
      <c r="I317" t="n">
        <v>0</v>
      </c>
      <c r="J317" t="n">
        <v>0</v>
      </c>
      <c r="K317" t="n">
        <v>0</v>
      </c>
      <c r="L317" t="n">
        <v>0</v>
      </c>
      <c r="M317" t="n">
        <v>0</v>
      </c>
      <c r="N317" t="n">
        <v>0</v>
      </c>
      <c r="O317" t="n">
        <v>0</v>
      </c>
      <c r="P317" t="n">
        <v>0</v>
      </c>
      <c r="Q317" t="n">
        <v>0</v>
      </c>
      <c r="R317" s="2" t="inlineStr"/>
    </row>
    <row r="318" ht="15" customHeight="1">
      <c r="A318" t="inlineStr">
        <is>
          <t>A 45783-2025</t>
        </is>
      </c>
      <c r="B318" s="1" t="n">
        <v>45923.5582175926</v>
      </c>
      <c r="C318" s="1" t="n">
        <v>46133</v>
      </c>
      <c r="D318" t="inlineStr">
        <is>
          <t>NORRBOTTENS LÄN</t>
        </is>
      </c>
      <c r="E318" t="inlineStr">
        <is>
          <t>PAJALA</t>
        </is>
      </c>
      <c r="G318" t="n">
        <v>8.6</v>
      </c>
      <c r="H318" t="n">
        <v>0</v>
      </c>
      <c r="I318" t="n">
        <v>0</v>
      </c>
      <c r="J318" t="n">
        <v>0</v>
      </c>
      <c r="K318" t="n">
        <v>0</v>
      </c>
      <c r="L318" t="n">
        <v>0</v>
      </c>
      <c r="M318" t="n">
        <v>0</v>
      </c>
      <c r="N318" t="n">
        <v>0</v>
      </c>
      <c r="O318" t="n">
        <v>0</v>
      </c>
      <c r="P318" t="n">
        <v>0</v>
      </c>
      <c r="Q318" t="n">
        <v>0</v>
      </c>
      <c r="R318" s="2" t="inlineStr"/>
    </row>
    <row r="319" ht="15" customHeight="1">
      <c r="A319" t="inlineStr">
        <is>
          <t>A 45591-2025</t>
        </is>
      </c>
      <c r="B319" s="1" t="n">
        <v>45922</v>
      </c>
      <c r="C319" s="1" t="n">
        <v>46133</v>
      </c>
      <c r="D319" t="inlineStr">
        <is>
          <t>NORRBOTTENS LÄN</t>
        </is>
      </c>
      <c r="E319" t="inlineStr">
        <is>
          <t>PAJALA</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32511-2025</t>
        </is>
      </c>
      <c r="B320" s="1" t="n">
        <v>45838.4737962963</v>
      </c>
      <c r="C320" s="1" t="n">
        <v>46133</v>
      </c>
      <c r="D320" t="inlineStr">
        <is>
          <t>NORRBOTTENS LÄN</t>
        </is>
      </c>
      <c r="E320" t="inlineStr">
        <is>
          <t>PAJALA</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28387-2024</t>
        </is>
      </c>
      <c r="B321" s="1" t="n">
        <v>45477.59898148148</v>
      </c>
      <c r="C321" s="1" t="n">
        <v>46133</v>
      </c>
      <c r="D321" t="inlineStr">
        <is>
          <t>NORRBOTTENS LÄN</t>
        </is>
      </c>
      <c r="E321" t="inlineStr">
        <is>
          <t>PAJALA</t>
        </is>
      </c>
      <c r="G321" t="n">
        <v>1.2</v>
      </c>
      <c r="H321" t="n">
        <v>0</v>
      </c>
      <c r="I321" t="n">
        <v>0</v>
      </c>
      <c r="J321" t="n">
        <v>0</v>
      </c>
      <c r="K321" t="n">
        <v>0</v>
      </c>
      <c r="L321" t="n">
        <v>0</v>
      </c>
      <c r="M321" t="n">
        <v>0</v>
      </c>
      <c r="N321" t="n">
        <v>0</v>
      </c>
      <c r="O321" t="n">
        <v>0</v>
      </c>
      <c r="P321" t="n">
        <v>0</v>
      </c>
      <c r="Q321" t="n">
        <v>0</v>
      </c>
      <c r="R321" s="2" t="inlineStr"/>
    </row>
    <row r="322" ht="15" customHeight="1">
      <c r="A322" t="inlineStr">
        <is>
          <t>A 32544-2025</t>
        </is>
      </c>
      <c r="B322" s="1" t="n">
        <v>45838.53458333333</v>
      </c>
      <c r="C322" s="1" t="n">
        <v>46133</v>
      </c>
      <c r="D322" t="inlineStr">
        <is>
          <t>NORRBOTTENS LÄN</t>
        </is>
      </c>
      <c r="E322" t="inlineStr">
        <is>
          <t>PAJALA</t>
        </is>
      </c>
      <c r="F322" t="inlineStr">
        <is>
          <t>Sveaskog</t>
        </is>
      </c>
      <c r="G322" t="n">
        <v>7.1</v>
      </c>
      <c r="H322" t="n">
        <v>0</v>
      </c>
      <c r="I322" t="n">
        <v>0</v>
      </c>
      <c r="J322" t="n">
        <v>0</v>
      </c>
      <c r="K322" t="n">
        <v>0</v>
      </c>
      <c r="L322" t="n">
        <v>0</v>
      </c>
      <c r="M322" t="n">
        <v>0</v>
      </c>
      <c r="N322" t="n">
        <v>0</v>
      </c>
      <c r="O322" t="n">
        <v>0</v>
      </c>
      <c r="P322" t="n">
        <v>0</v>
      </c>
      <c r="Q322" t="n">
        <v>0</v>
      </c>
      <c r="R322" s="2" t="inlineStr"/>
    </row>
    <row r="323" ht="15" customHeight="1">
      <c r="A323" t="inlineStr">
        <is>
          <t>A 45286-2025</t>
        </is>
      </c>
      <c r="B323" s="1" t="n">
        <v>45919.92413194444</v>
      </c>
      <c r="C323" s="1" t="n">
        <v>46133</v>
      </c>
      <c r="D323" t="inlineStr">
        <is>
          <t>NORRBOTTENS LÄN</t>
        </is>
      </c>
      <c r="E323" t="inlineStr">
        <is>
          <t>PAJALA</t>
        </is>
      </c>
      <c r="G323" t="n">
        <v>24.4</v>
      </c>
      <c r="H323" t="n">
        <v>0</v>
      </c>
      <c r="I323" t="n">
        <v>0</v>
      </c>
      <c r="J323" t="n">
        <v>0</v>
      </c>
      <c r="K323" t="n">
        <v>0</v>
      </c>
      <c r="L323" t="n">
        <v>0</v>
      </c>
      <c r="M323" t="n">
        <v>0</v>
      </c>
      <c r="N323" t="n">
        <v>0</v>
      </c>
      <c r="O323" t="n">
        <v>0</v>
      </c>
      <c r="P323" t="n">
        <v>0</v>
      </c>
      <c r="Q323" t="n">
        <v>0</v>
      </c>
      <c r="R323" s="2" t="inlineStr"/>
    </row>
    <row r="324" ht="15" customHeight="1">
      <c r="A324" t="inlineStr">
        <is>
          <t>A 32523-2025</t>
        </is>
      </c>
      <c r="B324" s="1" t="n">
        <v>45838.48664351852</v>
      </c>
      <c r="C324" s="1" t="n">
        <v>46133</v>
      </c>
      <c r="D324" t="inlineStr">
        <is>
          <t>NORRBOTTENS LÄN</t>
        </is>
      </c>
      <c r="E324" t="inlineStr">
        <is>
          <t>PAJALA</t>
        </is>
      </c>
      <c r="F324" t="inlineStr">
        <is>
          <t>Sveaskog</t>
        </is>
      </c>
      <c r="G324" t="n">
        <v>6.7</v>
      </c>
      <c r="H324" t="n">
        <v>0</v>
      </c>
      <c r="I324" t="n">
        <v>0</v>
      </c>
      <c r="J324" t="n">
        <v>0</v>
      </c>
      <c r="K324" t="n">
        <v>0</v>
      </c>
      <c r="L324" t="n">
        <v>0</v>
      </c>
      <c r="M324" t="n">
        <v>0</v>
      </c>
      <c r="N324" t="n">
        <v>0</v>
      </c>
      <c r="O324" t="n">
        <v>0</v>
      </c>
      <c r="P324" t="n">
        <v>0</v>
      </c>
      <c r="Q324" t="n">
        <v>0</v>
      </c>
      <c r="R324" s="2" t="inlineStr"/>
    </row>
    <row r="325" ht="15" customHeight="1">
      <c r="A325" t="inlineStr">
        <is>
          <t>A 31355-2024</t>
        </is>
      </c>
      <c r="B325" s="1" t="n">
        <v>45505</v>
      </c>
      <c r="C325" s="1" t="n">
        <v>46133</v>
      </c>
      <c r="D325" t="inlineStr">
        <is>
          <t>NORRBOTTENS LÄN</t>
        </is>
      </c>
      <c r="E325" t="inlineStr">
        <is>
          <t>PAJALA</t>
        </is>
      </c>
      <c r="G325" t="n">
        <v>0.6</v>
      </c>
      <c r="H325" t="n">
        <v>0</v>
      </c>
      <c r="I325" t="n">
        <v>0</v>
      </c>
      <c r="J325" t="n">
        <v>0</v>
      </c>
      <c r="K325" t="n">
        <v>0</v>
      </c>
      <c r="L325" t="n">
        <v>0</v>
      </c>
      <c r="M325" t="n">
        <v>0</v>
      </c>
      <c r="N325" t="n">
        <v>0</v>
      </c>
      <c r="O325" t="n">
        <v>0</v>
      </c>
      <c r="P325" t="n">
        <v>0</v>
      </c>
      <c r="Q325" t="n">
        <v>0</v>
      </c>
      <c r="R325" s="2" t="inlineStr"/>
    </row>
    <row r="326" ht="15" customHeight="1">
      <c r="A326" t="inlineStr">
        <is>
          <t>A 15570-2024</t>
        </is>
      </c>
      <c r="B326" s="1" t="n">
        <v>45401</v>
      </c>
      <c r="C326" s="1" t="n">
        <v>46133</v>
      </c>
      <c r="D326" t="inlineStr">
        <is>
          <t>NORRBOTTENS LÄN</t>
        </is>
      </c>
      <c r="E326" t="inlineStr">
        <is>
          <t>PAJALA</t>
        </is>
      </c>
      <c r="F326" t="inlineStr">
        <is>
          <t>Allmännings- och besparingsskogar</t>
        </is>
      </c>
      <c r="G326" t="n">
        <v>22.1</v>
      </c>
      <c r="H326" t="n">
        <v>0</v>
      </c>
      <c r="I326" t="n">
        <v>0</v>
      </c>
      <c r="J326" t="n">
        <v>0</v>
      </c>
      <c r="K326" t="n">
        <v>0</v>
      </c>
      <c r="L326" t="n">
        <v>0</v>
      </c>
      <c r="M326" t="n">
        <v>0</v>
      </c>
      <c r="N326" t="n">
        <v>0</v>
      </c>
      <c r="O326" t="n">
        <v>0</v>
      </c>
      <c r="P326" t="n">
        <v>0</v>
      </c>
      <c r="Q326" t="n">
        <v>0</v>
      </c>
      <c r="R326" s="2" t="inlineStr"/>
    </row>
    <row r="327" ht="15" customHeight="1">
      <c r="A327" t="inlineStr">
        <is>
          <t>A 33241-2025</t>
        </is>
      </c>
      <c r="B327" s="1" t="n">
        <v>45840</v>
      </c>
      <c r="C327" s="1" t="n">
        <v>46133</v>
      </c>
      <c r="D327" t="inlineStr">
        <is>
          <t>NORRBOTTENS LÄN</t>
        </is>
      </c>
      <c r="E327" t="inlineStr">
        <is>
          <t>PAJALA</t>
        </is>
      </c>
      <c r="F327" t="inlineStr">
        <is>
          <t>Allmännings- och besparingsskogar</t>
        </is>
      </c>
      <c r="G327" t="n">
        <v>22.8</v>
      </c>
      <c r="H327" t="n">
        <v>0</v>
      </c>
      <c r="I327" t="n">
        <v>0</v>
      </c>
      <c r="J327" t="n">
        <v>0</v>
      </c>
      <c r="K327" t="n">
        <v>0</v>
      </c>
      <c r="L327" t="n">
        <v>0</v>
      </c>
      <c r="M327" t="n">
        <v>0</v>
      </c>
      <c r="N327" t="n">
        <v>0</v>
      </c>
      <c r="O327" t="n">
        <v>0</v>
      </c>
      <c r="P327" t="n">
        <v>0</v>
      </c>
      <c r="Q327" t="n">
        <v>0</v>
      </c>
      <c r="R327" s="2" t="inlineStr"/>
    </row>
    <row r="328" ht="15" customHeight="1">
      <c r="A328" t="inlineStr">
        <is>
          <t>A 33689-2025</t>
        </is>
      </c>
      <c r="B328" s="1" t="n">
        <v>45841.69265046297</v>
      </c>
      <c r="C328" s="1" t="n">
        <v>46133</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27099-2024</t>
        </is>
      </c>
      <c r="B329" s="1" t="n">
        <v>45471.48976851852</v>
      </c>
      <c r="C329" s="1" t="n">
        <v>46133</v>
      </c>
      <c r="D329" t="inlineStr">
        <is>
          <t>NORRBOTTENS LÄN</t>
        </is>
      </c>
      <c r="E329" t="inlineStr">
        <is>
          <t>PAJALA</t>
        </is>
      </c>
      <c r="F329" t="inlineStr">
        <is>
          <t>Sveaskog</t>
        </is>
      </c>
      <c r="G329" t="n">
        <v>16.3</v>
      </c>
      <c r="H329" t="n">
        <v>0</v>
      </c>
      <c r="I329" t="n">
        <v>0</v>
      </c>
      <c r="J329" t="n">
        <v>0</v>
      </c>
      <c r="K329" t="n">
        <v>0</v>
      </c>
      <c r="L329" t="n">
        <v>0</v>
      </c>
      <c r="M329" t="n">
        <v>0</v>
      </c>
      <c r="N329" t="n">
        <v>0</v>
      </c>
      <c r="O329" t="n">
        <v>0</v>
      </c>
      <c r="P329" t="n">
        <v>0</v>
      </c>
      <c r="Q329" t="n">
        <v>0</v>
      </c>
      <c r="R329" s="2" t="inlineStr"/>
    </row>
    <row r="330" ht="15" customHeight="1">
      <c r="A330" t="inlineStr">
        <is>
          <t>A 33248-2025</t>
        </is>
      </c>
      <c r="B330" s="1" t="n">
        <v>45840</v>
      </c>
      <c r="C330" s="1" t="n">
        <v>46133</v>
      </c>
      <c r="D330" t="inlineStr">
        <is>
          <t>NORRBOTTENS LÄN</t>
        </is>
      </c>
      <c r="E330" t="inlineStr">
        <is>
          <t>PAJALA</t>
        </is>
      </c>
      <c r="F330" t="inlineStr">
        <is>
          <t>Allmännings- och besparingsskogar</t>
        </is>
      </c>
      <c r="G330" t="n">
        <v>24.2</v>
      </c>
      <c r="H330" t="n">
        <v>0</v>
      </c>
      <c r="I330" t="n">
        <v>0</v>
      </c>
      <c r="J330" t="n">
        <v>0</v>
      </c>
      <c r="K330" t="n">
        <v>0</v>
      </c>
      <c r="L330" t="n">
        <v>0</v>
      </c>
      <c r="M330" t="n">
        <v>0</v>
      </c>
      <c r="N330" t="n">
        <v>0</v>
      </c>
      <c r="O330" t="n">
        <v>0</v>
      </c>
      <c r="P330" t="n">
        <v>0</v>
      </c>
      <c r="Q330" t="n">
        <v>0</v>
      </c>
      <c r="R330" s="2" t="inlineStr"/>
    </row>
    <row r="331" ht="15" customHeight="1">
      <c r="A331" t="inlineStr">
        <is>
          <t>A 22097-2024</t>
        </is>
      </c>
      <c r="B331" s="1" t="n">
        <v>45443.91856481481</v>
      </c>
      <c r="C331" s="1" t="n">
        <v>46133</v>
      </c>
      <c r="D331" t="inlineStr">
        <is>
          <t>NORRBOTTENS LÄN</t>
        </is>
      </c>
      <c r="E331" t="inlineStr">
        <is>
          <t>PAJALA</t>
        </is>
      </c>
      <c r="G331" t="n">
        <v>1.5</v>
      </c>
      <c r="H331" t="n">
        <v>0</v>
      </c>
      <c r="I331" t="n">
        <v>0</v>
      </c>
      <c r="J331" t="n">
        <v>0</v>
      </c>
      <c r="K331" t="n">
        <v>0</v>
      </c>
      <c r="L331" t="n">
        <v>0</v>
      </c>
      <c r="M331" t="n">
        <v>0</v>
      </c>
      <c r="N331" t="n">
        <v>0</v>
      </c>
      <c r="O331" t="n">
        <v>0</v>
      </c>
      <c r="P331" t="n">
        <v>0</v>
      </c>
      <c r="Q331" t="n">
        <v>0</v>
      </c>
      <c r="R331" s="2" t="inlineStr"/>
    </row>
    <row r="332" ht="15" customHeight="1">
      <c r="A332" t="inlineStr">
        <is>
          <t>A 46490-2025</t>
        </is>
      </c>
      <c r="B332" s="1" t="n">
        <v>45925</v>
      </c>
      <c r="C332" s="1" t="n">
        <v>46133</v>
      </c>
      <c r="D332" t="inlineStr">
        <is>
          <t>NORRBOTTENS LÄN</t>
        </is>
      </c>
      <c r="E332" t="inlineStr">
        <is>
          <t>PAJALA</t>
        </is>
      </c>
      <c r="G332" t="n">
        <v>3.8</v>
      </c>
      <c r="H332" t="n">
        <v>0</v>
      </c>
      <c r="I332" t="n">
        <v>0</v>
      </c>
      <c r="J332" t="n">
        <v>0</v>
      </c>
      <c r="K332" t="n">
        <v>0</v>
      </c>
      <c r="L332" t="n">
        <v>0</v>
      </c>
      <c r="M332" t="n">
        <v>0</v>
      </c>
      <c r="N332" t="n">
        <v>0</v>
      </c>
      <c r="O332" t="n">
        <v>0</v>
      </c>
      <c r="P332" t="n">
        <v>0</v>
      </c>
      <c r="Q332" t="n">
        <v>0</v>
      </c>
      <c r="R332" s="2" t="inlineStr"/>
    </row>
    <row r="333" ht="15" customHeight="1">
      <c r="A333" t="inlineStr">
        <is>
          <t>A 34092-2025</t>
        </is>
      </c>
      <c r="B333" s="1" t="n">
        <v>45845.47767361111</v>
      </c>
      <c r="C333" s="1" t="n">
        <v>46133</v>
      </c>
      <c r="D333" t="inlineStr">
        <is>
          <t>NORRBOTTENS LÄN</t>
        </is>
      </c>
      <c r="E333" t="inlineStr">
        <is>
          <t>PAJALA</t>
        </is>
      </c>
      <c r="F333" t="inlineStr">
        <is>
          <t>Sveaskog</t>
        </is>
      </c>
      <c r="G333" t="n">
        <v>19.2</v>
      </c>
      <c r="H333" t="n">
        <v>0</v>
      </c>
      <c r="I333" t="n">
        <v>0</v>
      </c>
      <c r="J333" t="n">
        <v>0</v>
      </c>
      <c r="K333" t="n">
        <v>0</v>
      </c>
      <c r="L333" t="n">
        <v>0</v>
      </c>
      <c r="M333" t="n">
        <v>0</v>
      </c>
      <c r="N333" t="n">
        <v>0</v>
      </c>
      <c r="O333" t="n">
        <v>0</v>
      </c>
      <c r="P333" t="n">
        <v>0</v>
      </c>
      <c r="Q333" t="n">
        <v>0</v>
      </c>
      <c r="R333" s="2" t="inlineStr"/>
    </row>
    <row r="334" ht="15" customHeight="1">
      <c r="A334" t="inlineStr">
        <is>
          <t>A 47051-2024</t>
        </is>
      </c>
      <c r="B334" s="1" t="n">
        <v>45585</v>
      </c>
      <c r="C334" s="1" t="n">
        <v>46133</v>
      </c>
      <c r="D334" t="inlineStr">
        <is>
          <t>NORRBOTTENS LÄN</t>
        </is>
      </c>
      <c r="E334" t="inlineStr">
        <is>
          <t>PAJALA</t>
        </is>
      </c>
      <c r="G334" t="n">
        <v>5.8</v>
      </c>
      <c r="H334" t="n">
        <v>0</v>
      </c>
      <c r="I334" t="n">
        <v>0</v>
      </c>
      <c r="J334" t="n">
        <v>0</v>
      </c>
      <c r="K334" t="n">
        <v>0</v>
      </c>
      <c r="L334" t="n">
        <v>0</v>
      </c>
      <c r="M334" t="n">
        <v>0</v>
      </c>
      <c r="N334" t="n">
        <v>0</v>
      </c>
      <c r="O334" t="n">
        <v>0</v>
      </c>
      <c r="P334" t="n">
        <v>0</v>
      </c>
      <c r="Q334" t="n">
        <v>0</v>
      </c>
      <c r="R334" s="2" t="inlineStr"/>
    </row>
    <row r="335" ht="15" customHeight="1">
      <c r="A335" t="inlineStr">
        <is>
          <t>A 2925-2023</t>
        </is>
      </c>
      <c r="B335" s="1" t="n">
        <v>44945</v>
      </c>
      <c r="C335" s="1" t="n">
        <v>46133</v>
      </c>
      <c r="D335" t="inlineStr">
        <is>
          <t>NORRBOTTENS LÄN</t>
        </is>
      </c>
      <c r="E335" t="inlineStr">
        <is>
          <t>PAJALA</t>
        </is>
      </c>
      <c r="G335" t="n">
        <v>20.2</v>
      </c>
      <c r="H335" t="n">
        <v>0</v>
      </c>
      <c r="I335" t="n">
        <v>0</v>
      </c>
      <c r="J335" t="n">
        <v>0</v>
      </c>
      <c r="K335" t="n">
        <v>0</v>
      </c>
      <c r="L335" t="n">
        <v>0</v>
      </c>
      <c r="M335" t="n">
        <v>0</v>
      </c>
      <c r="N335" t="n">
        <v>0</v>
      </c>
      <c r="O335" t="n">
        <v>0</v>
      </c>
      <c r="P335" t="n">
        <v>0</v>
      </c>
      <c r="Q335" t="n">
        <v>0</v>
      </c>
      <c r="R335" s="2" t="inlineStr"/>
    </row>
    <row r="336" ht="15" customHeight="1">
      <c r="A336" t="inlineStr">
        <is>
          <t>A 182-2026</t>
        </is>
      </c>
      <c r="B336" s="1" t="n">
        <v>46025</v>
      </c>
      <c r="C336" s="1" t="n">
        <v>46133</v>
      </c>
      <c r="D336" t="inlineStr">
        <is>
          <t>NORRBOTTENS LÄN</t>
        </is>
      </c>
      <c r="E336" t="inlineStr">
        <is>
          <t>PAJALA</t>
        </is>
      </c>
      <c r="G336" t="n">
        <v>2.5</v>
      </c>
      <c r="H336" t="n">
        <v>0</v>
      </c>
      <c r="I336" t="n">
        <v>0</v>
      </c>
      <c r="J336" t="n">
        <v>0</v>
      </c>
      <c r="K336" t="n">
        <v>0</v>
      </c>
      <c r="L336" t="n">
        <v>0</v>
      </c>
      <c r="M336" t="n">
        <v>0</v>
      </c>
      <c r="N336" t="n">
        <v>0</v>
      </c>
      <c r="O336" t="n">
        <v>0</v>
      </c>
      <c r="P336" t="n">
        <v>0</v>
      </c>
      <c r="Q336" t="n">
        <v>0</v>
      </c>
      <c r="R336" s="2" t="inlineStr"/>
    </row>
    <row r="337" ht="15" customHeight="1">
      <c r="A337" t="inlineStr">
        <is>
          <t>A 183-2026</t>
        </is>
      </c>
      <c r="B337" s="1" t="n">
        <v>46025</v>
      </c>
      <c r="C337" s="1" t="n">
        <v>46133</v>
      </c>
      <c r="D337" t="inlineStr">
        <is>
          <t>NORRBOTTENS LÄN</t>
        </is>
      </c>
      <c r="E337" t="inlineStr">
        <is>
          <t>PAJALA</t>
        </is>
      </c>
      <c r="G337" t="n">
        <v>4.9</v>
      </c>
      <c r="H337" t="n">
        <v>0</v>
      </c>
      <c r="I337" t="n">
        <v>0</v>
      </c>
      <c r="J337" t="n">
        <v>0</v>
      </c>
      <c r="K337" t="n">
        <v>0</v>
      </c>
      <c r="L337" t="n">
        <v>0</v>
      </c>
      <c r="M337" t="n">
        <v>0</v>
      </c>
      <c r="N337" t="n">
        <v>0</v>
      </c>
      <c r="O337" t="n">
        <v>0</v>
      </c>
      <c r="P337" t="n">
        <v>0</v>
      </c>
      <c r="Q337" t="n">
        <v>0</v>
      </c>
      <c r="R337" s="2" t="inlineStr"/>
    </row>
    <row r="338" ht="15" customHeight="1">
      <c r="A338" t="inlineStr">
        <is>
          <t>A 46307-2025</t>
        </is>
      </c>
      <c r="B338" s="1" t="n">
        <v>45925</v>
      </c>
      <c r="C338" s="1" t="n">
        <v>46133</v>
      </c>
      <c r="D338" t="inlineStr">
        <is>
          <t>NORRBOTTENS LÄN</t>
        </is>
      </c>
      <c r="E338" t="inlineStr">
        <is>
          <t>PAJALA</t>
        </is>
      </c>
      <c r="G338" t="n">
        <v>23.8</v>
      </c>
      <c r="H338" t="n">
        <v>0</v>
      </c>
      <c r="I338" t="n">
        <v>0</v>
      </c>
      <c r="J338" t="n">
        <v>0</v>
      </c>
      <c r="K338" t="n">
        <v>0</v>
      </c>
      <c r="L338" t="n">
        <v>0</v>
      </c>
      <c r="M338" t="n">
        <v>0</v>
      </c>
      <c r="N338" t="n">
        <v>0</v>
      </c>
      <c r="O338" t="n">
        <v>0</v>
      </c>
      <c r="P338" t="n">
        <v>0</v>
      </c>
      <c r="Q338" t="n">
        <v>0</v>
      </c>
      <c r="R338" s="2" t="inlineStr"/>
    </row>
    <row r="339" ht="15" customHeight="1">
      <c r="A339" t="inlineStr">
        <is>
          <t>A 36894-2023</t>
        </is>
      </c>
      <c r="B339" s="1" t="n">
        <v>45154</v>
      </c>
      <c r="C339" s="1" t="n">
        <v>46133</v>
      </c>
      <c r="D339" t="inlineStr">
        <is>
          <t>NORRBOTTENS LÄN</t>
        </is>
      </c>
      <c r="E339" t="inlineStr">
        <is>
          <t>PAJALA</t>
        </is>
      </c>
      <c r="G339" t="n">
        <v>4.4</v>
      </c>
      <c r="H339" t="n">
        <v>0</v>
      </c>
      <c r="I339" t="n">
        <v>0</v>
      </c>
      <c r="J339" t="n">
        <v>0</v>
      </c>
      <c r="K339" t="n">
        <v>0</v>
      </c>
      <c r="L339" t="n">
        <v>0</v>
      </c>
      <c r="M339" t="n">
        <v>0</v>
      </c>
      <c r="N339" t="n">
        <v>0</v>
      </c>
      <c r="O339" t="n">
        <v>0</v>
      </c>
      <c r="P339" t="n">
        <v>0</v>
      </c>
      <c r="Q339" t="n">
        <v>0</v>
      </c>
      <c r="R339" s="2" t="inlineStr"/>
    </row>
    <row r="340" ht="15" customHeight="1">
      <c r="A340" t="inlineStr">
        <is>
          <t>A 46491-2025</t>
        </is>
      </c>
      <c r="B340" s="1" t="n">
        <v>45925</v>
      </c>
      <c r="C340" s="1" t="n">
        <v>46133</v>
      </c>
      <c r="D340" t="inlineStr">
        <is>
          <t>NORRBOTTENS LÄN</t>
        </is>
      </c>
      <c r="E340" t="inlineStr">
        <is>
          <t>PAJALA</t>
        </is>
      </c>
      <c r="G340" t="n">
        <v>50.7</v>
      </c>
      <c r="H340" t="n">
        <v>0</v>
      </c>
      <c r="I340" t="n">
        <v>0</v>
      </c>
      <c r="J340" t="n">
        <v>0</v>
      </c>
      <c r="K340" t="n">
        <v>0</v>
      </c>
      <c r="L340" t="n">
        <v>0</v>
      </c>
      <c r="M340" t="n">
        <v>0</v>
      </c>
      <c r="N340" t="n">
        <v>0</v>
      </c>
      <c r="O340" t="n">
        <v>0</v>
      </c>
      <c r="P340" t="n">
        <v>0</v>
      </c>
      <c r="Q340" t="n">
        <v>0</v>
      </c>
      <c r="R340" s="2" t="inlineStr"/>
    </row>
    <row r="341" ht="15" customHeight="1">
      <c r="A341" t="inlineStr">
        <is>
          <t>A 46398-2025</t>
        </is>
      </c>
      <c r="B341" s="1" t="n">
        <v>45925</v>
      </c>
      <c r="C341" s="1" t="n">
        <v>46133</v>
      </c>
      <c r="D341" t="inlineStr">
        <is>
          <t>NORRBOTTENS LÄN</t>
        </is>
      </c>
      <c r="E341" t="inlineStr">
        <is>
          <t>PAJALA</t>
        </is>
      </c>
      <c r="G341" t="n">
        <v>0.4</v>
      </c>
      <c r="H341" t="n">
        <v>0</v>
      </c>
      <c r="I341" t="n">
        <v>0</v>
      </c>
      <c r="J341" t="n">
        <v>0</v>
      </c>
      <c r="K341" t="n">
        <v>0</v>
      </c>
      <c r="L341" t="n">
        <v>0</v>
      </c>
      <c r="M341" t="n">
        <v>0</v>
      </c>
      <c r="N341" t="n">
        <v>0</v>
      </c>
      <c r="O341" t="n">
        <v>0</v>
      </c>
      <c r="P341" t="n">
        <v>0</v>
      </c>
      <c r="Q341" t="n">
        <v>0</v>
      </c>
      <c r="R341" s="2" t="inlineStr"/>
    </row>
    <row r="342" ht="15" customHeight="1">
      <c r="A342" t="inlineStr">
        <is>
          <t>A 1039-2026</t>
        </is>
      </c>
      <c r="B342" s="1" t="n">
        <v>46029</v>
      </c>
      <c r="C342" s="1" t="n">
        <v>46133</v>
      </c>
      <c r="D342" t="inlineStr">
        <is>
          <t>NORRBOTTENS LÄN</t>
        </is>
      </c>
      <c r="E342" t="inlineStr">
        <is>
          <t>PAJALA</t>
        </is>
      </c>
      <c r="F342" t="inlineStr">
        <is>
          <t>Allmännings- och besparingsskogar</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1044-2026</t>
        </is>
      </c>
      <c r="B343" s="1" t="n">
        <v>46029</v>
      </c>
      <c r="C343" s="1" t="n">
        <v>46133</v>
      </c>
      <c r="D343" t="inlineStr">
        <is>
          <t>NORRBOTTENS LÄN</t>
        </is>
      </c>
      <c r="E343" t="inlineStr">
        <is>
          <t>PAJALA</t>
        </is>
      </c>
      <c r="F343" t="inlineStr">
        <is>
          <t>Allmännings- och besparingsskogar</t>
        </is>
      </c>
      <c r="G343" t="n">
        <v>9.4</v>
      </c>
      <c r="H343" t="n">
        <v>0</v>
      </c>
      <c r="I343" t="n">
        <v>0</v>
      </c>
      <c r="J343" t="n">
        <v>0</v>
      </c>
      <c r="K343" t="n">
        <v>0</v>
      </c>
      <c r="L343" t="n">
        <v>0</v>
      </c>
      <c r="M343" t="n">
        <v>0</v>
      </c>
      <c r="N343" t="n">
        <v>0</v>
      </c>
      <c r="O343" t="n">
        <v>0</v>
      </c>
      <c r="P343" t="n">
        <v>0</v>
      </c>
      <c r="Q343" t="n">
        <v>0</v>
      </c>
      <c r="R343" s="2" t="inlineStr"/>
    </row>
    <row r="344" ht="15" customHeight="1">
      <c r="A344" t="inlineStr">
        <is>
          <t>A 5729-2024</t>
        </is>
      </c>
      <c r="B344" s="1" t="n">
        <v>45334.9308912037</v>
      </c>
      <c r="C344" s="1" t="n">
        <v>46133</v>
      </c>
      <c r="D344" t="inlineStr">
        <is>
          <t>NORRBOTTENS LÄN</t>
        </is>
      </c>
      <c r="E344" t="inlineStr">
        <is>
          <t>PAJALA</t>
        </is>
      </c>
      <c r="G344" t="n">
        <v>22.5</v>
      </c>
      <c r="H344" t="n">
        <v>0</v>
      </c>
      <c r="I344" t="n">
        <v>0</v>
      </c>
      <c r="J344" t="n">
        <v>0</v>
      </c>
      <c r="K344" t="n">
        <v>0</v>
      </c>
      <c r="L344" t="n">
        <v>0</v>
      </c>
      <c r="M344" t="n">
        <v>0</v>
      </c>
      <c r="N344" t="n">
        <v>0</v>
      </c>
      <c r="O344" t="n">
        <v>0</v>
      </c>
      <c r="P344" t="n">
        <v>0</v>
      </c>
      <c r="Q344" t="n">
        <v>0</v>
      </c>
      <c r="R344" s="2" t="inlineStr"/>
    </row>
    <row r="345" ht="15" customHeight="1">
      <c r="A345" t="inlineStr">
        <is>
          <t>A 563-2026</t>
        </is>
      </c>
      <c r="B345" s="1" t="n">
        <v>46029</v>
      </c>
      <c r="C345" s="1" t="n">
        <v>46133</v>
      </c>
      <c r="D345" t="inlineStr">
        <is>
          <t>NORRBOTTENS LÄN</t>
        </is>
      </c>
      <c r="E345" t="inlineStr">
        <is>
          <t>PAJALA</t>
        </is>
      </c>
      <c r="G345" t="n">
        <v>0.2</v>
      </c>
      <c r="H345" t="n">
        <v>0</v>
      </c>
      <c r="I345" t="n">
        <v>0</v>
      </c>
      <c r="J345" t="n">
        <v>0</v>
      </c>
      <c r="K345" t="n">
        <v>0</v>
      </c>
      <c r="L345" t="n">
        <v>0</v>
      </c>
      <c r="M345" t="n">
        <v>0</v>
      </c>
      <c r="N345" t="n">
        <v>0</v>
      </c>
      <c r="O345" t="n">
        <v>0</v>
      </c>
      <c r="P345" t="n">
        <v>0</v>
      </c>
      <c r="Q345" t="n">
        <v>0</v>
      </c>
      <c r="R345" s="2" t="inlineStr"/>
    </row>
    <row r="346" ht="15" customHeight="1">
      <c r="A346" t="inlineStr">
        <is>
          <t>A 1094-2026</t>
        </is>
      </c>
      <c r="B346" s="1" t="n">
        <v>46029</v>
      </c>
      <c r="C346" s="1" t="n">
        <v>46133</v>
      </c>
      <c r="D346" t="inlineStr">
        <is>
          <t>NORRBOTTENS LÄN</t>
        </is>
      </c>
      <c r="E346" t="inlineStr">
        <is>
          <t>PAJALA</t>
        </is>
      </c>
      <c r="F346" t="inlineStr">
        <is>
          <t>Allmännings- och besparingsskogar</t>
        </is>
      </c>
      <c r="G346" t="n">
        <v>2.1</v>
      </c>
      <c r="H346" t="n">
        <v>0</v>
      </c>
      <c r="I346" t="n">
        <v>0</v>
      </c>
      <c r="J346" t="n">
        <v>0</v>
      </c>
      <c r="K346" t="n">
        <v>0</v>
      </c>
      <c r="L346" t="n">
        <v>0</v>
      </c>
      <c r="M346" t="n">
        <v>0</v>
      </c>
      <c r="N346" t="n">
        <v>0</v>
      </c>
      <c r="O346" t="n">
        <v>0</v>
      </c>
      <c r="P346" t="n">
        <v>0</v>
      </c>
      <c r="Q346" t="n">
        <v>0</v>
      </c>
      <c r="R346" s="2" t="inlineStr"/>
    </row>
    <row r="347" ht="15" customHeight="1">
      <c r="A347" t="inlineStr">
        <is>
          <t>A 1058-2026</t>
        </is>
      </c>
      <c r="B347" s="1" t="n">
        <v>46029</v>
      </c>
      <c r="C347" s="1" t="n">
        <v>46133</v>
      </c>
      <c r="D347" t="inlineStr">
        <is>
          <t>NORRBOTTENS LÄN</t>
        </is>
      </c>
      <c r="E347" t="inlineStr">
        <is>
          <t>PAJALA</t>
        </is>
      </c>
      <c r="F347" t="inlineStr">
        <is>
          <t>Allmännings- och besparingsskogar</t>
        </is>
      </c>
      <c r="G347" t="n">
        <v>12.2</v>
      </c>
      <c r="H347" t="n">
        <v>0</v>
      </c>
      <c r="I347" t="n">
        <v>0</v>
      </c>
      <c r="J347" t="n">
        <v>0</v>
      </c>
      <c r="K347" t="n">
        <v>0</v>
      </c>
      <c r="L347" t="n">
        <v>0</v>
      </c>
      <c r="M347" t="n">
        <v>0</v>
      </c>
      <c r="N347" t="n">
        <v>0</v>
      </c>
      <c r="O347" t="n">
        <v>0</v>
      </c>
      <c r="P347" t="n">
        <v>0</v>
      </c>
      <c r="Q347" t="n">
        <v>0</v>
      </c>
      <c r="R347" s="2" t="inlineStr"/>
    </row>
    <row r="348" ht="15" customHeight="1">
      <c r="A348" t="inlineStr">
        <is>
          <t>A 1052-2026</t>
        </is>
      </c>
      <c r="B348" s="1" t="n">
        <v>46029</v>
      </c>
      <c r="C348" s="1" t="n">
        <v>46133</v>
      </c>
      <c r="D348" t="inlineStr">
        <is>
          <t>NORRBOTTENS LÄN</t>
        </is>
      </c>
      <c r="E348" t="inlineStr">
        <is>
          <t>PAJALA</t>
        </is>
      </c>
      <c r="F348" t="inlineStr">
        <is>
          <t>Allmännings- och besparingsskogar</t>
        </is>
      </c>
      <c r="G348" t="n">
        <v>2.7</v>
      </c>
      <c r="H348" t="n">
        <v>0</v>
      </c>
      <c r="I348" t="n">
        <v>0</v>
      </c>
      <c r="J348" t="n">
        <v>0</v>
      </c>
      <c r="K348" t="n">
        <v>0</v>
      </c>
      <c r="L348" t="n">
        <v>0</v>
      </c>
      <c r="M348" t="n">
        <v>0</v>
      </c>
      <c r="N348" t="n">
        <v>0</v>
      </c>
      <c r="O348" t="n">
        <v>0</v>
      </c>
      <c r="P348" t="n">
        <v>0</v>
      </c>
      <c r="Q348" t="n">
        <v>0</v>
      </c>
      <c r="R348" s="2" t="inlineStr"/>
    </row>
    <row r="349" ht="15" customHeight="1">
      <c r="A349" t="inlineStr">
        <is>
          <t>A 34853-2025</t>
        </is>
      </c>
      <c r="B349" s="1" t="n">
        <v>45849.42799768518</v>
      </c>
      <c r="C349" s="1" t="n">
        <v>46133</v>
      </c>
      <c r="D349" t="inlineStr">
        <is>
          <t>NORRBOTTENS LÄN</t>
        </is>
      </c>
      <c r="E349" t="inlineStr">
        <is>
          <t>PAJALA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1185-2026</t>
        </is>
      </c>
      <c r="B350" s="1" t="n">
        <v>46031.36267361111</v>
      </c>
      <c r="C350" s="1" t="n">
        <v>46133</v>
      </c>
      <c r="D350" t="inlineStr">
        <is>
          <t>NORRBOTTENS LÄN</t>
        </is>
      </c>
      <c r="E350" t="inlineStr">
        <is>
          <t>PAJALA</t>
        </is>
      </c>
      <c r="G350" t="n">
        <v>7.8</v>
      </c>
      <c r="H350" t="n">
        <v>0</v>
      </c>
      <c r="I350" t="n">
        <v>0</v>
      </c>
      <c r="J350" t="n">
        <v>0</v>
      </c>
      <c r="K350" t="n">
        <v>0</v>
      </c>
      <c r="L350" t="n">
        <v>0</v>
      </c>
      <c r="M350" t="n">
        <v>0</v>
      </c>
      <c r="N350" t="n">
        <v>0</v>
      </c>
      <c r="O350" t="n">
        <v>0</v>
      </c>
      <c r="P350" t="n">
        <v>0</v>
      </c>
      <c r="Q350" t="n">
        <v>0</v>
      </c>
      <c r="R350" s="2" t="inlineStr"/>
    </row>
    <row r="351" ht="15" customHeight="1">
      <c r="A351" t="inlineStr">
        <is>
          <t>A 1163-2026</t>
        </is>
      </c>
      <c r="B351" s="1" t="n">
        <v>46031.34038194444</v>
      </c>
      <c r="C351" s="1" t="n">
        <v>46133</v>
      </c>
      <c r="D351" t="inlineStr">
        <is>
          <t>NORRBOTTENS LÄN</t>
        </is>
      </c>
      <c r="E351" t="inlineStr">
        <is>
          <t>PAJALA</t>
        </is>
      </c>
      <c r="G351" t="n">
        <v>5.5</v>
      </c>
      <c r="H351" t="n">
        <v>0</v>
      </c>
      <c r="I351" t="n">
        <v>0</v>
      </c>
      <c r="J351" t="n">
        <v>0</v>
      </c>
      <c r="K351" t="n">
        <v>0</v>
      </c>
      <c r="L351" t="n">
        <v>0</v>
      </c>
      <c r="M351" t="n">
        <v>0</v>
      </c>
      <c r="N351" t="n">
        <v>0</v>
      </c>
      <c r="O351" t="n">
        <v>0</v>
      </c>
      <c r="P351" t="n">
        <v>0</v>
      </c>
      <c r="Q351" t="n">
        <v>0</v>
      </c>
      <c r="R351" s="2" t="inlineStr"/>
    </row>
    <row r="352" ht="15" customHeight="1">
      <c r="A352" t="inlineStr">
        <is>
          <t>A 1193-2026</t>
        </is>
      </c>
      <c r="B352" s="1" t="n">
        <v>46031.36753472222</v>
      </c>
      <c r="C352" s="1" t="n">
        <v>46133</v>
      </c>
      <c r="D352" t="inlineStr">
        <is>
          <t>NORRBOTTENS LÄN</t>
        </is>
      </c>
      <c r="E352" t="inlineStr">
        <is>
          <t>PAJALA</t>
        </is>
      </c>
      <c r="G352" t="n">
        <v>1.4</v>
      </c>
      <c r="H352" t="n">
        <v>0</v>
      </c>
      <c r="I352" t="n">
        <v>0</v>
      </c>
      <c r="J352" t="n">
        <v>0</v>
      </c>
      <c r="K352" t="n">
        <v>0</v>
      </c>
      <c r="L352" t="n">
        <v>0</v>
      </c>
      <c r="M352" t="n">
        <v>0</v>
      </c>
      <c r="N352" t="n">
        <v>0</v>
      </c>
      <c r="O352" t="n">
        <v>0</v>
      </c>
      <c r="P352" t="n">
        <v>0</v>
      </c>
      <c r="Q352" t="n">
        <v>0</v>
      </c>
      <c r="R352" s="2" t="inlineStr"/>
    </row>
    <row r="353" ht="15" customHeight="1">
      <c r="A353" t="inlineStr">
        <is>
          <t>A 1079-2026</t>
        </is>
      </c>
      <c r="B353" s="1" t="n">
        <v>46030</v>
      </c>
      <c r="C353" s="1" t="n">
        <v>46133</v>
      </c>
      <c r="D353" t="inlineStr">
        <is>
          <t>NORRBOTTENS LÄN</t>
        </is>
      </c>
      <c r="E353" t="inlineStr">
        <is>
          <t>PAJALA</t>
        </is>
      </c>
      <c r="G353" t="n">
        <v>2</v>
      </c>
      <c r="H353" t="n">
        <v>0</v>
      </c>
      <c r="I353" t="n">
        <v>0</v>
      </c>
      <c r="J353" t="n">
        <v>0</v>
      </c>
      <c r="K353" t="n">
        <v>0</v>
      </c>
      <c r="L353" t="n">
        <v>0</v>
      </c>
      <c r="M353" t="n">
        <v>0</v>
      </c>
      <c r="N353" t="n">
        <v>0</v>
      </c>
      <c r="O353" t="n">
        <v>0</v>
      </c>
      <c r="P353" t="n">
        <v>0</v>
      </c>
      <c r="Q353" t="n">
        <v>0</v>
      </c>
      <c r="R353" s="2" t="inlineStr"/>
    </row>
    <row r="354" ht="15" customHeight="1">
      <c r="A354" t="inlineStr">
        <is>
          <t>A 46697-2025</t>
        </is>
      </c>
      <c r="B354" s="1" t="n">
        <v>45926</v>
      </c>
      <c r="C354" s="1" t="n">
        <v>46133</v>
      </c>
      <c r="D354" t="inlineStr">
        <is>
          <t>NORRBOTTENS LÄN</t>
        </is>
      </c>
      <c r="E354" t="inlineStr">
        <is>
          <t>PAJALA</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41871-2024</t>
        </is>
      </c>
      <c r="B355" s="1" t="n">
        <v>45561.46952546296</v>
      </c>
      <c r="C355" s="1" t="n">
        <v>46133</v>
      </c>
      <c r="D355" t="inlineStr">
        <is>
          <t>NORRBOTTENS LÄN</t>
        </is>
      </c>
      <c r="E355" t="inlineStr">
        <is>
          <t>PAJALA</t>
        </is>
      </c>
      <c r="G355" t="n">
        <v>25.1</v>
      </c>
      <c r="H355" t="n">
        <v>0</v>
      </c>
      <c r="I355" t="n">
        <v>0</v>
      </c>
      <c r="J355" t="n">
        <v>0</v>
      </c>
      <c r="K355" t="n">
        <v>0</v>
      </c>
      <c r="L355" t="n">
        <v>0</v>
      </c>
      <c r="M355" t="n">
        <v>0</v>
      </c>
      <c r="N355" t="n">
        <v>0</v>
      </c>
      <c r="O355" t="n">
        <v>0</v>
      </c>
      <c r="P355" t="n">
        <v>0</v>
      </c>
      <c r="Q355" t="n">
        <v>0</v>
      </c>
      <c r="R355" s="2" t="inlineStr"/>
    </row>
    <row r="356" ht="15" customHeight="1">
      <c r="A356" t="inlineStr">
        <is>
          <t>A 34910-2025</t>
        </is>
      </c>
      <c r="B356" s="1" t="n">
        <v>45849.53162037037</v>
      </c>
      <c r="C356" s="1" t="n">
        <v>46133</v>
      </c>
      <c r="D356" t="inlineStr">
        <is>
          <t>NORRBOTTENS LÄN</t>
        </is>
      </c>
      <c r="E356" t="inlineStr">
        <is>
          <t>PAJALA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1835-2026</t>
        </is>
      </c>
      <c r="B357" s="1" t="n">
        <v>46035.38630787037</v>
      </c>
      <c r="C357" s="1" t="n">
        <v>46133</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46769-2024</t>
        </is>
      </c>
      <c r="B358" s="1" t="n">
        <v>45583.49565972222</v>
      </c>
      <c r="C358" s="1" t="n">
        <v>46133</v>
      </c>
      <c r="D358" t="inlineStr">
        <is>
          <t>NORRBOTTENS LÄN</t>
        </is>
      </c>
      <c r="E358" t="inlineStr">
        <is>
          <t>PAJALA</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1572-2026</t>
        </is>
      </c>
      <c r="B359" s="1" t="n">
        <v>46034</v>
      </c>
      <c r="C359" s="1" t="n">
        <v>46133</v>
      </c>
      <c r="D359" t="inlineStr">
        <is>
          <t>NORRBOTTENS LÄN</t>
        </is>
      </c>
      <c r="E359" t="inlineStr">
        <is>
          <t>PAJALA</t>
        </is>
      </c>
      <c r="G359" t="n">
        <v>8.699999999999999</v>
      </c>
      <c r="H359" t="n">
        <v>0</v>
      </c>
      <c r="I359" t="n">
        <v>0</v>
      </c>
      <c r="J359" t="n">
        <v>0</v>
      </c>
      <c r="K359" t="n">
        <v>0</v>
      </c>
      <c r="L359" t="n">
        <v>0</v>
      </c>
      <c r="M359" t="n">
        <v>0</v>
      </c>
      <c r="N359" t="n">
        <v>0</v>
      </c>
      <c r="O359" t="n">
        <v>0</v>
      </c>
      <c r="P359" t="n">
        <v>0</v>
      </c>
      <c r="Q359" t="n">
        <v>0</v>
      </c>
      <c r="R359" s="2" t="inlineStr"/>
      <c r="U359">
        <f>HYPERLINK("https://klasma.github.io/Logging_2521/knärot/A 1572-2026 karta knärot.png", "A 1572-2026")</f>
        <v/>
      </c>
      <c r="V359">
        <f>HYPERLINK("https://klasma.github.io/Logging_2521/klagomål/A 1572-2026 FSC-klagomål.docx", "A 1572-2026")</f>
        <v/>
      </c>
      <c r="W359">
        <f>HYPERLINK("https://klasma.github.io/Logging_2521/klagomålsmail/A 1572-2026 FSC-klagomål mail.docx", "A 1572-2026")</f>
        <v/>
      </c>
      <c r="X359">
        <f>HYPERLINK("https://klasma.github.io/Logging_2521/tillsyn/A 1572-2026 tillsynsbegäran.docx", "A 1572-2026")</f>
        <v/>
      </c>
      <c r="Y359">
        <f>HYPERLINK("https://klasma.github.io/Logging_2521/tillsynsmail/A 1572-2026 tillsynsbegäran mail.docx", "A 1572-2026")</f>
        <v/>
      </c>
    </row>
    <row r="360" ht="15" customHeight="1">
      <c r="A360" t="inlineStr">
        <is>
          <t>A 1753-2026</t>
        </is>
      </c>
      <c r="B360" s="1" t="n">
        <v>46034.65737268519</v>
      </c>
      <c r="C360" s="1" t="n">
        <v>46133</v>
      </c>
      <c r="D360" t="inlineStr">
        <is>
          <t>NORRBOTTENS LÄN</t>
        </is>
      </c>
      <c r="E360" t="inlineStr">
        <is>
          <t>PAJALA</t>
        </is>
      </c>
      <c r="G360" t="n">
        <v>3.5</v>
      </c>
      <c r="H360" t="n">
        <v>0</v>
      </c>
      <c r="I360" t="n">
        <v>0</v>
      </c>
      <c r="J360" t="n">
        <v>0</v>
      </c>
      <c r="K360" t="n">
        <v>0</v>
      </c>
      <c r="L360" t="n">
        <v>0</v>
      </c>
      <c r="M360" t="n">
        <v>0</v>
      </c>
      <c r="N360" t="n">
        <v>0</v>
      </c>
      <c r="O360" t="n">
        <v>0</v>
      </c>
      <c r="P360" t="n">
        <v>0</v>
      </c>
      <c r="Q360" t="n">
        <v>0</v>
      </c>
      <c r="R360" s="2" t="inlineStr"/>
    </row>
    <row r="361" ht="15" customHeight="1">
      <c r="A361" t="inlineStr">
        <is>
          <t>A 58643-2024</t>
        </is>
      </c>
      <c r="B361" s="1" t="n">
        <v>45635.58863425926</v>
      </c>
      <c r="C361" s="1" t="n">
        <v>46133</v>
      </c>
      <c r="D361" t="inlineStr">
        <is>
          <t>NORRBOTTENS LÄN</t>
        </is>
      </c>
      <c r="E361" t="inlineStr">
        <is>
          <t>PAJALA</t>
        </is>
      </c>
      <c r="G361" t="n">
        <v>4.6</v>
      </c>
      <c r="H361" t="n">
        <v>0</v>
      </c>
      <c r="I361" t="n">
        <v>0</v>
      </c>
      <c r="J361" t="n">
        <v>0</v>
      </c>
      <c r="K361" t="n">
        <v>0</v>
      </c>
      <c r="L361" t="n">
        <v>0</v>
      </c>
      <c r="M361" t="n">
        <v>0</v>
      </c>
      <c r="N361" t="n">
        <v>0</v>
      </c>
      <c r="O361" t="n">
        <v>0</v>
      </c>
      <c r="P361" t="n">
        <v>0</v>
      </c>
      <c r="Q361" t="n">
        <v>0</v>
      </c>
      <c r="R361" s="2" t="inlineStr"/>
    </row>
    <row r="362" ht="15" customHeight="1">
      <c r="A362" t="inlineStr">
        <is>
          <t>A 35173-2025</t>
        </is>
      </c>
      <c r="B362" s="1" t="n">
        <v>45852.89065972222</v>
      </c>
      <c r="C362" s="1" t="n">
        <v>46133</v>
      </c>
      <c r="D362" t="inlineStr">
        <is>
          <t>NORRBOTTENS LÄN</t>
        </is>
      </c>
      <c r="E362" t="inlineStr">
        <is>
          <t>PAJALA</t>
        </is>
      </c>
      <c r="F362" t="inlineStr">
        <is>
          <t>Sveaskog</t>
        </is>
      </c>
      <c r="G362" t="n">
        <v>39.6</v>
      </c>
      <c r="H362" t="n">
        <v>0</v>
      </c>
      <c r="I362" t="n">
        <v>0</v>
      </c>
      <c r="J362" t="n">
        <v>0</v>
      </c>
      <c r="K362" t="n">
        <v>0</v>
      </c>
      <c r="L362" t="n">
        <v>0</v>
      </c>
      <c r="M362" t="n">
        <v>0</v>
      </c>
      <c r="N362" t="n">
        <v>0</v>
      </c>
      <c r="O362" t="n">
        <v>0</v>
      </c>
      <c r="P362" t="n">
        <v>0</v>
      </c>
      <c r="Q362" t="n">
        <v>0</v>
      </c>
      <c r="R362" s="2" t="inlineStr"/>
    </row>
    <row r="363" ht="15" customHeight="1">
      <c r="A363" t="inlineStr">
        <is>
          <t>A 53091-2023</t>
        </is>
      </c>
      <c r="B363" s="1" t="n">
        <v>45227.71137731482</v>
      </c>
      <c r="C363" s="1" t="n">
        <v>46133</v>
      </c>
      <c r="D363" t="inlineStr">
        <is>
          <t>NORRBOTTENS LÄN</t>
        </is>
      </c>
      <c r="E363" t="inlineStr">
        <is>
          <t>PAJALA</t>
        </is>
      </c>
      <c r="G363" t="n">
        <v>3.7</v>
      </c>
      <c r="H363" t="n">
        <v>0</v>
      </c>
      <c r="I363" t="n">
        <v>0</v>
      </c>
      <c r="J363" t="n">
        <v>0</v>
      </c>
      <c r="K363" t="n">
        <v>0</v>
      </c>
      <c r="L363" t="n">
        <v>0</v>
      </c>
      <c r="M363" t="n">
        <v>0</v>
      </c>
      <c r="N363" t="n">
        <v>0</v>
      </c>
      <c r="O363" t="n">
        <v>0</v>
      </c>
      <c r="P363" t="n">
        <v>0</v>
      </c>
      <c r="Q363" t="n">
        <v>0</v>
      </c>
      <c r="R363" s="2" t="inlineStr"/>
    </row>
    <row r="364" ht="15" customHeight="1">
      <c r="A364" t="inlineStr">
        <is>
          <t>A 54863-2022</t>
        </is>
      </c>
      <c r="B364" s="1" t="n">
        <v>44884</v>
      </c>
      <c r="C364" s="1" t="n">
        <v>46133</v>
      </c>
      <c r="D364" t="inlineStr">
        <is>
          <t>NORRBOTTENS LÄN</t>
        </is>
      </c>
      <c r="E364" t="inlineStr">
        <is>
          <t>PAJALA</t>
        </is>
      </c>
      <c r="G364" t="n">
        <v>3.7</v>
      </c>
      <c r="H364" t="n">
        <v>0</v>
      </c>
      <c r="I364" t="n">
        <v>0</v>
      </c>
      <c r="J364" t="n">
        <v>0</v>
      </c>
      <c r="K364" t="n">
        <v>0</v>
      </c>
      <c r="L364" t="n">
        <v>0</v>
      </c>
      <c r="M364" t="n">
        <v>0</v>
      </c>
      <c r="N364" t="n">
        <v>0</v>
      </c>
      <c r="O364" t="n">
        <v>0</v>
      </c>
      <c r="P364" t="n">
        <v>0</v>
      </c>
      <c r="Q364" t="n">
        <v>0</v>
      </c>
      <c r="R364" s="2" t="inlineStr"/>
    </row>
    <row r="365" ht="15" customHeight="1">
      <c r="A365" t="inlineStr">
        <is>
          <t>A 34984-2025</t>
        </is>
      </c>
      <c r="B365" s="1" t="n">
        <v>45849.75715277778</v>
      </c>
      <c r="C365" s="1" t="n">
        <v>46133</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29238-2024</t>
        </is>
      </c>
      <c r="B366" s="1" t="n">
        <v>45482.92740740741</v>
      </c>
      <c r="C366" s="1" t="n">
        <v>46133</v>
      </c>
      <c r="D366" t="inlineStr">
        <is>
          <t>NORRBOTTENS LÄN</t>
        </is>
      </c>
      <c r="E366" t="inlineStr">
        <is>
          <t>PAJALA</t>
        </is>
      </c>
      <c r="G366" t="n">
        <v>1.9</v>
      </c>
      <c r="H366" t="n">
        <v>0</v>
      </c>
      <c r="I366" t="n">
        <v>0</v>
      </c>
      <c r="J366" t="n">
        <v>0</v>
      </c>
      <c r="K366" t="n">
        <v>0</v>
      </c>
      <c r="L366" t="n">
        <v>0</v>
      </c>
      <c r="M366" t="n">
        <v>0</v>
      </c>
      <c r="N366" t="n">
        <v>0</v>
      </c>
      <c r="O366" t="n">
        <v>0</v>
      </c>
      <c r="P366" t="n">
        <v>0</v>
      </c>
      <c r="Q366" t="n">
        <v>0</v>
      </c>
      <c r="R366" s="2" t="inlineStr"/>
    </row>
    <row r="367" ht="15" customHeight="1">
      <c r="A367" t="inlineStr">
        <is>
          <t>A 35421-2025</t>
        </is>
      </c>
      <c r="B367" s="1" t="n">
        <v>45855.41163194444</v>
      </c>
      <c r="C367" s="1" t="n">
        <v>46133</v>
      </c>
      <c r="D367" t="inlineStr">
        <is>
          <t>NORRBOTTENS LÄN</t>
        </is>
      </c>
      <c r="E367" t="inlineStr">
        <is>
          <t>PAJALA</t>
        </is>
      </c>
      <c r="F367" t="inlineStr">
        <is>
          <t>Sveaskog</t>
        </is>
      </c>
      <c r="G367" t="n">
        <v>4.6</v>
      </c>
      <c r="H367" t="n">
        <v>0</v>
      </c>
      <c r="I367" t="n">
        <v>0</v>
      </c>
      <c r="J367" t="n">
        <v>0</v>
      </c>
      <c r="K367" t="n">
        <v>0</v>
      </c>
      <c r="L367" t="n">
        <v>0</v>
      </c>
      <c r="M367" t="n">
        <v>0</v>
      </c>
      <c r="N367" t="n">
        <v>0</v>
      </c>
      <c r="O367" t="n">
        <v>0</v>
      </c>
      <c r="P367" t="n">
        <v>0</v>
      </c>
      <c r="Q367" t="n">
        <v>0</v>
      </c>
      <c r="R367" s="2" t="inlineStr"/>
    </row>
    <row r="368" ht="15" customHeight="1">
      <c r="A368" t="inlineStr">
        <is>
          <t>A 35539-2025</t>
        </is>
      </c>
      <c r="B368" s="1" t="n">
        <v>45856.46564814815</v>
      </c>
      <c r="C368" s="1" t="n">
        <v>46133</v>
      </c>
      <c r="D368" t="inlineStr">
        <is>
          <t>NORRBOTTENS LÄN</t>
        </is>
      </c>
      <c r="E368" t="inlineStr">
        <is>
          <t>PAJALA</t>
        </is>
      </c>
      <c r="G368" t="n">
        <v>46</v>
      </c>
      <c r="H368" t="n">
        <v>0</v>
      </c>
      <c r="I368" t="n">
        <v>0</v>
      </c>
      <c r="J368" t="n">
        <v>0</v>
      </c>
      <c r="K368" t="n">
        <v>0</v>
      </c>
      <c r="L368" t="n">
        <v>0</v>
      </c>
      <c r="M368" t="n">
        <v>0</v>
      </c>
      <c r="N368" t="n">
        <v>0</v>
      </c>
      <c r="O368" t="n">
        <v>0</v>
      </c>
      <c r="P368" t="n">
        <v>0</v>
      </c>
      <c r="Q368" t="n">
        <v>0</v>
      </c>
      <c r="R368" s="2" t="inlineStr"/>
    </row>
    <row r="369" ht="15" customHeight="1">
      <c r="A369" t="inlineStr">
        <is>
          <t>A 35858-2025</t>
        </is>
      </c>
      <c r="B369" s="1" t="n">
        <v>45861.63548611111</v>
      </c>
      <c r="C369" s="1" t="n">
        <v>46133</v>
      </c>
      <c r="D369" t="inlineStr">
        <is>
          <t>NORRBOTTENS LÄN</t>
        </is>
      </c>
      <c r="E369" t="inlineStr">
        <is>
          <t>PAJALA</t>
        </is>
      </c>
      <c r="G369" t="n">
        <v>2.9</v>
      </c>
      <c r="H369" t="n">
        <v>0</v>
      </c>
      <c r="I369" t="n">
        <v>0</v>
      </c>
      <c r="J369" t="n">
        <v>0</v>
      </c>
      <c r="K369" t="n">
        <v>0</v>
      </c>
      <c r="L369" t="n">
        <v>0</v>
      </c>
      <c r="M369" t="n">
        <v>0</v>
      </c>
      <c r="N369" t="n">
        <v>0</v>
      </c>
      <c r="O369" t="n">
        <v>0</v>
      </c>
      <c r="P369" t="n">
        <v>0</v>
      </c>
      <c r="Q369" t="n">
        <v>0</v>
      </c>
      <c r="R369" s="2" t="inlineStr"/>
    </row>
    <row r="370" ht="15" customHeight="1">
      <c r="A370" t="inlineStr">
        <is>
          <t>A 35859-2025</t>
        </is>
      </c>
      <c r="B370" s="1" t="n">
        <v>45861.6377199074</v>
      </c>
      <c r="C370" s="1" t="n">
        <v>46133</v>
      </c>
      <c r="D370" t="inlineStr">
        <is>
          <t>NORRBOTTENS LÄN</t>
        </is>
      </c>
      <c r="E370" t="inlineStr">
        <is>
          <t>PAJALA</t>
        </is>
      </c>
      <c r="G370" t="n">
        <v>2.9</v>
      </c>
      <c r="H370" t="n">
        <v>0</v>
      </c>
      <c r="I370" t="n">
        <v>0</v>
      </c>
      <c r="J370" t="n">
        <v>0</v>
      </c>
      <c r="K370" t="n">
        <v>0</v>
      </c>
      <c r="L370" t="n">
        <v>0</v>
      </c>
      <c r="M370" t="n">
        <v>0</v>
      </c>
      <c r="N370" t="n">
        <v>0</v>
      </c>
      <c r="O370" t="n">
        <v>0</v>
      </c>
      <c r="P370" t="n">
        <v>0</v>
      </c>
      <c r="Q370" t="n">
        <v>0</v>
      </c>
      <c r="R370" s="2" t="inlineStr"/>
    </row>
    <row r="371" ht="15" customHeight="1">
      <c r="A371" t="inlineStr">
        <is>
          <t>A 47509-2025</t>
        </is>
      </c>
      <c r="B371" s="1" t="n">
        <v>45930.90633101852</v>
      </c>
      <c r="C371" s="1" t="n">
        <v>46133</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1084-2025</t>
        </is>
      </c>
      <c r="B372" s="1" t="n">
        <v>45665</v>
      </c>
      <c r="C372" s="1" t="n">
        <v>46133</v>
      </c>
      <c r="D372" t="inlineStr">
        <is>
          <t>NORRBOTTENS LÄN</t>
        </is>
      </c>
      <c r="E372" t="inlineStr">
        <is>
          <t>PAJALA</t>
        </is>
      </c>
      <c r="G372" t="n">
        <v>3.8</v>
      </c>
      <c r="H372" t="n">
        <v>0</v>
      </c>
      <c r="I372" t="n">
        <v>0</v>
      </c>
      <c r="J372" t="n">
        <v>0</v>
      </c>
      <c r="K372" t="n">
        <v>0</v>
      </c>
      <c r="L372" t="n">
        <v>0</v>
      </c>
      <c r="M372" t="n">
        <v>0</v>
      </c>
      <c r="N372" t="n">
        <v>0</v>
      </c>
      <c r="O372" t="n">
        <v>0</v>
      </c>
      <c r="P372" t="n">
        <v>0</v>
      </c>
      <c r="Q372" t="n">
        <v>0</v>
      </c>
      <c r="R372" s="2" t="inlineStr"/>
    </row>
    <row r="373" ht="15" customHeight="1">
      <c r="A373" t="inlineStr">
        <is>
          <t>A 25125-2025</t>
        </is>
      </c>
      <c r="B373" s="1" t="n">
        <v>45798</v>
      </c>
      <c r="C373" s="1" t="n">
        <v>46133</v>
      </c>
      <c r="D373" t="inlineStr">
        <is>
          <t>NORRBOTTENS LÄN</t>
        </is>
      </c>
      <c r="E373" t="inlineStr">
        <is>
          <t>PAJALA</t>
        </is>
      </c>
      <c r="G373" t="n">
        <v>6</v>
      </c>
      <c r="H373" t="n">
        <v>0</v>
      </c>
      <c r="I373" t="n">
        <v>0</v>
      </c>
      <c r="J373" t="n">
        <v>0</v>
      </c>
      <c r="K373" t="n">
        <v>0</v>
      </c>
      <c r="L373" t="n">
        <v>0</v>
      </c>
      <c r="M373" t="n">
        <v>0</v>
      </c>
      <c r="N373" t="n">
        <v>0</v>
      </c>
      <c r="O373" t="n">
        <v>0</v>
      </c>
      <c r="P373" t="n">
        <v>0</v>
      </c>
      <c r="Q373" t="n">
        <v>0</v>
      </c>
      <c r="R373" s="2" t="inlineStr"/>
    </row>
    <row r="374" ht="15" customHeight="1">
      <c r="A374" t="inlineStr">
        <is>
          <t>A 22526-2024</t>
        </is>
      </c>
      <c r="B374" s="1" t="n">
        <v>45447.4431712963</v>
      </c>
      <c r="C374" s="1" t="n">
        <v>46133</v>
      </c>
      <c r="D374" t="inlineStr">
        <is>
          <t>NORRBOTTENS LÄN</t>
        </is>
      </c>
      <c r="E374" t="inlineStr">
        <is>
          <t>PAJALA</t>
        </is>
      </c>
      <c r="G374" t="n">
        <v>1.8</v>
      </c>
      <c r="H374" t="n">
        <v>0</v>
      </c>
      <c r="I374" t="n">
        <v>0</v>
      </c>
      <c r="J374" t="n">
        <v>0</v>
      </c>
      <c r="K374" t="n">
        <v>0</v>
      </c>
      <c r="L374" t="n">
        <v>0</v>
      </c>
      <c r="M374" t="n">
        <v>0</v>
      </c>
      <c r="N374" t="n">
        <v>0</v>
      </c>
      <c r="O374" t="n">
        <v>0</v>
      </c>
      <c r="P374" t="n">
        <v>0</v>
      </c>
      <c r="Q374" t="n">
        <v>0</v>
      </c>
      <c r="R374" s="2" t="inlineStr"/>
    </row>
    <row r="375" ht="15" customHeight="1">
      <c r="A375" t="inlineStr">
        <is>
          <t>A 35977-2025</t>
        </is>
      </c>
      <c r="B375" s="1" t="n">
        <v>45863.44518518518</v>
      </c>
      <c r="C375" s="1" t="n">
        <v>46133</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35944-2025</t>
        </is>
      </c>
      <c r="B376" s="1" t="n">
        <v>45862</v>
      </c>
      <c r="C376" s="1" t="n">
        <v>46133</v>
      </c>
      <c r="D376" t="inlineStr">
        <is>
          <t>NORRBOTTENS LÄN</t>
        </is>
      </c>
      <c r="E376" t="inlineStr">
        <is>
          <t>PAJALA</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35945-2025</t>
        </is>
      </c>
      <c r="B377" s="1" t="n">
        <v>45862</v>
      </c>
      <c r="C377" s="1" t="n">
        <v>46133</v>
      </c>
      <c r="D377" t="inlineStr">
        <is>
          <t>NORRBOTTENS LÄN</t>
        </is>
      </c>
      <c r="E377" t="inlineStr">
        <is>
          <t>PAJALA</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35967-2025</t>
        </is>
      </c>
      <c r="B378" s="1" t="n">
        <v>45863.4059837963</v>
      </c>
      <c r="C378" s="1" t="n">
        <v>46133</v>
      </c>
      <c r="D378" t="inlineStr">
        <is>
          <t>NORRBOTTENS LÄN</t>
        </is>
      </c>
      <c r="E378" t="inlineStr">
        <is>
          <t>PAJALA</t>
        </is>
      </c>
      <c r="G378" t="n">
        <v>1.1</v>
      </c>
      <c r="H378" t="n">
        <v>0</v>
      </c>
      <c r="I378" t="n">
        <v>0</v>
      </c>
      <c r="J378" t="n">
        <v>0</v>
      </c>
      <c r="K378" t="n">
        <v>0</v>
      </c>
      <c r="L378" t="n">
        <v>0</v>
      </c>
      <c r="M378" t="n">
        <v>0</v>
      </c>
      <c r="N378" t="n">
        <v>0</v>
      </c>
      <c r="O378" t="n">
        <v>0</v>
      </c>
      <c r="P378" t="n">
        <v>0</v>
      </c>
      <c r="Q378" t="n">
        <v>0</v>
      </c>
      <c r="R378" s="2" t="inlineStr"/>
    </row>
    <row r="379" ht="15" customHeight="1">
      <c r="A379" t="inlineStr">
        <is>
          <t>A 35943-2025</t>
        </is>
      </c>
      <c r="B379" s="1" t="n">
        <v>45862</v>
      </c>
      <c r="C379" s="1" t="n">
        <v>46133</v>
      </c>
      <c r="D379" t="inlineStr">
        <is>
          <t>NORRBOTTENS LÄN</t>
        </is>
      </c>
      <c r="E379" t="inlineStr">
        <is>
          <t>PAJALA</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36078-2025</t>
        </is>
      </c>
      <c r="B380" s="1" t="n">
        <v>45866</v>
      </c>
      <c r="C380" s="1" t="n">
        <v>46133</v>
      </c>
      <c r="D380" t="inlineStr">
        <is>
          <t>NORRBOTTENS LÄN</t>
        </is>
      </c>
      <c r="E380" t="inlineStr">
        <is>
          <t>PAJALA</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58031-2024</t>
        </is>
      </c>
      <c r="B381" s="1" t="n">
        <v>45631.70746527778</v>
      </c>
      <c r="C381" s="1" t="n">
        <v>46133</v>
      </c>
      <c r="D381" t="inlineStr">
        <is>
          <t>NORRBOTTENS LÄN</t>
        </is>
      </c>
      <c r="E381" t="inlineStr">
        <is>
          <t>PAJALA</t>
        </is>
      </c>
      <c r="G381" t="n">
        <v>10.8</v>
      </c>
      <c r="H381" t="n">
        <v>0</v>
      </c>
      <c r="I381" t="n">
        <v>0</v>
      </c>
      <c r="J381" t="n">
        <v>0</v>
      </c>
      <c r="K381" t="n">
        <v>0</v>
      </c>
      <c r="L381" t="n">
        <v>0</v>
      </c>
      <c r="M381" t="n">
        <v>0</v>
      </c>
      <c r="N381" t="n">
        <v>0</v>
      </c>
      <c r="O381" t="n">
        <v>0</v>
      </c>
      <c r="P381" t="n">
        <v>0</v>
      </c>
      <c r="Q381" t="n">
        <v>0</v>
      </c>
      <c r="R381" s="2" t="inlineStr"/>
    </row>
    <row r="382" ht="15" customHeight="1">
      <c r="A382" t="inlineStr">
        <is>
          <t>A 48662-2025</t>
        </is>
      </c>
      <c r="B382" s="1" t="n">
        <v>45936.57127314815</v>
      </c>
      <c r="C382" s="1" t="n">
        <v>46133</v>
      </c>
      <c r="D382" t="inlineStr">
        <is>
          <t>NORRBOTTENS LÄN</t>
        </is>
      </c>
      <c r="E382" t="inlineStr">
        <is>
          <t>PAJALA</t>
        </is>
      </c>
      <c r="G382" t="n">
        <v>4</v>
      </c>
      <c r="H382" t="n">
        <v>0</v>
      </c>
      <c r="I382" t="n">
        <v>0</v>
      </c>
      <c r="J382" t="n">
        <v>0</v>
      </c>
      <c r="K382" t="n">
        <v>0</v>
      </c>
      <c r="L382" t="n">
        <v>0</v>
      </c>
      <c r="M382" t="n">
        <v>0</v>
      </c>
      <c r="N382" t="n">
        <v>0</v>
      </c>
      <c r="O382" t="n">
        <v>0</v>
      </c>
      <c r="P382" t="n">
        <v>0</v>
      </c>
      <c r="Q382" t="n">
        <v>0</v>
      </c>
      <c r="R382" s="2" t="inlineStr"/>
    </row>
    <row r="383" ht="15" customHeight="1">
      <c r="A383" t="inlineStr">
        <is>
          <t>A 49007-2025</t>
        </is>
      </c>
      <c r="B383" s="1" t="n">
        <v>45934</v>
      </c>
      <c r="C383" s="1" t="n">
        <v>46133</v>
      </c>
      <c r="D383" t="inlineStr">
        <is>
          <t>NORRBOTTENS LÄN</t>
        </is>
      </c>
      <c r="E383" t="inlineStr">
        <is>
          <t>PAJALA</t>
        </is>
      </c>
      <c r="G383" t="n">
        <v>5.8</v>
      </c>
      <c r="H383" t="n">
        <v>0</v>
      </c>
      <c r="I383" t="n">
        <v>0</v>
      </c>
      <c r="J383" t="n">
        <v>0</v>
      </c>
      <c r="K383" t="n">
        <v>0</v>
      </c>
      <c r="L383" t="n">
        <v>0</v>
      </c>
      <c r="M383" t="n">
        <v>0</v>
      </c>
      <c r="N383" t="n">
        <v>0</v>
      </c>
      <c r="O383" t="n">
        <v>0</v>
      </c>
      <c r="P383" t="n">
        <v>0</v>
      </c>
      <c r="Q383" t="n">
        <v>0</v>
      </c>
      <c r="R383" s="2" t="inlineStr"/>
    </row>
    <row r="384" ht="15" customHeight="1">
      <c r="A384" t="inlineStr">
        <is>
          <t>A 13725-2024</t>
        </is>
      </c>
      <c r="B384" s="1" t="n">
        <v>45387</v>
      </c>
      <c r="C384" s="1" t="n">
        <v>46133</v>
      </c>
      <c r="D384" t="inlineStr">
        <is>
          <t>NORRBOTTENS LÄN</t>
        </is>
      </c>
      <c r="E384" t="inlineStr">
        <is>
          <t>PAJALA</t>
        </is>
      </c>
      <c r="F384" t="inlineStr">
        <is>
          <t>Allmännings- och besparingsskogar</t>
        </is>
      </c>
      <c r="G384" t="n">
        <v>19.5</v>
      </c>
      <c r="H384" t="n">
        <v>0</v>
      </c>
      <c r="I384" t="n">
        <v>0</v>
      </c>
      <c r="J384" t="n">
        <v>0</v>
      </c>
      <c r="K384" t="n">
        <v>0</v>
      </c>
      <c r="L384" t="n">
        <v>0</v>
      </c>
      <c r="M384" t="n">
        <v>0</v>
      </c>
      <c r="N384" t="n">
        <v>0</v>
      </c>
      <c r="O384" t="n">
        <v>0</v>
      </c>
      <c r="P384" t="n">
        <v>0</v>
      </c>
      <c r="Q384" t="n">
        <v>0</v>
      </c>
      <c r="R384" s="2" t="inlineStr"/>
    </row>
    <row r="385" ht="15" customHeight="1">
      <c r="A385" t="inlineStr">
        <is>
          <t>A 48648-2025</t>
        </is>
      </c>
      <c r="B385" s="1" t="n">
        <v>45936.54777777778</v>
      </c>
      <c r="C385" s="1" t="n">
        <v>46133</v>
      </c>
      <c r="D385" t="inlineStr">
        <is>
          <t>NORRBOTTENS LÄN</t>
        </is>
      </c>
      <c r="E385" t="inlineStr">
        <is>
          <t>PAJALA</t>
        </is>
      </c>
      <c r="G385" t="n">
        <v>19.6</v>
      </c>
      <c r="H385" t="n">
        <v>0</v>
      </c>
      <c r="I385" t="n">
        <v>0</v>
      </c>
      <c r="J385" t="n">
        <v>0</v>
      </c>
      <c r="K385" t="n">
        <v>0</v>
      </c>
      <c r="L385" t="n">
        <v>0</v>
      </c>
      <c r="M385" t="n">
        <v>0</v>
      </c>
      <c r="N385" t="n">
        <v>0</v>
      </c>
      <c r="O385" t="n">
        <v>0</v>
      </c>
      <c r="P385" t="n">
        <v>0</v>
      </c>
      <c r="Q385" t="n">
        <v>0</v>
      </c>
      <c r="R385" s="2" t="inlineStr"/>
    </row>
    <row r="386" ht="15" customHeight="1">
      <c r="A386" t="inlineStr">
        <is>
          <t>A 48640-2025</t>
        </is>
      </c>
      <c r="B386" s="1" t="n">
        <v>45936.53575231481</v>
      </c>
      <c r="C386" s="1" t="n">
        <v>46133</v>
      </c>
      <c r="D386" t="inlineStr">
        <is>
          <t>NORRBOTTENS LÄN</t>
        </is>
      </c>
      <c r="E386" t="inlineStr">
        <is>
          <t>PAJALA</t>
        </is>
      </c>
      <c r="G386" t="n">
        <v>0.9</v>
      </c>
      <c r="H386" t="n">
        <v>0</v>
      </c>
      <c r="I386" t="n">
        <v>0</v>
      </c>
      <c r="J386" t="n">
        <v>0</v>
      </c>
      <c r="K386" t="n">
        <v>0</v>
      </c>
      <c r="L386" t="n">
        <v>0</v>
      </c>
      <c r="M386" t="n">
        <v>0</v>
      </c>
      <c r="N386" t="n">
        <v>0</v>
      </c>
      <c r="O386" t="n">
        <v>0</v>
      </c>
      <c r="P386" t="n">
        <v>0</v>
      </c>
      <c r="Q386" t="n">
        <v>0</v>
      </c>
      <c r="R386" s="2" t="inlineStr"/>
    </row>
    <row r="387" ht="15" customHeight="1">
      <c r="A387" t="inlineStr">
        <is>
          <t>A 36365-2025</t>
        </is>
      </c>
      <c r="B387" s="1" t="n">
        <v>45868.53259259259</v>
      </c>
      <c r="C387" s="1" t="n">
        <v>46133</v>
      </c>
      <c r="D387" t="inlineStr">
        <is>
          <t>NORRBOTTENS LÄN</t>
        </is>
      </c>
      <c r="E387" t="inlineStr">
        <is>
          <t>PAJALA</t>
        </is>
      </c>
      <c r="F387" t="inlineStr">
        <is>
          <t>Sveaskog</t>
        </is>
      </c>
      <c r="G387" t="n">
        <v>30.2</v>
      </c>
      <c r="H387" t="n">
        <v>0</v>
      </c>
      <c r="I387" t="n">
        <v>0</v>
      </c>
      <c r="J387" t="n">
        <v>0</v>
      </c>
      <c r="K387" t="n">
        <v>0</v>
      </c>
      <c r="L387" t="n">
        <v>0</v>
      </c>
      <c r="M387" t="n">
        <v>0</v>
      </c>
      <c r="N387" t="n">
        <v>0</v>
      </c>
      <c r="O387" t="n">
        <v>0</v>
      </c>
      <c r="P387" t="n">
        <v>0</v>
      </c>
      <c r="Q387" t="n">
        <v>0</v>
      </c>
      <c r="R387" s="2" t="inlineStr"/>
    </row>
    <row r="388" ht="15" customHeight="1">
      <c r="A388" t="inlineStr">
        <is>
          <t>A 36367-2025</t>
        </is>
      </c>
      <c r="B388" s="1" t="n">
        <v>45868</v>
      </c>
      <c r="C388" s="1" t="n">
        <v>46133</v>
      </c>
      <c r="D388" t="inlineStr">
        <is>
          <t>NORRBOTTENS LÄN</t>
        </is>
      </c>
      <c r="E388" t="inlineStr">
        <is>
          <t>PAJALA</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48661-2025</t>
        </is>
      </c>
      <c r="B389" s="1" t="n">
        <v>45936.56884259259</v>
      </c>
      <c r="C389" s="1" t="n">
        <v>46133</v>
      </c>
      <c r="D389" t="inlineStr">
        <is>
          <t>NORRBOTTENS LÄN</t>
        </is>
      </c>
      <c r="E389" t="inlineStr">
        <is>
          <t>PAJALA</t>
        </is>
      </c>
      <c r="G389" t="n">
        <v>4.7</v>
      </c>
      <c r="H389" t="n">
        <v>0</v>
      </c>
      <c r="I389" t="n">
        <v>0</v>
      </c>
      <c r="J389" t="n">
        <v>0</v>
      </c>
      <c r="K389" t="n">
        <v>0</v>
      </c>
      <c r="L389" t="n">
        <v>0</v>
      </c>
      <c r="M389" t="n">
        <v>0</v>
      </c>
      <c r="N389" t="n">
        <v>0</v>
      </c>
      <c r="O389" t="n">
        <v>0</v>
      </c>
      <c r="P389" t="n">
        <v>0</v>
      </c>
      <c r="Q389" t="n">
        <v>0</v>
      </c>
      <c r="R389" s="2" t="inlineStr"/>
    </row>
    <row r="390" ht="15" customHeight="1">
      <c r="A390" t="inlineStr">
        <is>
          <t>A 48587-2025</t>
        </is>
      </c>
      <c r="B390" s="1" t="n">
        <v>45936.45960648148</v>
      </c>
      <c r="C390" s="1" t="n">
        <v>46133</v>
      </c>
      <c r="D390" t="inlineStr">
        <is>
          <t>NORRBOTTENS LÄN</t>
        </is>
      </c>
      <c r="E390" t="inlineStr">
        <is>
          <t>PAJALA</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48636-2025</t>
        </is>
      </c>
      <c r="B391" s="1" t="n">
        <v>45936.52267361111</v>
      </c>
      <c r="C391" s="1" t="n">
        <v>46133</v>
      </c>
      <c r="D391" t="inlineStr">
        <is>
          <t>NORRBOTTENS LÄN</t>
        </is>
      </c>
      <c r="E391" t="inlineStr">
        <is>
          <t>PAJALA</t>
        </is>
      </c>
      <c r="G391" t="n">
        <v>3.3</v>
      </c>
      <c r="H391" t="n">
        <v>0</v>
      </c>
      <c r="I391" t="n">
        <v>0</v>
      </c>
      <c r="J391" t="n">
        <v>0</v>
      </c>
      <c r="K391" t="n">
        <v>0</v>
      </c>
      <c r="L391" t="n">
        <v>0</v>
      </c>
      <c r="M391" t="n">
        <v>0</v>
      </c>
      <c r="N391" t="n">
        <v>0</v>
      </c>
      <c r="O391" t="n">
        <v>0</v>
      </c>
      <c r="P391" t="n">
        <v>0</v>
      </c>
      <c r="Q391" t="n">
        <v>0</v>
      </c>
      <c r="R391" s="2" t="inlineStr"/>
    </row>
    <row r="392" ht="15" customHeight="1">
      <c r="A392" t="inlineStr">
        <is>
          <t>A 56994-2022</t>
        </is>
      </c>
      <c r="B392" s="1" t="n">
        <v>44894</v>
      </c>
      <c r="C392" s="1" t="n">
        <v>46133</v>
      </c>
      <c r="D392" t="inlineStr">
        <is>
          <t>NORRBOTTENS LÄN</t>
        </is>
      </c>
      <c r="E392" t="inlineStr">
        <is>
          <t>PAJALA</t>
        </is>
      </c>
      <c r="G392" t="n">
        <v>0.8</v>
      </c>
      <c r="H392" t="n">
        <v>0</v>
      </c>
      <c r="I392" t="n">
        <v>0</v>
      </c>
      <c r="J392" t="n">
        <v>0</v>
      </c>
      <c r="K392" t="n">
        <v>0</v>
      </c>
      <c r="L392" t="n">
        <v>0</v>
      </c>
      <c r="M392" t="n">
        <v>0</v>
      </c>
      <c r="N392" t="n">
        <v>0</v>
      </c>
      <c r="O392" t="n">
        <v>0</v>
      </c>
      <c r="P392" t="n">
        <v>0</v>
      </c>
      <c r="Q392" t="n">
        <v>0</v>
      </c>
      <c r="R392" s="2" t="inlineStr"/>
    </row>
    <row r="393" ht="15" customHeight="1">
      <c r="A393" t="inlineStr">
        <is>
          <t>A 61613-2022</t>
        </is>
      </c>
      <c r="B393" s="1" t="n">
        <v>44916</v>
      </c>
      <c r="C393" s="1" t="n">
        <v>46133</v>
      </c>
      <c r="D393" t="inlineStr">
        <is>
          <t>NORRBOTTENS LÄN</t>
        </is>
      </c>
      <c r="E393" t="inlineStr">
        <is>
          <t>PAJALA</t>
        </is>
      </c>
      <c r="G393" t="n">
        <v>3.9</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46133</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46133</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49432-2025</t>
        </is>
      </c>
      <c r="B396" s="1" t="n">
        <v>45938.85912037037</v>
      </c>
      <c r="C396" s="1" t="n">
        <v>46133</v>
      </c>
      <c r="D396" t="inlineStr">
        <is>
          <t>NORRBOTTENS LÄN</t>
        </is>
      </c>
      <c r="E396" t="inlineStr">
        <is>
          <t>PAJALA</t>
        </is>
      </c>
      <c r="G396" t="n">
        <v>11.1</v>
      </c>
      <c r="H396" t="n">
        <v>0</v>
      </c>
      <c r="I396" t="n">
        <v>0</v>
      </c>
      <c r="J396" t="n">
        <v>0</v>
      </c>
      <c r="K396" t="n">
        <v>0</v>
      </c>
      <c r="L396" t="n">
        <v>0</v>
      </c>
      <c r="M396" t="n">
        <v>0</v>
      </c>
      <c r="N396" t="n">
        <v>0</v>
      </c>
      <c r="O396" t="n">
        <v>0</v>
      </c>
      <c r="P396" t="n">
        <v>0</v>
      </c>
      <c r="Q396" t="n">
        <v>0</v>
      </c>
      <c r="R396" s="2" t="inlineStr"/>
    </row>
    <row r="397" ht="15" customHeight="1">
      <c r="A397" t="inlineStr">
        <is>
          <t>A 49433-2025</t>
        </is>
      </c>
      <c r="B397" s="1" t="n">
        <v>45938.86293981481</v>
      </c>
      <c r="C397" s="1" t="n">
        <v>46133</v>
      </c>
      <c r="D397" t="inlineStr">
        <is>
          <t>NORRBOTTENS LÄN</t>
        </is>
      </c>
      <c r="E397" t="inlineStr">
        <is>
          <t>PAJALA</t>
        </is>
      </c>
      <c r="G397" t="n">
        <v>8</v>
      </c>
      <c r="H397" t="n">
        <v>0</v>
      </c>
      <c r="I397" t="n">
        <v>0</v>
      </c>
      <c r="J397" t="n">
        <v>0</v>
      </c>
      <c r="K397" t="n">
        <v>0</v>
      </c>
      <c r="L397" t="n">
        <v>0</v>
      </c>
      <c r="M397" t="n">
        <v>0</v>
      </c>
      <c r="N397" t="n">
        <v>0</v>
      </c>
      <c r="O397" t="n">
        <v>0</v>
      </c>
      <c r="P397" t="n">
        <v>0</v>
      </c>
      <c r="Q397" t="n">
        <v>0</v>
      </c>
      <c r="R397" s="2" t="inlineStr"/>
    </row>
    <row r="398" ht="15" customHeight="1">
      <c r="A398" t="inlineStr">
        <is>
          <t>A 49434-2025</t>
        </is>
      </c>
      <c r="B398" s="1" t="n">
        <v>45938.87078703703</v>
      </c>
      <c r="C398" s="1" t="n">
        <v>46133</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18784-2025</t>
        </is>
      </c>
      <c r="B399" s="1" t="n">
        <v>45764.33820601852</v>
      </c>
      <c r="C399" s="1" t="n">
        <v>46133</v>
      </c>
      <c r="D399" t="inlineStr">
        <is>
          <t>NORRBOTTENS LÄN</t>
        </is>
      </c>
      <c r="E399" t="inlineStr">
        <is>
          <t>PAJALA</t>
        </is>
      </c>
      <c r="G399" t="n">
        <v>1.3</v>
      </c>
      <c r="H399" t="n">
        <v>0</v>
      </c>
      <c r="I399" t="n">
        <v>0</v>
      </c>
      <c r="J399" t="n">
        <v>0</v>
      </c>
      <c r="K399" t="n">
        <v>0</v>
      </c>
      <c r="L399" t="n">
        <v>0</v>
      </c>
      <c r="M399" t="n">
        <v>0</v>
      </c>
      <c r="N399" t="n">
        <v>0</v>
      </c>
      <c r="O399" t="n">
        <v>0</v>
      </c>
      <c r="P399" t="n">
        <v>0</v>
      </c>
      <c r="Q399" t="n">
        <v>0</v>
      </c>
      <c r="R399" s="2" t="inlineStr"/>
    </row>
    <row r="400" ht="15" customHeight="1">
      <c r="A400" t="inlineStr">
        <is>
          <t>A 5693-2023</t>
        </is>
      </c>
      <c r="B400" s="1" t="n">
        <v>44960.94096064815</v>
      </c>
      <c r="C400" s="1" t="n">
        <v>46133</v>
      </c>
      <c r="D400" t="inlineStr">
        <is>
          <t>NORRBOTTENS LÄN</t>
        </is>
      </c>
      <c r="E400" t="inlineStr">
        <is>
          <t>PAJALA</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1934-2025</t>
        </is>
      </c>
      <c r="B401" s="1" t="n">
        <v>45671.9077662037</v>
      </c>
      <c r="C401" s="1" t="n">
        <v>46133</v>
      </c>
      <c r="D401" t="inlineStr">
        <is>
          <t>NORRBOTTENS LÄN</t>
        </is>
      </c>
      <c r="E401" t="inlineStr">
        <is>
          <t>PAJALA</t>
        </is>
      </c>
      <c r="G401" t="n">
        <v>2.2</v>
      </c>
      <c r="H401" t="n">
        <v>0</v>
      </c>
      <c r="I401" t="n">
        <v>0</v>
      </c>
      <c r="J401" t="n">
        <v>0</v>
      </c>
      <c r="K401" t="n">
        <v>0</v>
      </c>
      <c r="L401" t="n">
        <v>0</v>
      </c>
      <c r="M401" t="n">
        <v>0</v>
      </c>
      <c r="N401" t="n">
        <v>0</v>
      </c>
      <c r="O401" t="n">
        <v>0</v>
      </c>
      <c r="P401" t="n">
        <v>0</v>
      </c>
      <c r="Q401" t="n">
        <v>0</v>
      </c>
      <c r="R401" s="2" t="inlineStr"/>
    </row>
    <row r="402" ht="15" customHeight="1">
      <c r="A402" t="inlineStr">
        <is>
          <t>A 49383-2025</t>
        </is>
      </c>
      <c r="B402" s="1" t="n">
        <v>45938</v>
      </c>
      <c r="C402" s="1" t="n">
        <v>46133</v>
      </c>
      <c r="D402" t="inlineStr">
        <is>
          <t>NORRBOTTENS LÄN</t>
        </is>
      </c>
      <c r="E402" t="inlineStr">
        <is>
          <t>PAJALA</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49438-2025</t>
        </is>
      </c>
      <c r="B403" s="1" t="n">
        <v>45938.88127314814</v>
      </c>
      <c r="C403" s="1" t="n">
        <v>46133</v>
      </c>
      <c r="D403" t="inlineStr">
        <is>
          <t>NORRBOTTENS LÄN</t>
        </is>
      </c>
      <c r="E403" t="inlineStr">
        <is>
          <t>PAJALA</t>
        </is>
      </c>
      <c r="G403" t="n">
        <v>3.1</v>
      </c>
      <c r="H403" t="n">
        <v>0</v>
      </c>
      <c r="I403" t="n">
        <v>0</v>
      </c>
      <c r="J403" t="n">
        <v>0</v>
      </c>
      <c r="K403" t="n">
        <v>0</v>
      </c>
      <c r="L403" t="n">
        <v>0</v>
      </c>
      <c r="M403" t="n">
        <v>0</v>
      </c>
      <c r="N403" t="n">
        <v>0</v>
      </c>
      <c r="O403" t="n">
        <v>0</v>
      </c>
      <c r="P403" t="n">
        <v>0</v>
      </c>
      <c r="Q403" t="n">
        <v>0</v>
      </c>
      <c r="R403" s="2" t="inlineStr"/>
    </row>
    <row r="404" ht="15" customHeight="1">
      <c r="A404" t="inlineStr">
        <is>
          <t>A 73128-2021</t>
        </is>
      </c>
      <c r="B404" s="1" t="n">
        <v>44547</v>
      </c>
      <c r="C404" s="1" t="n">
        <v>46133</v>
      </c>
      <c r="D404" t="inlineStr">
        <is>
          <t>NORRBOTTENS LÄN</t>
        </is>
      </c>
      <c r="E404" t="inlineStr">
        <is>
          <t>PAJALA</t>
        </is>
      </c>
      <c r="G404" t="n">
        <v>10.6</v>
      </c>
      <c r="H404" t="n">
        <v>0</v>
      </c>
      <c r="I404" t="n">
        <v>0</v>
      </c>
      <c r="J404" t="n">
        <v>0</v>
      </c>
      <c r="K404" t="n">
        <v>0</v>
      </c>
      <c r="L404" t="n">
        <v>0</v>
      </c>
      <c r="M404" t="n">
        <v>0</v>
      </c>
      <c r="N404" t="n">
        <v>0</v>
      </c>
      <c r="O404" t="n">
        <v>0</v>
      </c>
      <c r="P404" t="n">
        <v>0</v>
      </c>
      <c r="Q404" t="n">
        <v>0</v>
      </c>
      <c r="R404" s="2" t="inlineStr"/>
    </row>
    <row r="405" ht="15" customHeight="1">
      <c r="A405" t="inlineStr">
        <is>
          <t>A 36607-2025</t>
        </is>
      </c>
      <c r="B405" s="1" t="n">
        <v>45870.56957175926</v>
      </c>
      <c r="C405" s="1" t="n">
        <v>46133</v>
      </c>
      <c r="D405" t="inlineStr">
        <is>
          <t>NORRBOTTENS LÄN</t>
        </is>
      </c>
      <c r="E405" t="inlineStr">
        <is>
          <t>PAJALA</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36683-2025</t>
        </is>
      </c>
      <c r="B406" s="1" t="n">
        <v>45873.40927083333</v>
      </c>
      <c r="C406" s="1" t="n">
        <v>46133</v>
      </c>
      <c r="D406" t="inlineStr">
        <is>
          <t>NORRBOTTENS LÄN</t>
        </is>
      </c>
      <c r="E406" t="inlineStr">
        <is>
          <t>PAJALA</t>
        </is>
      </c>
      <c r="G406" t="n">
        <v>1.7</v>
      </c>
      <c r="H406" t="n">
        <v>0</v>
      </c>
      <c r="I406" t="n">
        <v>0</v>
      </c>
      <c r="J406" t="n">
        <v>0</v>
      </c>
      <c r="K406" t="n">
        <v>0</v>
      </c>
      <c r="L406" t="n">
        <v>0</v>
      </c>
      <c r="M406" t="n">
        <v>0</v>
      </c>
      <c r="N406" t="n">
        <v>0</v>
      </c>
      <c r="O406" t="n">
        <v>0</v>
      </c>
      <c r="P406" t="n">
        <v>0</v>
      </c>
      <c r="Q406" t="n">
        <v>0</v>
      </c>
      <c r="R406" s="2" t="inlineStr"/>
    </row>
    <row r="407" ht="15" customHeight="1">
      <c r="A407" t="inlineStr">
        <is>
          <t>A 49720-2025</t>
        </is>
      </c>
      <c r="B407" s="1" t="n">
        <v>45939.8163425926</v>
      </c>
      <c r="C407" s="1" t="n">
        <v>46133</v>
      </c>
      <c r="D407" t="inlineStr">
        <is>
          <t>NORRBOTTENS LÄN</t>
        </is>
      </c>
      <c r="E407" t="inlineStr">
        <is>
          <t>PAJALA</t>
        </is>
      </c>
      <c r="G407" t="n">
        <v>6.1</v>
      </c>
      <c r="H407" t="n">
        <v>0</v>
      </c>
      <c r="I407" t="n">
        <v>0</v>
      </c>
      <c r="J407" t="n">
        <v>0</v>
      </c>
      <c r="K407" t="n">
        <v>0</v>
      </c>
      <c r="L407" t="n">
        <v>0</v>
      </c>
      <c r="M407" t="n">
        <v>0</v>
      </c>
      <c r="N407" t="n">
        <v>0</v>
      </c>
      <c r="O407" t="n">
        <v>0</v>
      </c>
      <c r="P407" t="n">
        <v>0</v>
      </c>
      <c r="Q407" t="n">
        <v>0</v>
      </c>
      <c r="R407" s="2" t="inlineStr"/>
    </row>
    <row r="408" ht="15" customHeight="1">
      <c r="A408" t="inlineStr">
        <is>
          <t>A 334-2025</t>
        </is>
      </c>
      <c r="B408" s="1" t="n">
        <v>45660.67420138889</v>
      </c>
      <c r="C408" s="1" t="n">
        <v>46133</v>
      </c>
      <c r="D408" t="inlineStr">
        <is>
          <t>NORRBOTTENS LÄN</t>
        </is>
      </c>
      <c r="E408" t="inlineStr">
        <is>
          <t>PAJALA</t>
        </is>
      </c>
      <c r="G408" t="n">
        <v>2.7</v>
      </c>
      <c r="H408" t="n">
        <v>0</v>
      </c>
      <c r="I408" t="n">
        <v>0</v>
      </c>
      <c r="J408" t="n">
        <v>0</v>
      </c>
      <c r="K408" t="n">
        <v>0</v>
      </c>
      <c r="L408" t="n">
        <v>0</v>
      </c>
      <c r="M408" t="n">
        <v>0</v>
      </c>
      <c r="N408" t="n">
        <v>0</v>
      </c>
      <c r="O408" t="n">
        <v>0</v>
      </c>
      <c r="P408" t="n">
        <v>0</v>
      </c>
      <c r="Q408" t="n">
        <v>0</v>
      </c>
      <c r="R408" s="2" t="inlineStr"/>
    </row>
    <row r="409" ht="15" customHeight="1">
      <c r="A409" t="inlineStr">
        <is>
          <t>A 338-2025</t>
        </is>
      </c>
      <c r="B409" s="1" t="n">
        <v>45660</v>
      </c>
      <c r="C409" s="1" t="n">
        <v>46133</v>
      </c>
      <c r="D409" t="inlineStr">
        <is>
          <t>NORRBOTTENS LÄN</t>
        </is>
      </c>
      <c r="E409" t="inlineStr">
        <is>
          <t>PAJALA</t>
        </is>
      </c>
      <c r="G409" t="n">
        <v>6.4</v>
      </c>
      <c r="H409" t="n">
        <v>0</v>
      </c>
      <c r="I409" t="n">
        <v>0</v>
      </c>
      <c r="J409" t="n">
        <v>0</v>
      </c>
      <c r="K409" t="n">
        <v>0</v>
      </c>
      <c r="L409" t="n">
        <v>0</v>
      </c>
      <c r="M409" t="n">
        <v>0</v>
      </c>
      <c r="N409" t="n">
        <v>0</v>
      </c>
      <c r="O409" t="n">
        <v>0</v>
      </c>
      <c r="P409" t="n">
        <v>0</v>
      </c>
      <c r="Q409" t="n">
        <v>0</v>
      </c>
      <c r="R409" s="2" t="inlineStr"/>
    </row>
    <row r="410" ht="15" customHeight="1">
      <c r="A410" t="inlineStr">
        <is>
          <t>A 29078-2024</t>
        </is>
      </c>
      <c r="B410" s="1" t="n">
        <v>45481</v>
      </c>
      <c r="C410" s="1" t="n">
        <v>46133</v>
      </c>
      <c r="D410" t="inlineStr">
        <is>
          <t>NORRBOTTENS LÄN</t>
        </is>
      </c>
      <c r="E410" t="inlineStr">
        <is>
          <t>PAJALA</t>
        </is>
      </c>
      <c r="G410" t="n">
        <v>21.3</v>
      </c>
      <c r="H410" t="n">
        <v>0</v>
      </c>
      <c r="I410" t="n">
        <v>0</v>
      </c>
      <c r="J410" t="n">
        <v>0</v>
      </c>
      <c r="K410" t="n">
        <v>0</v>
      </c>
      <c r="L410" t="n">
        <v>0</v>
      </c>
      <c r="M410" t="n">
        <v>0</v>
      </c>
      <c r="N410" t="n">
        <v>0</v>
      </c>
      <c r="O410" t="n">
        <v>0</v>
      </c>
      <c r="P410" t="n">
        <v>0</v>
      </c>
      <c r="Q410" t="n">
        <v>0</v>
      </c>
      <c r="R410" s="2" t="inlineStr"/>
    </row>
    <row r="411" ht="15" customHeight="1">
      <c r="A411" t="inlineStr">
        <is>
          <t>A 50176-2025</t>
        </is>
      </c>
      <c r="B411" s="1" t="n">
        <v>45943</v>
      </c>
      <c r="C411" s="1" t="n">
        <v>46133</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50022-2025</t>
        </is>
      </c>
      <c r="B412" s="1" t="n">
        <v>45943.37378472222</v>
      </c>
      <c r="C412" s="1" t="n">
        <v>46133</v>
      </c>
      <c r="D412" t="inlineStr">
        <is>
          <t>NORRBOTTENS LÄN</t>
        </is>
      </c>
      <c r="E412" t="inlineStr">
        <is>
          <t>PAJALA</t>
        </is>
      </c>
      <c r="G412" t="n">
        <v>11.3</v>
      </c>
      <c r="H412" t="n">
        <v>0</v>
      </c>
      <c r="I412" t="n">
        <v>0</v>
      </c>
      <c r="J412" t="n">
        <v>0</v>
      </c>
      <c r="K412" t="n">
        <v>0</v>
      </c>
      <c r="L412" t="n">
        <v>0</v>
      </c>
      <c r="M412" t="n">
        <v>0</v>
      </c>
      <c r="N412" t="n">
        <v>0</v>
      </c>
      <c r="O412" t="n">
        <v>0</v>
      </c>
      <c r="P412" t="n">
        <v>0</v>
      </c>
      <c r="Q412" t="n">
        <v>0</v>
      </c>
      <c r="R412" s="2" t="inlineStr"/>
    </row>
    <row r="413" ht="15" customHeight="1">
      <c r="A413" t="inlineStr">
        <is>
          <t>A 36821-2025</t>
        </is>
      </c>
      <c r="B413" s="1" t="n">
        <v>45873.90025462963</v>
      </c>
      <c r="C413" s="1" t="n">
        <v>46133</v>
      </c>
      <c r="D413" t="inlineStr">
        <is>
          <t>NORRBOTTENS LÄN</t>
        </is>
      </c>
      <c r="E413" t="inlineStr">
        <is>
          <t>PAJALA</t>
        </is>
      </c>
      <c r="G413" t="n">
        <v>8.4</v>
      </c>
      <c r="H413" t="n">
        <v>0</v>
      </c>
      <c r="I413" t="n">
        <v>0</v>
      </c>
      <c r="J413" t="n">
        <v>0</v>
      </c>
      <c r="K413" t="n">
        <v>0</v>
      </c>
      <c r="L413" t="n">
        <v>0</v>
      </c>
      <c r="M413" t="n">
        <v>0</v>
      </c>
      <c r="N413" t="n">
        <v>0</v>
      </c>
      <c r="O413" t="n">
        <v>0</v>
      </c>
      <c r="P413" t="n">
        <v>0</v>
      </c>
      <c r="Q413" t="n">
        <v>0</v>
      </c>
      <c r="R413" s="2" t="inlineStr"/>
    </row>
    <row r="414" ht="15" customHeight="1">
      <c r="A414" t="inlineStr">
        <is>
          <t>A 2909-2026</t>
        </is>
      </c>
      <c r="B414" s="1" t="n">
        <v>46038.56496527778</v>
      </c>
      <c r="C414" s="1" t="n">
        <v>46133</v>
      </c>
      <c r="D414" t="inlineStr">
        <is>
          <t>NORRBOTTENS LÄN</t>
        </is>
      </c>
      <c r="E414" t="inlineStr">
        <is>
          <t>PAJALA</t>
        </is>
      </c>
      <c r="F414" t="inlineStr">
        <is>
          <t>Kyrkan</t>
        </is>
      </c>
      <c r="G414" t="n">
        <v>12.9</v>
      </c>
      <c r="H414" t="n">
        <v>0</v>
      </c>
      <c r="I414" t="n">
        <v>0</v>
      </c>
      <c r="J414" t="n">
        <v>0</v>
      </c>
      <c r="K414" t="n">
        <v>0</v>
      </c>
      <c r="L414" t="n">
        <v>0</v>
      </c>
      <c r="M414" t="n">
        <v>0</v>
      </c>
      <c r="N414" t="n">
        <v>0</v>
      </c>
      <c r="O414" t="n">
        <v>0</v>
      </c>
      <c r="P414" t="n">
        <v>0</v>
      </c>
      <c r="Q414" t="n">
        <v>0</v>
      </c>
      <c r="R414" s="2" t="inlineStr"/>
    </row>
    <row r="415" ht="15" customHeight="1">
      <c r="A415" t="inlineStr">
        <is>
          <t>A 674-2022</t>
        </is>
      </c>
      <c r="B415" s="1" t="n">
        <v>44568</v>
      </c>
      <c r="C415" s="1" t="n">
        <v>46133</v>
      </c>
      <c r="D415" t="inlineStr">
        <is>
          <t>NORRBOTTENS LÄN</t>
        </is>
      </c>
      <c r="E415" t="inlineStr">
        <is>
          <t>PAJALA</t>
        </is>
      </c>
      <c r="G415" t="n">
        <v>19.5</v>
      </c>
      <c r="H415" t="n">
        <v>0</v>
      </c>
      <c r="I415" t="n">
        <v>0</v>
      </c>
      <c r="J415" t="n">
        <v>0</v>
      </c>
      <c r="K415" t="n">
        <v>0</v>
      </c>
      <c r="L415" t="n">
        <v>0</v>
      </c>
      <c r="M415" t="n">
        <v>0</v>
      </c>
      <c r="N415" t="n">
        <v>0</v>
      </c>
      <c r="O415" t="n">
        <v>0</v>
      </c>
      <c r="P415" t="n">
        <v>0</v>
      </c>
      <c r="Q415" t="n">
        <v>0</v>
      </c>
      <c r="R415" s="2" t="inlineStr"/>
    </row>
    <row r="416" ht="15" customHeight="1">
      <c r="A416" t="inlineStr">
        <is>
          <t>A 51689-2023</t>
        </is>
      </c>
      <c r="B416" s="1" t="n">
        <v>45215</v>
      </c>
      <c r="C416" s="1" t="n">
        <v>46133</v>
      </c>
      <c r="D416" t="inlineStr">
        <is>
          <t>NORRBOTTENS LÄN</t>
        </is>
      </c>
      <c r="E416" t="inlineStr">
        <is>
          <t>PAJALA</t>
        </is>
      </c>
      <c r="G416" t="n">
        <v>5.9</v>
      </c>
      <c r="H416" t="n">
        <v>0</v>
      </c>
      <c r="I416" t="n">
        <v>0</v>
      </c>
      <c r="J416" t="n">
        <v>0</v>
      </c>
      <c r="K416" t="n">
        <v>0</v>
      </c>
      <c r="L416" t="n">
        <v>0</v>
      </c>
      <c r="M416" t="n">
        <v>0</v>
      </c>
      <c r="N416" t="n">
        <v>0</v>
      </c>
      <c r="O416" t="n">
        <v>0</v>
      </c>
      <c r="P416" t="n">
        <v>0</v>
      </c>
      <c r="Q416" t="n">
        <v>0</v>
      </c>
      <c r="R416" s="2" t="inlineStr"/>
    </row>
    <row r="417" ht="15" customHeight="1">
      <c r="A417" t="inlineStr">
        <is>
          <t>A 50275-2025</t>
        </is>
      </c>
      <c r="B417" s="1" t="n">
        <v>45944.36942129629</v>
      </c>
      <c r="C417" s="1" t="n">
        <v>46133</v>
      </c>
      <c r="D417" t="inlineStr">
        <is>
          <t>NORRBOTTENS LÄN</t>
        </is>
      </c>
      <c r="E417" t="inlineStr">
        <is>
          <t>PAJALA</t>
        </is>
      </c>
      <c r="G417" t="n">
        <v>20.5</v>
      </c>
      <c r="H417" t="n">
        <v>0</v>
      </c>
      <c r="I417" t="n">
        <v>0</v>
      </c>
      <c r="J417" t="n">
        <v>0</v>
      </c>
      <c r="K417" t="n">
        <v>0</v>
      </c>
      <c r="L417" t="n">
        <v>0</v>
      </c>
      <c r="M417" t="n">
        <v>0</v>
      </c>
      <c r="N417" t="n">
        <v>0</v>
      </c>
      <c r="O417" t="n">
        <v>0</v>
      </c>
      <c r="P417" t="n">
        <v>0</v>
      </c>
      <c r="Q417" t="n">
        <v>0</v>
      </c>
      <c r="R417" s="2" t="inlineStr"/>
    </row>
    <row r="418" ht="15" customHeight="1">
      <c r="A418" t="inlineStr">
        <is>
          <t>A 37422-2025</t>
        </is>
      </c>
      <c r="B418" s="1" t="n">
        <v>45877.48719907407</v>
      </c>
      <c r="C418" s="1" t="n">
        <v>46133</v>
      </c>
      <c r="D418" t="inlineStr">
        <is>
          <t>NORRBOTTENS LÄN</t>
        </is>
      </c>
      <c r="E418" t="inlineStr">
        <is>
          <t>PAJALA</t>
        </is>
      </c>
      <c r="G418" t="n">
        <v>3.2</v>
      </c>
      <c r="H418" t="n">
        <v>0</v>
      </c>
      <c r="I418" t="n">
        <v>0</v>
      </c>
      <c r="J418" t="n">
        <v>0</v>
      </c>
      <c r="K418" t="n">
        <v>0</v>
      </c>
      <c r="L418" t="n">
        <v>0</v>
      </c>
      <c r="M418" t="n">
        <v>0</v>
      </c>
      <c r="N418" t="n">
        <v>0</v>
      </c>
      <c r="O418" t="n">
        <v>0</v>
      </c>
      <c r="P418" t="n">
        <v>0</v>
      </c>
      <c r="Q418" t="n">
        <v>0</v>
      </c>
      <c r="R418" s="2" t="inlineStr"/>
    </row>
    <row r="419" ht="15" customHeight="1">
      <c r="A419" t="inlineStr">
        <is>
          <t>A 37425-2025</t>
        </is>
      </c>
      <c r="B419" s="1" t="n">
        <v>45877.49061342593</v>
      </c>
      <c r="C419" s="1" t="n">
        <v>46133</v>
      </c>
      <c r="D419" t="inlineStr">
        <is>
          <t>NORRBOTTENS LÄN</t>
        </is>
      </c>
      <c r="E419" t="inlineStr">
        <is>
          <t>PAJALA</t>
        </is>
      </c>
      <c r="G419" t="n">
        <v>2.9</v>
      </c>
      <c r="H419" t="n">
        <v>0</v>
      </c>
      <c r="I419" t="n">
        <v>0</v>
      </c>
      <c r="J419" t="n">
        <v>0</v>
      </c>
      <c r="K419" t="n">
        <v>0</v>
      </c>
      <c r="L419" t="n">
        <v>0</v>
      </c>
      <c r="M419" t="n">
        <v>0</v>
      </c>
      <c r="N419" t="n">
        <v>0</v>
      </c>
      <c r="O419" t="n">
        <v>0</v>
      </c>
      <c r="P419" t="n">
        <v>0</v>
      </c>
      <c r="Q419" t="n">
        <v>0</v>
      </c>
      <c r="R419" s="2" t="inlineStr"/>
    </row>
    <row r="420" ht="15" customHeight="1">
      <c r="A420" t="inlineStr">
        <is>
          <t>A 50303-2025</t>
        </is>
      </c>
      <c r="B420" s="1" t="n">
        <v>45944.41394675926</v>
      </c>
      <c r="C420" s="1" t="n">
        <v>46133</v>
      </c>
      <c r="D420" t="inlineStr">
        <is>
          <t>NORRBOTTENS LÄN</t>
        </is>
      </c>
      <c r="E420" t="inlineStr">
        <is>
          <t>PAJALA</t>
        </is>
      </c>
      <c r="G420" t="n">
        <v>19.4</v>
      </c>
      <c r="H420" t="n">
        <v>0</v>
      </c>
      <c r="I420" t="n">
        <v>0</v>
      </c>
      <c r="J420" t="n">
        <v>0</v>
      </c>
      <c r="K420" t="n">
        <v>0</v>
      </c>
      <c r="L420" t="n">
        <v>0</v>
      </c>
      <c r="M420" t="n">
        <v>0</v>
      </c>
      <c r="N420" t="n">
        <v>0</v>
      </c>
      <c r="O420" t="n">
        <v>0</v>
      </c>
      <c r="P420" t="n">
        <v>0</v>
      </c>
      <c r="Q420" t="n">
        <v>0</v>
      </c>
      <c r="R420" s="2" t="inlineStr"/>
    </row>
    <row r="421" ht="15" customHeight="1">
      <c r="A421" t="inlineStr">
        <is>
          <t>A 40620-2024</t>
        </is>
      </c>
      <c r="B421" s="1" t="n">
        <v>45557.55927083334</v>
      </c>
      <c r="C421" s="1" t="n">
        <v>46133</v>
      </c>
      <c r="D421" t="inlineStr">
        <is>
          <t>NORRBOTTENS LÄN</t>
        </is>
      </c>
      <c r="E421" t="inlineStr">
        <is>
          <t>PAJALA</t>
        </is>
      </c>
      <c r="G421" t="n">
        <v>27.7</v>
      </c>
      <c r="H421" t="n">
        <v>0</v>
      </c>
      <c r="I421" t="n">
        <v>0</v>
      </c>
      <c r="J421" t="n">
        <v>0</v>
      </c>
      <c r="K421" t="n">
        <v>0</v>
      </c>
      <c r="L421" t="n">
        <v>0</v>
      </c>
      <c r="M421" t="n">
        <v>0</v>
      </c>
      <c r="N421" t="n">
        <v>0</v>
      </c>
      <c r="O421" t="n">
        <v>0</v>
      </c>
      <c r="P421" t="n">
        <v>0</v>
      </c>
      <c r="Q421" t="n">
        <v>0</v>
      </c>
      <c r="R421" s="2" t="inlineStr"/>
    </row>
    <row r="422" ht="15" customHeight="1">
      <c r="A422" t="inlineStr">
        <is>
          <t>A 7929-2025</t>
        </is>
      </c>
      <c r="B422" s="1" t="n">
        <v>45707.37032407407</v>
      </c>
      <c r="C422" s="1" t="n">
        <v>46133</v>
      </c>
      <c r="D422" t="inlineStr">
        <is>
          <t>NORRBOTTENS LÄN</t>
        </is>
      </c>
      <c r="E422" t="inlineStr">
        <is>
          <t>PAJALA</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45156-2023</t>
        </is>
      </c>
      <c r="B423" s="1" t="n">
        <v>45191</v>
      </c>
      <c r="C423" s="1" t="n">
        <v>46133</v>
      </c>
      <c r="D423" t="inlineStr">
        <is>
          <t>NORRBOTTENS LÄN</t>
        </is>
      </c>
      <c r="E423" t="inlineStr">
        <is>
          <t>PAJALA</t>
        </is>
      </c>
      <c r="F423" t="inlineStr">
        <is>
          <t>Sveaskog</t>
        </is>
      </c>
      <c r="G423" t="n">
        <v>12.3</v>
      </c>
      <c r="H423" t="n">
        <v>0</v>
      </c>
      <c r="I423" t="n">
        <v>0</v>
      </c>
      <c r="J423" t="n">
        <v>0</v>
      </c>
      <c r="K423" t="n">
        <v>0</v>
      </c>
      <c r="L423" t="n">
        <v>0</v>
      </c>
      <c r="M423" t="n">
        <v>0</v>
      </c>
      <c r="N423" t="n">
        <v>0</v>
      </c>
      <c r="O423" t="n">
        <v>0</v>
      </c>
      <c r="P423" t="n">
        <v>0</v>
      </c>
      <c r="Q423" t="n">
        <v>0</v>
      </c>
      <c r="R423" s="2" t="inlineStr"/>
    </row>
    <row r="424" ht="15" customHeight="1">
      <c r="A424" t="inlineStr">
        <is>
          <t>A 37426-2025</t>
        </is>
      </c>
      <c r="B424" s="1" t="n">
        <v>45877.49121527778</v>
      </c>
      <c r="C424" s="1" t="n">
        <v>46133</v>
      </c>
      <c r="D424" t="inlineStr">
        <is>
          <t>NORRBOTTENS LÄN</t>
        </is>
      </c>
      <c r="E424" t="inlineStr">
        <is>
          <t>PAJALA</t>
        </is>
      </c>
      <c r="G424" t="n">
        <v>2.2</v>
      </c>
      <c r="H424" t="n">
        <v>0</v>
      </c>
      <c r="I424" t="n">
        <v>0</v>
      </c>
      <c r="J424" t="n">
        <v>0</v>
      </c>
      <c r="K424" t="n">
        <v>0</v>
      </c>
      <c r="L424" t="n">
        <v>0</v>
      </c>
      <c r="M424" t="n">
        <v>0</v>
      </c>
      <c r="N424" t="n">
        <v>0</v>
      </c>
      <c r="O424" t="n">
        <v>0</v>
      </c>
      <c r="P424" t="n">
        <v>0</v>
      </c>
      <c r="Q424" t="n">
        <v>0</v>
      </c>
      <c r="R424" s="2" t="inlineStr"/>
    </row>
    <row r="425" ht="15" customHeight="1">
      <c r="A425" t="inlineStr">
        <is>
          <t>A 37752-2025</t>
        </is>
      </c>
      <c r="B425" s="1" t="n">
        <v>45880.67576388889</v>
      </c>
      <c r="C425" s="1" t="n">
        <v>46133</v>
      </c>
      <c r="D425" t="inlineStr">
        <is>
          <t>NORRBOTTENS LÄN</t>
        </is>
      </c>
      <c r="E425" t="inlineStr">
        <is>
          <t>PAJALA</t>
        </is>
      </c>
      <c r="G425" t="n">
        <v>2.3</v>
      </c>
      <c r="H425" t="n">
        <v>0</v>
      </c>
      <c r="I425" t="n">
        <v>0</v>
      </c>
      <c r="J425" t="n">
        <v>0</v>
      </c>
      <c r="K425" t="n">
        <v>0</v>
      </c>
      <c r="L425" t="n">
        <v>0</v>
      </c>
      <c r="M425" t="n">
        <v>0</v>
      </c>
      <c r="N425" t="n">
        <v>0</v>
      </c>
      <c r="O425" t="n">
        <v>0</v>
      </c>
      <c r="P425" t="n">
        <v>0</v>
      </c>
      <c r="Q425" t="n">
        <v>0</v>
      </c>
      <c r="R425" s="2" t="inlineStr"/>
    </row>
    <row r="426" ht="15" customHeight="1">
      <c r="A426" t="inlineStr">
        <is>
          <t>A 37726-2025</t>
        </is>
      </c>
      <c r="B426" s="1" t="n">
        <v>45880.62</v>
      </c>
      <c r="C426" s="1" t="n">
        <v>46133</v>
      </c>
      <c r="D426" t="inlineStr">
        <is>
          <t>NORRBOTTENS LÄN</t>
        </is>
      </c>
      <c r="E426" t="inlineStr">
        <is>
          <t>PAJALA</t>
        </is>
      </c>
      <c r="F426" t="inlineStr">
        <is>
          <t>Sveaskog</t>
        </is>
      </c>
      <c r="G426" t="n">
        <v>6.6</v>
      </c>
      <c r="H426" t="n">
        <v>0</v>
      </c>
      <c r="I426" t="n">
        <v>0</v>
      </c>
      <c r="J426" t="n">
        <v>0</v>
      </c>
      <c r="K426" t="n">
        <v>0</v>
      </c>
      <c r="L426" t="n">
        <v>0</v>
      </c>
      <c r="M426" t="n">
        <v>0</v>
      </c>
      <c r="N426" t="n">
        <v>0</v>
      </c>
      <c r="O426" t="n">
        <v>0</v>
      </c>
      <c r="P426" t="n">
        <v>0</v>
      </c>
      <c r="Q426" t="n">
        <v>0</v>
      </c>
      <c r="R426" s="2" t="inlineStr"/>
    </row>
    <row r="427" ht="15" customHeight="1">
      <c r="A427" t="inlineStr">
        <is>
          <t>A 37747-2025</t>
        </is>
      </c>
      <c r="B427" s="1" t="n">
        <v>45880.66762731481</v>
      </c>
      <c r="C427" s="1" t="n">
        <v>46133</v>
      </c>
      <c r="D427" t="inlineStr">
        <is>
          <t>NORRBOTTENS LÄN</t>
        </is>
      </c>
      <c r="E427" t="inlineStr">
        <is>
          <t>PAJALA</t>
        </is>
      </c>
      <c r="G427" t="n">
        <v>4.6</v>
      </c>
      <c r="H427" t="n">
        <v>0</v>
      </c>
      <c r="I427" t="n">
        <v>0</v>
      </c>
      <c r="J427" t="n">
        <v>0</v>
      </c>
      <c r="K427" t="n">
        <v>0</v>
      </c>
      <c r="L427" t="n">
        <v>0</v>
      </c>
      <c r="M427" t="n">
        <v>0</v>
      </c>
      <c r="N427" t="n">
        <v>0</v>
      </c>
      <c r="O427" t="n">
        <v>0</v>
      </c>
      <c r="P427" t="n">
        <v>0</v>
      </c>
      <c r="Q427" t="n">
        <v>0</v>
      </c>
      <c r="R427" s="2" t="inlineStr"/>
    </row>
    <row r="428" ht="15" customHeight="1">
      <c r="A428" t="inlineStr">
        <is>
          <t>A 27770-2024</t>
        </is>
      </c>
      <c r="B428" s="1" t="n">
        <v>45475.52747685185</v>
      </c>
      <c r="C428" s="1" t="n">
        <v>46133</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37535-2025</t>
        </is>
      </c>
      <c r="B429" s="1" t="n">
        <v>45878</v>
      </c>
      <c r="C429" s="1" t="n">
        <v>46133</v>
      </c>
      <c r="D429" t="inlineStr">
        <is>
          <t>NORRBOTTENS LÄN</t>
        </is>
      </c>
      <c r="E429" t="inlineStr">
        <is>
          <t>PAJALA</t>
        </is>
      </c>
      <c r="G429" t="n">
        <v>2.5</v>
      </c>
      <c r="H429" t="n">
        <v>0</v>
      </c>
      <c r="I429" t="n">
        <v>0</v>
      </c>
      <c r="J429" t="n">
        <v>0</v>
      </c>
      <c r="K429" t="n">
        <v>0</v>
      </c>
      <c r="L429" t="n">
        <v>0</v>
      </c>
      <c r="M429" t="n">
        <v>0</v>
      </c>
      <c r="N429" t="n">
        <v>0</v>
      </c>
      <c r="O429" t="n">
        <v>0</v>
      </c>
      <c r="P429" t="n">
        <v>0</v>
      </c>
      <c r="Q429" t="n">
        <v>0</v>
      </c>
      <c r="R429" s="2" t="inlineStr"/>
    </row>
    <row r="430" ht="15" customHeight="1">
      <c r="A430" t="inlineStr">
        <is>
          <t>A 37650-2025</t>
        </is>
      </c>
      <c r="B430" s="1" t="n">
        <v>45880</v>
      </c>
      <c r="C430" s="1" t="n">
        <v>46133</v>
      </c>
      <c r="D430" t="inlineStr">
        <is>
          <t>NORRBOTTENS LÄN</t>
        </is>
      </c>
      <c r="E430" t="inlineStr">
        <is>
          <t>PAJALA</t>
        </is>
      </c>
      <c r="G430" t="n">
        <v>1.1</v>
      </c>
      <c r="H430" t="n">
        <v>0</v>
      </c>
      <c r="I430" t="n">
        <v>0</v>
      </c>
      <c r="J430" t="n">
        <v>0</v>
      </c>
      <c r="K430" t="n">
        <v>0</v>
      </c>
      <c r="L430" t="n">
        <v>0</v>
      </c>
      <c r="M430" t="n">
        <v>0</v>
      </c>
      <c r="N430" t="n">
        <v>0</v>
      </c>
      <c r="O430" t="n">
        <v>0</v>
      </c>
      <c r="P430" t="n">
        <v>0</v>
      </c>
      <c r="Q430" t="n">
        <v>0</v>
      </c>
      <c r="R430" s="2" t="inlineStr"/>
    </row>
    <row r="431" ht="15" customHeight="1">
      <c r="A431" t="inlineStr">
        <is>
          <t>A 38160-2024</t>
        </is>
      </c>
      <c r="B431" s="1" t="n">
        <v>45545.44503472222</v>
      </c>
      <c r="C431" s="1" t="n">
        <v>46133</v>
      </c>
      <c r="D431" t="inlineStr">
        <is>
          <t>NORRBOTTENS LÄN</t>
        </is>
      </c>
      <c r="E431" t="inlineStr">
        <is>
          <t>PAJALA</t>
        </is>
      </c>
      <c r="F431" t="inlineStr">
        <is>
          <t>Sveaskog</t>
        </is>
      </c>
      <c r="G431" t="n">
        <v>5.9</v>
      </c>
      <c r="H431" t="n">
        <v>0</v>
      </c>
      <c r="I431" t="n">
        <v>0</v>
      </c>
      <c r="J431" t="n">
        <v>0</v>
      </c>
      <c r="K431" t="n">
        <v>0</v>
      </c>
      <c r="L431" t="n">
        <v>0</v>
      </c>
      <c r="M431" t="n">
        <v>0</v>
      </c>
      <c r="N431" t="n">
        <v>0</v>
      </c>
      <c r="O431" t="n">
        <v>0</v>
      </c>
      <c r="P431" t="n">
        <v>0</v>
      </c>
      <c r="Q431" t="n">
        <v>0</v>
      </c>
      <c r="R431" s="2" t="inlineStr"/>
    </row>
    <row r="432" ht="15" customHeight="1">
      <c r="A432" t="inlineStr">
        <is>
          <t>A 38161-2024</t>
        </is>
      </c>
      <c r="B432" s="1" t="n">
        <v>45545</v>
      </c>
      <c r="C432" s="1" t="n">
        <v>46133</v>
      </c>
      <c r="D432" t="inlineStr">
        <is>
          <t>NORRBOTTENS LÄN</t>
        </is>
      </c>
      <c r="E432" t="inlineStr">
        <is>
          <t>PAJALA</t>
        </is>
      </c>
      <c r="F432" t="inlineStr">
        <is>
          <t>Sveaskog</t>
        </is>
      </c>
      <c r="G432" t="n">
        <v>5.2</v>
      </c>
      <c r="H432" t="n">
        <v>0</v>
      </c>
      <c r="I432" t="n">
        <v>0</v>
      </c>
      <c r="J432" t="n">
        <v>0</v>
      </c>
      <c r="K432" t="n">
        <v>0</v>
      </c>
      <c r="L432" t="n">
        <v>0</v>
      </c>
      <c r="M432" t="n">
        <v>0</v>
      </c>
      <c r="N432" t="n">
        <v>0</v>
      </c>
      <c r="O432" t="n">
        <v>0</v>
      </c>
      <c r="P432" t="n">
        <v>0</v>
      </c>
      <c r="Q432" t="n">
        <v>0</v>
      </c>
      <c r="R432" s="2" t="inlineStr"/>
    </row>
    <row r="433" ht="15" customHeight="1">
      <c r="A433" t="inlineStr">
        <is>
          <t>A 45655-2024</t>
        </is>
      </c>
      <c r="B433" s="1" t="n">
        <v>45579</v>
      </c>
      <c r="C433" s="1" t="n">
        <v>46133</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45662-2024</t>
        </is>
      </c>
      <c r="B434" s="1" t="n">
        <v>45579</v>
      </c>
      <c r="C434" s="1" t="n">
        <v>46133</v>
      </c>
      <c r="D434" t="inlineStr">
        <is>
          <t>NORRBOTTENS LÄN</t>
        </is>
      </c>
      <c r="E434" t="inlineStr">
        <is>
          <t>PAJALA</t>
        </is>
      </c>
      <c r="G434" t="n">
        <v>4.9</v>
      </c>
      <c r="H434" t="n">
        <v>0</v>
      </c>
      <c r="I434" t="n">
        <v>0</v>
      </c>
      <c r="J434" t="n">
        <v>0</v>
      </c>
      <c r="K434" t="n">
        <v>0</v>
      </c>
      <c r="L434" t="n">
        <v>0</v>
      </c>
      <c r="M434" t="n">
        <v>0</v>
      </c>
      <c r="N434" t="n">
        <v>0</v>
      </c>
      <c r="O434" t="n">
        <v>0</v>
      </c>
      <c r="P434" t="n">
        <v>0</v>
      </c>
      <c r="Q434" t="n">
        <v>0</v>
      </c>
      <c r="R434" s="2" t="inlineStr"/>
    </row>
    <row r="435" ht="15" customHeight="1">
      <c r="A435" t="inlineStr">
        <is>
          <t>A 37587-2025</t>
        </is>
      </c>
      <c r="B435" s="1" t="n">
        <v>45880.40678240741</v>
      </c>
      <c r="C435" s="1" t="n">
        <v>46133</v>
      </c>
      <c r="D435" t="inlineStr">
        <is>
          <t>NORRBOTTENS LÄN</t>
        </is>
      </c>
      <c r="E435" t="inlineStr">
        <is>
          <t>PAJALA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37664-2025</t>
        </is>
      </c>
      <c r="B436" s="1" t="n">
        <v>45880.5109837963</v>
      </c>
      <c r="C436" s="1" t="n">
        <v>46133</v>
      </c>
      <c r="D436" t="inlineStr">
        <is>
          <t>NORRBOTTENS LÄN</t>
        </is>
      </c>
      <c r="E436" t="inlineStr">
        <is>
          <t>PAJALA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37534-2025</t>
        </is>
      </c>
      <c r="B437" s="1" t="n">
        <v>45878.51769675926</v>
      </c>
      <c r="C437" s="1" t="n">
        <v>46133</v>
      </c>
      <c r="D437" t="inlineStr">
        <is>
          <t>NORRBOTTENS LÄN</t>
        </is>
      </c>
      <c r="E437" t="inlineStr">
        <is>
          <t>PAJALA</t>
        </is>
      </c>
      <c r="G437" t="n">
        <v>2.8</v>
      </c>
      <c r="H437" t="n">
        <v>0</v>
      </c>
      <c r="I437" t="n">
        <v>0</v>
      </c>
      <c r="J437" t="n">
        <v>0</v>
      </c>
      <c r="K437" t="n">
        <v>0</v>
      </c>
      <c r="L437" t="n">
        <v>0</v>
      </c>
      <c r="M437" t="n">
        <v>0</v>
      </c>
      <c r="N437" t="n">
        <v>0</v>
      </c>
      <c r="O437" t="n">
        <v>0</v>
      </c>
      <c r="P437" t="n">
        <v>0</v>
      </c>
      <c r="Q437" t="n">
        <v>0</v>
      </c>
      <c r="R437" s="2" t="inlineStr"/>
    </row>
    <row r="438" ht="15" customHeight="1">
      <c r="A438" t="inlineStr">
        <is>
          <t>A 37536-2025</t>
        </is>
      </c>
      <c r="B438" s="1" t="n">
        <v>45878.52914351852</v>
      </c>
      <c r="C438" s="1" t="n">
        <v>46133</v>
      </c>
      <c r="D438" t="inlineStr">
        <is>
          <t>NORRBOTTENS LÄN</t>
        </is>
      </c>
      <c r="E438" t="inlineStr">
        <is>
          <t>PAJALA</t>
        </is>
      </c>
      <c r="G438" t="n">
        <v>1.2</v>
      </c>
      <c r="H438" t="n">
        <v>0</v>
      </c>
      <c r="I438" t="n">
        <v>0</v>
      </c>
      <c r="J438" t="n">
        <v>0</v>
      </c>
      <c r="K438" t="n">
        <v>0</v>
      </c>
      <c r="L438" t="n">
        <v>0</v>
      </c>
      <c r="M438" t="n">
        <v>0</v>
      </c>
      <c r="N438" t="n">
        <v>0</v>
      </c>
      <c r="O438" t="n">
        <v>0</v>
      </c>
      <c r="P438" t="n">
        <v>0</v>
      </c>
      <c r="Q438" t="n">
        <v>0</v>
      </c>
      <c r="R438" s="2" t="inlineStr"/>
    </row>
    <row r="439" ht="15" customHeight="1">
      <c r="A439" t="inlineStr">
        <is>
          <t>A 42845-2023</t>
        </is>
      </c>
      <c r="B439" s="1" t="n">
        <v>45177</v>
      </c>
      <c r="C439" s="1" t="n">
        <v>46133</v>
      </c>
      <c r="D439" t="inlineStr">
        <is>
          <t>NORRBOTTENS LÄN</t>
        </is>
      </c>
      <c r="E439" t="inlineStr">
        <is>
          <t>PAJALA</t>
        </is>
      </c>
      <c r="G439" t="n">
        <v>0.4</v>
      </c>
      <c r="H439" t="n">
        <v>0</v>
      </c>
      <c r="I439" t="n">
        <v>0</v>
      </c>
      <c r="J439" t="n">
        <v>0</v>
      </c>
      <c r="K439" t="n">
        <v>0</v>
      </c>
      <c r="L439" t="n">
        <v>0</v>
      </c>
      <c r="M439" t="n">
        <v>0</v>
      </c>
      <c r="N439" t="n">
        <v>0</v>
      </c>
      <c r="O439" t="n">
        <v>0</v>
      </c>
      <c r="P439" t="n">
        <v>0</v>
      </c>
      <c r="Q439" t="n">
        <v>0</v>
      </c>
      <c r="R439" s="2" t="inlineStr"/>
    </row>
    <row r="440" ht="15" customHeight="1">
      <c r="A440" t="inlineStr">
        <is>
          <t>A 38124-2025</t>
        </is>
      </c>
      <c r="B440" s="1" t="n">
        <v>45882.55276620371</v>
      </c>
      <c r="C440" s="1" t="n">
        <v>46133</v>
      </c>
      <c r="D440" t="inlineStr">
        <is>
          <t>NORRBOTTENS LÄN</t>
        </is>
      </c>
      <c r="E440" t="inlineStr">
        <is>
          <t>PAJALA</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8903-2023</t>
        </is>
      </c>
      <c r="B441" s="1" t="n">
        <v>44973</v>
      </c>
      <c r="C441" s="1" t="n">
        <v>46133</v>
      </c>
      <c r="D441" t="inlineStr">
        <is>
          <t>NORRBOTTENS LÄN</t>
        </is>
      </c>
      <c r="E441" t="inlineStr">
        <is>
          <t>PAJALA</t>
        </is>
      </c>
      <c r="G441" t="n">
        <v>13</v>
      </c>
      <c r="H441" t="n">
        <v>0</v>
      </c>
      <c r="I441" t="n">
        <v>0</v>
      </c>
      <c r="J441" t="n">
        <v>0</v>
      </c>
      <c r="K441" t="n">
        <v>0</v>
      </c>
      <c r="L441" t="n">
        <v>0</v>
      </c>
      <c r="M441" t="n">
        <v>0</v>
      </c>
      <c r="N441" t="n">
        <v>0</v>
      </c>
      <c r="O441" t="n">
        <v>0</v>
      </c>
      <c r="P441" t="n">
        <v>0</v>
      </c>
      <c r="Q441" t="n">
        <v>0</v>
      </c>
      <c r="R441" s="2" t="inlineStr"/>
    </row>
    <row r="442" ht="15" customHeight="1">
      <c r="A442" t="inlineStr">
        <is>
          <t>A 51822-2025</t>
        </is>
      </c>
      <c r="B442" s="1" t="n">
        <v>45951</v>
      </c>
      <c r="C442" s="1" t="n">
        <v>46133</v>
      </c>
      <c r="D442" t="inlineStr">
        <is>
          <t>NORRBOTTENS LÄN</t>
        </is>
      </c>
      <c r="E442" t="inlineStr">
        <is>
          <t>PAJALA</t>
        </is>
      </c>
      <c r="G442" t="n">
        <v>2.8</v>
      </c>
      <c r="H442" t="n">
        <v>0</v>
      </c>
      <c r="I442" t="n">
        <v>0</v>
      </c>
      <c r="J442" t="n">
        <v>0</v>
      </c>
      <c r="K442" t="n">
        <v>0</v>
      </c>
      <c r="L442" t="n">
        <v>0</v>
      </c>
      <c r="M442" t="n">
        <v>0</v>
      </c>
      <c r="N442" t="n">
        <v>0</v>
      </c>
      <c r="O442" t="n">
        <v>0</v>
      </c>
      <c r="P442" t="n">
        <v>0</v>
      </c>
      <c r="Q442" t="n">
        <v>0</v>
      </c>
      <c r="R442" s="2" t="inlineStr"/>
    </row>
    <row r="443" ht="15" customHeight="1">
      <c r="A443" t="inlineStr">
        <is>
          <t>A 27625-2024</t>
        </is>
      </c>
      <c r="B443" s="1" t="n">
        <v>45474.92802083334</v>
      </c>
      <c r="C443" s="1" t="n">
        <v>46133</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28440-2024</t>
        </is>
      </c>
      <c r="B444" s="1" t="n">
        <v>45477.66251157408</v>
      </c>
      <c r="C444" s="1" t="n">
        <v>46133</v>
      </c>
      <c r="D444" t="inlineStr">
        <is>
          <t>NORRBOTTENS LÄN</t>
        </is>
      </c>
      <c r="E444" t="inlineStr">
        <is>
          <t>PAJALA</t>
        </is>
      </c>
      <c r="G444" t="n">
        <v>2</v>
      </c>
      <c r="H444" t="n">
        <v>0</v>
      </c>
      <c r="I444" t="n">
        <v>0</v>
      </c>
      <c r="J444" t="n">
        <v>0</v>
      </c>
      <c r="K444" t="n">
        <v>0</v>
      </c>
      <c r="L444" t="n">
        <v>0</v>
      </c>
      <c r="M444" t="n">
        <v>0</v>
      </c>
      <c r="N444" t="n">
        <v>0</v>
      </c>
      <c r="O444" t="n">
        <v>0</v>
      </c>
      <c r="P444" t="n">
        <v>0</v>
      </c>
      <c r="Q444" t="n">
        <v>0</v>
      </c>
      <c r="R444" s="2" t="inlineStr"/>
    </row>
    <row r="445" ht="15" customHeight="1">
      <c r="A445" t="inlineStr">
        <is>
          <t>A 52783-2021</t>
        </is>
      </c>
      <c r="B445" s="1" t="n">
        <v>44467.35696759259</v>
      </c>
      <c r="C445" s="1" t="n">
        <v>46133</v>
      </c>
      <c r="D445" t="inlineStr">
        <is>
          <t>NORRBOTTENS LÄN</t>
        </is>
      </c>
      <c r="E445" t="inlineStr">
        <is>
          <t>PAJALA</t>
        </is>
      </c>
      <c r="F445" t="inlineStr">
        <is>
          <t>Sveaskog</t>
        </is>
      </c>
      <c r="G445" t="n">
        <v>0.4</v>
      </c>
      <c r="H445" t="n">
        <v>0</v>
      </c>
      <c r="I445" t="n">
        <v>0</v>
      </c>
      <c r="J445" t="n">
        <v>0</v>
      </c>
      <c r="K445" t="n">
        <v>0</v>
      </c>
      <c r="L445" t="n">
        <v>0</v>
      </c>
      <c r="M445" t="n">
        <v>0</v>
      </c>
      <c r="N445" t="n">
        <v>0</v>
      </c>
      <c r="O445" t="n">
        <v>0</v>
      </c>
      <c r="P445" t="n">
        <v>0</v>
      </c>
      <c r="Q445" t="n">
        <v>0</v>
      </c>
      <c r="R445" s="2" t="inlineStr"/>
    </row>
    <row r="446" ht="15" customHeight="1">
      <c r="A446" t="inlineStr">
        <is>
          <t>A 38093-2025</t>
        </is>
      </c>
      <c r="B446" s="1" t="n">
        <v>45882.49021990741</v>
      </c>
      <c r="C446" s="1" t="n">
        <v>46133</v>
      </c>
      <c r="D446" t="inlineStr">
        <is>
          <t>NORRBOTTENS LÄN</t>
        </is>
      </c>
      <c r="E446" t="inlineStr">
        <is>
          <t>PAJALA</t>
        </is>
      </c>
      <c r="F446" t="inlineStr">
        <is>
          <t>SCA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38116-2025</t>
        </is>
      </c>
      <c r="B447" s="1" t="n">
        <v>45882.53196759259</v>
      </c>
      <c r="C447" s="1" t="n">
        <v>46133</v>
      </c>
      <c r="D447" t="inlineStr">
        <is>
          <t>NORRBOTTENS LÄN</t>
        </is>
      </c>
      <c r="E447" t="inlineStr">
        <is>
          <t>PAJALA</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38114-2025</t>
        </is>
      </c>
      <c r="B448" s="1" t="n">
        <v>45882.53162037037</v>
      </c>
      <c r="C448" s="1" t="n">
        <v>46133</v>
      </c>
      <c r="D448" t="inlineStr">
        <is>
          <t>NORRBOTTENS LÄN</t>
        </is>
      </c>
      <c r="E448" t="inlineStr">
        <is>
          <t>PAJALA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51661-2025</t>
        </is>
      </c>
      <c r="B449" s="1" t="n">
        <v>45951.47849537037</v>
      </c>
      <c r="C449" s="1" t="n">
        <v>46133</v>
      </c>
      <c r="D449" t="inlineStr">
        <is>
          <t>NORRBOTTENS LÄN</t>
        </is>
      </c>
      <c r="E449" t="inlineStr">
        <is>
          <t>PAJALA</t>
        </is>
      </c>
      <c r="G449" t="n">
        <v>26.8</v>
      </c>
      <c r="H449" t="n">
        <v>0</v>
      </c>
      <c r="I449" t="n">
        <v>0</v>
      </c>
      <c r="J449" t="n">
        <v>0</v>
      </c>
      <c r="K449" t="n">
        <v>0</v>
      </c>
      <c r="L449" t="n">
        <v>0</v>
      </c>
      <c r="M449" t="n">
        <v>0</v>
      </c>
      <c r="N449" t="n">
        <v>0</v>
      </c>
      <c r="O449" t="n">
        <v>0</v>
      </c>
      <c r="P449" t="n">
        <v>0</v>
      </c>
      <c r="Q449" t="n">
        <v>0</v>
      </c>
      <c r="R449" s="2" t="inlineStr"/>
    </row>
    <row r="450" ht="15" customHeight="1">
      <c r="A450" t="inlineStr">
        <is>
          <t>A 38094-2025</t>
        </is>
      </c>
      <c r="B450" s="1" t="n">
        <v>45882.4903587963</v>
      </c>
      <c r="C450" s="1" t="n">
        <v>46133</v>
      </c>
      <c r="D450" t="inlineStr">
        <is>
          <t>NORRBOTTENS LÄN</t>
        </is>
      </c>
      <c r="E450" t="inlineStr">
        <is>
          <t>PAJALA</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52292-2025</t>
        </is>
      </c>
      <c r="B451" s="1" t="n">
        <v>45953.5986574074</v>
      </c>
      <c r="C451" s="1" t="n">
        <v>46133</v>
      </c>
      <c r="D451" t="inlineStr">
        <is>
          <t>NORRBOTTENS LÄN</t>
        </is>
      </c>
      <c r="E451" t="inlineStr">
        <is>
          <t>PAJALA</t>
        </is>
      </c>
      <c r="F451" t="inlineStr">
        <is>
          <t>Sveaskog</t>
        </is>
      </c>
      <c r="G451" t="n">
        <v>11.6</v>
      </c>
      <c r="H451" t="n">
        <v>0</v>
      </c>
      <c r="I451" t="n">
        <v>0</v>
      </c>
      <c r="J451" t="n">
        <v>0</v>
      </c>
      <c r="K451" t="n">
        <v>0</v>
      </c>
      <c r="L451" t="n">
        <v>0</v>
      </c>
      <c r="M451" t="n">
        <v>0</v>
      </c>
      <c r="N451" t="n">
        <v>0</v>
      </c>
      <c r="O451" t="n">
        <v>0</v>
      </c>
      <c r="P451" t="n">
        <v>0</v>
      </c>
      <c r="Q451" t="n">
        <v>0</v>
      </c>
      <c r="R451" s="2" t="inlineStr"/>
    </row>
    <row r="452" ht="15" customHeight="1">
      <c r="A452" t="inlineStr">
        <is>
          <t>A 30409-2024</t>
        </is>
      </c>
      <c r="B452" s="1" t="n">
        <v>45491.61465277777</v>
      </c>
      <c r="C452" s="1" t="n">
        <v>46133</v>
      </c>
      <c r="D452" t="inlineStr">
        <is>
          <t>NORRBOTTENS LÄN</t>
        </is>
      </c>
      <c r="E452" t="inlineStr">
        <is>
          <t>PAJALA</t>
        </is>
      </c>
      <c r="G452" t="n">
        <v>8.1</v>
      </c>
      <c r="H452" t="n">
        <v>0</v>
      </c>
      <c r="I452" t="n">
        <v>0</v>
      </c>
      <c r="J452" t="n">
        <v>0</v>
      </c>
      <c r="K452" t="n">
        <v>0</v>
      </c>
      <c r="L452" t="n">
        <v>0</v>
      </c>
      <c r="M452" t="n">
        <v>0</v>
      </c>
      <c r="N452" t="n">
        <v>0</v>
      </c>
      <c r="O452" t="n">
        <v>0</v>
      </c>
      <c r="P452" t="n">
        <v>0</v>
      </c>
      <c r="Q452" t="n">
        <v>0</v>
      </c>
      <c r="R452" s="2" t="inlineStr"/>
    </row>
    <row r="453" ht="15" customHeight="1">
      <c r="A453" t="inlineStr">
        <is>
          <t>A 30413-2024</t>
        </is>
      </c>
      <c r="B453" s="1" t="n">
        <v>45491.63013888889</v>
      </c>
      <c r="C453" s="1" t="n">
        <v>46133</v>
      </c>
      <c r="D453" t="inlineStr">
        <is>
          <t>NORRBOTTENS LÄN</t>
        </is>
      </c>
      <c r="E453" t="inlineStr">
        <is>
          <t>PAJALA</t>
        </is>
      </c>
      <c r="G453" t="n">
        <v>11</v>
      </c>
      <c r="H453" t="n">
        <v>0</v>
      </c>
      <c r="I453" t="n">
        <v>0</v>
      </c>
      <c r="J453" t="n">
        <v>0</v>
      </c>
      <c r="K453" t="n">
        <v>0</v>
      </c>
      <c r="L453" t="n">
        <v>0</v>
      </c>
      <c r="M453" t="n">
        <v>0</v>
      </c>
      <c r="N453" t="n">
        <v>0</v>
      </c>
      <c r="O453" t="n">
        <v>0</v>
      </c>
      <c r="P453" t="n">
        <v>0</v>
      </c>
      <c r="Q453" t="n">
        <v>0</v>
      </c>
      <c r="R453" s="2" t="inlineStr"/>
    </row>
    <row r="454" ht="15" customHeight="1">
      <c r="A454" t="inlineStr">
        <is>
          <t>A 3153-2024</t>
        </is>
      </c>
      <c r="B454" s="1" t="n">
        <v>45316.60324074074</v>
      </c>
      <c r="C454" s="1" t="n">
        <v>46133</v>
      </c>
      <c r="D454" t="inlineStr">
        <is>
          <t>NORRBOTTENS LÄN</t>
        </is>
      </c>
      <c r="E454" t="inlineStr">
        <is>
          <t>PAJALA</t>
        </is>
      </c>
      <c r="G454" t="n">
        <v>6.3</v>
      </c>
      <c r="H454" t="n">
        <v>0</v>
      </c>
      <c r="I454" t="n">
        <v>0</v>
      </c>
      <c r="J454" t="n">
        <v>0</v>
      </c>
      <c r="K454" t="n">
        <v>0</v>
      </c>
      <c r="L454" t="n">
        <v>0</v>
      </c>
      <c r="M454" t="n">
        <v>0</v>
      </c>
      <c r="N454" t="n">
        <v>0</v>
      </c>
      <c r="O454" t="n">
        <v>0</v>
      </c>
      <c r="P454" t="n">
        <v>0</v>
      </c>
      <c r="Q454" t="n">
        <v>0</v>
      </c>
      <c r="R454" s="2" t="inlineStr"/>
    </row>
    <row r="455" ht="15" customHeight="1">
      <c r="A455" t="inlineStr">
        <is>
          <t>A 23623-2024</t>
        </is>
      </c>
      <c r="B455" s="1" t="n">
        <v>45454</v>
      </c>
      <c r="C455" s="1" t="n">
        <v>46133</v>
      </c>
      <c r="D455" t="inlineStr">
        <is>
          <t>NORRBOTTENS LÄN</t>
        </is>
      </c>
      <c r="E455" t="inlineStr">
        <is>
          <t>PAJALA</t>
        </is>
      </c>
      <c r="G455" t="n">
        <v>11.4</v>
      </c>
      <c r="H455" t="n">
        <v>0</v>
      </c>
      <c r="I455" t="n">
        <v>0</v>
      </c>
      <c r="J455" t="n">
        <v>0</v>
      </c>
      <c r="K455" t="n">
        <v>0</v>
      </c>
      <c r="L455" t="n">
        <v>0</v>
      </c>
      <c r="M455" t="n">
        <v>0</v>
      </c>
      <c r="N455" t="n">
        <v>0</v>
      </c>
      <c r="O455" t="n">
        <v>0</v>
      </c>
      <c r="P455" t="n">
        <v>0</v>
      </c>
      <c r="Q455" t="n">
        <v>0</v>
      </c>
      <c r="R455" s="2" t="inlineStr"/>
    </row>
    <row r="456" ht="15" customHeight="1">
      <c r="A456" t="inlineStr">
        <is>
          <t>A 20239-2024</t>
        </is>
      </c>
      <c r="B456" s="1" t="n">
        <v>45434.78520833333</v>
      </c>
      <c r="C456" s="1" t="n">
        <v>46133</v>
      </c>
      <c r="D456" t="inlineStr">
        <is>
          <t>NORRBOTTENS LÄN</t>
        </is>
      </c>
      <c r="E456" t="inlineStr">
        <is>
          <t>PAJALA</t>
        </is>
      </c>
      <c r="G456" t="n">
        <v>1.7</v>
      </c>
      <c r="H456" t="n">
        <v>0</v>
      </c>
      <c r="I456" t="n">
        <v>0</v>
      </c>
      <c r="J456" t="n">
        <v>0</v>
      </c>
      <c r="K456" t="n">
        <v>0</v>
      </c>
      <c r="L456" t="n">
        <v>0</v>
      </c>
      <c r="M456" t="n">
        <v>0</v>
      </c>
      <c r="N456" t="n">
        <v>0</v>
      </c>
      <c r="O456" t="n">
        <v>0</v>
      </c>
      <c r="P456" t="n">
        <v>0</v>
      </c>
      <c r="Q456" t="n">
        <v>0</v>
      </c>
      <c r="R456" s="2" t="inlineStr"/>
    </row>
    <row r="457" ht="15" customHeight="1">
      <c r="A457" t="inlineStr">
        <is>
          <t>A 52896-2025</t>
        </is>
      </c>
      <c r="B457" s="1" t="n">
        <v>45957.58365740741</v>
      </c>
      <c r="C457" s="1" t="n">
        <v>46133</v>
      </c>
      <c r="D457" t="inlineStr">
        <is>
          <t>NORRBOTTENS LÄN</t>
        </is>
      </c>
      <c r="E457" t="inlineStr">
        <is>
          <t>PAJALA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52895-2025</t>
        </is>
      </c>
      <c r="B458" s="1" t="n">
        <v>45957.5815162037</v>
      </c>
      <c r="C458" s="1" t="n">
        <v>46133</v>
      </c>
      <c r="D458" t="inlineStr">
        <is>
          <t>NORRBOTTENS LÄN</t>
        </is>
      </c>
      <c r="E458" t="inlineStr">
        <is>
          <t>PAJALA</t>
        </is>
      </c>
      <c r="F458" t="inlineStr">
        <is>
          <t>Sveaskog</t>
        </is>
      </c>
      <c r="G458" t="n">
        <v>2.4</v>
      </c>
      <c r="H458" t="n">
        <v>0</v>
      </c>
      <c r="I458" t="n">
        <v>0</v>
      </c>
      <c r="J458" t="n">
        <v>0</v>
      </c>
      <c r="K458" t="n">
        <v>0</v>
      </c>
      <c r="L458" t="n">
        <v>0</v>
      </c>
      <c r="M458" t="n">
        <v>0</v>
      </c>
      <c r="N458" t="n">
        <v>0</v>
      </c>
      <c r="O458" t="n">
        <v>0</v>
      </c>
      <c r="P458" t="n">
        <v>0</v>
      </c>
      <c r="Q458" t="n">
        <v>0</v>
      </c>
      <c r="R458" s="2" t="inlineStr"/>
    </row>
    <row r="459" ht="15" customHeight="1">
      <c r="A459" t="inlineStr">
        <is>
          <t>A 52902-2025</t>
        </is>
      </c>
      <c r="B459" s="1" t="n">
        <v>45957.59032407407</v>
      </c>
      <c r="C459" s="1" t="n">
        <v>46133</v>
      </c>
      <c r="D459" t="inlineStr">
        <is>
          <t>NORRBOTTENS LÄN</t>
        </is>
      </c>
      <c r="E459" t="inlineStr">
        <is>
          <t>PAJALA</t>
        </is>
      </c>
      <c r="F459" t="inlineStr">
        <is>
          <t>Sveaskog</t>
        </is>
      </c>
      <c r="G459" t="n">
        <v>4.6</v>
      </c>
      <c r="H459" t="n">
        <v>0</v>
      </c>
      <c r="I459" t="n">
        <v>0</v>
      </c>
      <c r="J459" t="n">
        <v>0</v>
      </c>
      <c r="K459" t="n">
        <v>0</v>
      </c>
      <c r="L459" t="n">
        <v>0</v>
      </c>
      <c r="M459" t="n">
        <v>0</v>
      </c>
      <c r="N459" t="n">
        <v>0</v>
      </c>
      <c r="O459" t="n">
        <v>0</v>
      </c>
      <c r="P459" t="n">
        <v>0</v>
      </c>
      <c r="Q459" t="n">
        <v>0</v>
      </c>
      <c r="R459" s="2" t="inlineStr"/>
    </row>
    <row r="460" ht="15" customHeight="1">
      <c r="A460" t="inlineStr">
        <is>
          <t>A 52904-2025</t>
        </is>
      </c>
      <c r="B460" s="1" t="n">
        <v>45957.59276620371</v>
      </c>
      <c r="C460" s="1" t="n">
        <v>46133</v>
      </c>
      <c r="D460" t="inlineStr">
        <is>
          <t>NORRBOTTENS LÄN</t>
        </is>
      </c>
      <c r="E460" t="inlineStr">
        <is>
          <t>PAJALA</t>
        </is>
      </c>
      <c r="F460" t="inlineStr">
        <is>
          <t>Sveaskog</t>
        </is>
      </c>
      <c r="G460" t="n">
        <v>3.5</v>
      </c>
      <c r="H460" t="n">
        <v>0</v>
      </c>
      <c r="I460" t="n">
        <v>0</v>
      </c>
      <c r="J460" t="n">
        <v>0</v>
      </c>
      <c r="K460" t="n">
        <v>0</v>
      </c>
      <c r="L460" t="n">
        <v>0</v>
      </c>
      <c r="M460" t="n">
        <v>0</v>
      </c>
      <c r="N460" t="n">
        <v>0</v>
      </c>
      <c r="O460" t="n">
        <v>0</v>
      </c>
      <c r="P460" t="n">
        <v>0</v>
      </c>
      <c r="Q460" t="n">
        <v>0</v>
      </c>
      <c r="R460" s="2" t="inlineStr"/>
    </row>
    <row r="461" ht="15" customHeight="1">
      <c r="A461" t="inlineStr">
        <is>
          <t>A 50266-2025</t>
        </is>
      </c>
      <c r="B461" s="1" t="n">
        <v>45944</v>
      </c>
      <c r="C461" s="1" t="n">
        <v>46133</v>
      </c>
      <c r="D461" t="inlineStr">
        <is>
          <t>NORRBOTTENS LÄN</t>
        </is>
      </c>
      <c r="E461" t="inlineStr">
        <is>
          <t>PAJALA</t>
        </is>
      </c>
      <c r="G461" t="n">
        <v>43.9</v>
      </c>
      <c r="H461" t="n">
        <v>0</v>
      </c>
      <c r="I461" t="n">
        <v>0</v>
      </c>
      <c r="J461" t="n">
        <v>0</v>
      </c>
      <c r="K461" t="n">
        <v>0</v>
      </c>
      <c r="L461" t="n">
        <v>0</v>
      </c>
      <c r="M461" t="n">
        <v>0</v>
      </c>
      <c r="N461" t="n">
        <v>0</v>
      </c>
      <c r="O461" t="n">
        <v>0</v>
      </c>
      <c r="P461" t="n">
        <v>0</v>
      </c>
      <c r="Q461" t="n">
        <v>0</v>
      </c>
      <c r="R461" s="2" t="inlineStr"/>
    </row>
    <row r="462" ht="15" customHeight="1">
      <c r="A462" t="inlineStr">
        <is>
          <t>A 31097-2024</t>
        </is>
      </c>
      <c r="B462" s="1" t="n">
        <v>45502</v>
      </c>
      <c r="C462" s="1" t="n">
        <v>46133</v>
      </c>
      <c r="D462" t="inlineStr">
        <is>
          <t>NORRBOTTENS LÄN</t>
        </is>
      </c>
      <c r="E462" t="inlineStr">
        <is>
          <t>PAJALA</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c r="U462">
        <f>HYPERLINK("https://klasma.github.io/Logging_2521/knärot/A 31097-2024 karta knärot.png", "A 31097-2024")</f>
        <v/>
      </c>
      <c r="V462">
        <f>HYPERLINK("https://klasma.github.io/Logging_2521/klagomål/A 31097-2024 FSC-klagomål.docx", "A 31097-2024")</f>
        <v/>
      </c>
      <c r="W462">
        <f>HYPERLINK("https://klasma.github.io/Logging_2521/klagomålsmail/A 31097-2024 FSC-klagomål mail.docx", "A 31097-2024")</f>
        <v/>
      </c>
      <c r="X462">
        <f>HYPERLINK("https://klasma.github.io/Logging_2521/tillsyn/A 31097-2024 tillsynsbegäran.docx", "A 31097-2024")</f>
        <v/>
      </c>
      <c r="Y462">
        <f>HYPERLINK("https://klasma.github.io/Logging_2521/tillsynsmail/A 31097-2024 tillsynsbegäran mail.docx", "A 31097-2024")</f>
        <v/>
      </c>
    </row>
    <row r="463" ht="15" customHeight="1">
      <c r="A463" t="inlineStr">
        <is>
          <t>A 57602-2023</t>
        </is>
      </c>
      <c r="B463" s="1" t="n">
        <v>45246</v>
      </c>
      <c r="C463" s="1" t="n">
        <v>46133</v>
      </c>
      <c r="D463" t="inlineStr">
        <is>
          <t>NORRBOTTENS LÄN</t>
        </is>
      </c>
      <c r="E463" t="inlineStr">
        <is>
          <t>PAJALA</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52911-2025</t>
        </is>
      </c>
      <c r="B464" s="1" t="n">
        <v>45957</v>
      </c>
      <c r="C464" s="1" t="n">
        <v>46133</v>
      </c>
      <c r="D464" t="inlineStr">
        <is>
          <t>NORRBOTTENS LÄN</t>
        </is>
      </c>
      <c r="E464" t="inlineStr">
        <is>
          <t>PAJALA</t>
        </is>
      </c>
      <c r="F464" t="inlineStr">
        <is>
          <t>Sveaskog</t>
        </is>
      </c>
      <c r="G464" t="n">
        <v>27.4</v>
      </c>
      <c r="H464" t="n">
        <v>0</v>
      </c>
      <c r="I464" t="n">
        <v>0</v>
      </c>
      <c r="J464" t="n">
        <v>0</v>
      </c>
      <c r="K464" t="n">
        <v>0</v>
      </c>
      <c r="L464" t="n">
        <v>0</v>
      </c>
      <c r="M464" t="n">
        <v>0</v>
      </c>
      <c r="N464" t="n">
        <v>0</v>
      </c>
      <c r="O464" t="n">
        <v>0</v>
      </c>
      <c r="P464" t="n">
        <v>0</v>
      </c>
      <c r="Q464" t="n">
        <v>0</v>
      </c>
      <c r="R464" s="2" t="inlineStr"/>
    </row>
    <row r="465" ht="15" customHeight="1">
      <c r="A465" t="inlineStr">
        <is>
          <t>A 50016-2024</t>
        </is>
      </c>
      <c r="B465" s="1" t="n">
        <v>45599.36493055556</v>
      </c>
      <c r="C465" s="1" t="n">
        <v>46133</v>
      </c>
      <c r="D465" t="inlineStr">
        <is>
          <t>NORRBOTTENS LÄN</t>
        </is>
      </c>
      <c r="E465" t="inlineStr">
        <is>
          <t>PAJALA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51062-2024</t>
        </is>
      </c>
      <c r="B466" s="1" t="n">
        <v>45603.44844907407</v>
      </c>
      <c r="C466" s="1" t="n">
        <v>46133</v>
      </c>
      <c r="D466" t="inlineStr">
        <is>
          <t>NORRBOTTENS LÄN</t>
        </is>
      </c>
      <c r="E466" t="inlineStr">
        <is>
          <t>PAJALA</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41819-2025</t>
        </is>
      </c>
      <c r="B467" s="1" t="n">
        <v>45902</v>
      </c>
      <c r="C467" s="1" t="n">
        <v>46133</v>
      </c>
      <c r="D467" t="inlineStr">
        <is>
          <t>NORRBOTTENS LÄN</t>
        </is>
      </c>
      <c r="E467" t="inlineStr">
        <is>
          <t>PAJALA</t>
        </is>
      </c>
      <c r="F467" t="inlineStr">
        <is>
          <t>Sveaskog</t>
        </is>
      </c>
      <c r="G467" t="n">
        <v>24.4</v>
      </c>
      <c r="H467" t="n">
        <v>0</v>
      </c>
      <c r="I467" t="n">
        <v>0</v>
      </c>
      <c r="J467" t="n">
        <v>0</v>
      </c>
      <c r="K467" t="n">
        <v>0</v>
      </c>
      <c r="L467" t="n">
        <v>0</v>
      </c>
      <c r="M467" t="n">
        <v>0</v>
      </c>
      <c r="N467" t="n">
        <v>0</v>
      </c>
      <c r="O467" t="n">
        <v>0</v>
      </c>
      <c r="P467" t="n">
        <v>0</v>
      </c>
      <c r="Q467" t="n">
        <v>0</v>
      </c>
      <c r="R467" s="2" t="inlineStr"/>
    </row>
    <row r="468" ht="15" customHeight="1">
      <c r="A468" t="inlineStr">
        <is>
          <t>A 38939-2023</t>
        </is>
      </c>
      <c r="B468" s="1" t="n">
        <v>45163.60116898148</v>
      </c>
      <c r="C468" s="1" t="n">
        <v>46133</v>
      </c>
      <c r="D468" t="inlineStr">
        <is>
          <t>NORRBOTTENS LÄN</t>
        </is>
      </c>
      <c r="E468" t="inlineStr">
        <is>
          <t>PAJALA</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53797-2025</t>
        </is>
      </c>
      <c r="B469" s="1" t="n">
        <v>45960.76377314814</v>
      </c>
      <c r="C469" s="1" t="n">
        <v>46133</v>
      </c>
      <c r="D469" t="inlineStr">
        <is>
          <t>NORRBOTTENS LÄN</t>
        </is>
      </c>
      <c r="E469" t="inlineStr">
        <is>
          <t>PAJALA</t>
        </is>
      </c>
      <c r="G469" t="n">
        <v>19.1</v>
      </c>
      <c r="H469" t="n">
        <v>0</v>
      </c>
      <c r="I469" t="n">
        <v>0</v>
      </c>
      <c r="J469" t="n">
        <v>0</v>
      </c>
      <c r="K469" t="n">
        <v>0</v>
      </c>
      <c r="L469" t="n">
        <v>0</v>
      </c>
      <c r="M469" t="n">
        <v>0</v>
      </c>
      <c r="N469" t="n">
        <v>0</v>
      </c>
      <c r="O469" t="n">
        <v>0</v>
      </c>
      <c r="P469" t="n">
        <v>0</v>
      </c>
      <c r="Q469" t="n">
        <v>0</v>
      </c>
      <c r="R469" s="2" t="inlineStr"/>
    </row>
    <row r="470" ht="15" customHeight="1">
      <c r="A470" t="inlineStr">
        <is>
          <t>A 53756-2025</t>
        </is>
      </c>
      <c r="B470" s="1" t="n">
        <v>45960.66344907408</v>
      </c>
      <c r="C470" s="1" t="n">
        <v>46133</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54538-2025</t>
        </is>
      </c>
      <c r="B471" s="1" t="n">
        <v>45965.64547453704</v>
      </c>
      <c r="C471" s="1" t="n">
        <v>46133</v>
      </c>
      <c r="D471" t="inlineStr">
        <is>
          <t>NORRBOTTENS LÄN</t>
        </is>
      </c>
      <c r="E471" t="inlineStr">
        <is>
          <t>PAJALA</t>
        </is>
      </c>
      <c r="G471" t="n">
        <v>9.1</v>
      </c>
      <c r="H471" t="n">
        <v>0</v>
      </c>
      <c r="I471" t="n">
        <v>0</v>
      </c>
      <c r="J471" t="n">
        <v>0</v>
      </c>
      <c r="K471" t="n">
        <v>0</v>
      </c>
      <c r="L471" t="n">
        <v>0</v>
      </c>
      <c r="M471" t="n">
        <v>0</v>
      </c>
      <c r="N471" t="n">
        <v>0</v>
      </c>
      <c r="O471" t="n">
        <v>0</v>
      </c>
      <c r="P471" t="n">
        <v>0</v>
      </c>
      <c r="Q471" t="n">
        <v>0</v>
      </c>
      <c r="R471" s="2" t="inlineStr"/>
    </row>
    <row r="472" ht="15" customHeight="1">
      <c r="A472" t="inlineStr">
        <is>
          <t>A 54230-2025</t>
        </is>
      </c>
      <c r="B472" s="1" t="n">
        <v>45964</v>
      </c>
      <c r="C472" s="1" t="n">
        <v>46133</v>
      </c>
      <c r="D472" t="inlineStr">
        <is>
          <t>NORRBOTTENS LÄN</t>
        </is>
      </c>
      <c r="E472" t="inlineStr">
        <is>
          <t>PAJALA</t>
        </is>
      </c>
      <c r="G472" t="n">
        <v>4</v>
      </c>
      <c r="H472" t="n">
        <v>0</v>
      </c>
      <c r="I472" t="n">
        <v>0</v>
      </c>
      <c r="J472" t="n">
        <v>0</v>
      </c>
      <c r="K472" t="n">
        <v>0</v>
      </c>
      <c r="L472" t="n">
        <v>0</v>
      </c>
      <c r="M472" t="n">
        <v>0</v>
      </c>
      <c r="N472" t="n">
        <v>0</v>
      </c>
      <c r="O472" t="n">
        <v>0</v>
      </c>
      <c r="P472" t="n">
        <v>0</v>
      </c>
      <c r="Q472" t="n">
        <v>0</v>
      </c>
      <c r="R472" s="2" t="inlineStr"/>
    </row>
    <row r="473" ht="15" customHeight="1">
      <c r="A473" t="inlineStr">
        <is>
          <t>A 5110-2026</t>
        </is>
      </c>
      <c r="B473" s="1" t="n">
        <v>46049.57355324074</v>
      </c>
      <c r="C473" s="1" t="n">
        <v>46133</v>
      </c>
      <c r="D473" t="inlineStr">
        <is>
          <t>NORRBOTTENS LÄN</t>
        </is>
      </c>
      <c r="E473" t="inlineStr">
        <is>
          <t>PAJALA</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4679-2026</t>
        </is>
      </c>
      <c r="B474" s="1" t="n">
        <v>46048.42756944444</v>
      </c>
      <c r="C474" s="1" t="n">
        <v>46133</v>
      </c>
      <c r="D474" t="inlineStr">
        <is>
          <t>NORRBOTTENS LÄN</t>
        </is>
      </c>
      <c r="E474" t="inlineStr">
        <is>
          <t>PAJALA</t>
        </is>
      </c>
      <c r="G474" t="n">
        <v>15</v>
      </c>
      <c r="H474" t="n">
        <v>0</v>
      </c>
      <c r="I474" t="n">
        <v>0</v>
      </c>
      <c r="J474" t="n">
        <v>0</v>
      </c>
      <c r="K474" t="n">
        <v>0</v>
      </c>
      <c r="L474" t="n">
        <v>0</v>
      </c>
      <c r="M474" t="n">
        <v>0</v>
      </c>
      <c r="N474" t="n">
        <v>0</v>
      </c>
      <c r="O474" t="n">
        <v>0</v>
      </c>
      <c r="P474" t="n">
        <v>0</v>
      </c>
      <c r="Q474" t="n">
        <v>0</v>
      </c>
      <c r="R474" s="2" t="inlineStr"/>
    </row>
    <row r="475" ht="15" customHeight="1">
      <c r="A475" t="inlineStr">
        <is>
          <t>A 54224-2025</t>
        </is>
      </c>
      <c r="B475" s="1" t="n">
        <v>45964</v>
      </c>
      <c r="C475" s="1" t="n">
        <v>46133</v>
      </c>
      <c r="D475" t="inlineStr">
        <is>
          <t>NORRBOTTENS LÄN</t>
        </is>
      </c>
      <c r="E475" t="inlineStr">
        <is>
          <t>PAJALA</t>
        </is>
      </c>
      <c r="G475" t="n">
        <v>12.4</v>
      </c>
      <c r="H475" t="n">
        <v>0</v>
      </c>
      <c r="I475" t="n">
        <v>0</v>
      </c>
      <c r="J475" t="n">
        <v>0</v>
      </c>
      <c r="K475" t="n">
        <v>0</v>
      </c>
      <c r="L475" t="n">
        <v>0</v>
      </c>
      <c r="M475" t="n">
        <v>0</v>
      </c>
      <c r="N475" t="n">
        <v>0</v>
      </c>
      <c r="O475" t="n">
        <v>0</v>
      </c>
      <c r="P475" t="n">
        <v>0</v>
      </c>
      <c r="Q475" t="n">
        <v>0</v>
      </c>
      <c r="R475" s="2" t="inlineStr"/>
    </row>
    <row r="476" ht="15" customHeight="1">
      <c r="A476" t="inlineStr">
        <is>
          <t>A 460-2024</t>
        </is>
      </c>
      <c r="B476" s="1" t="n">
        <v>45297.46777777778</v>
      </c>
      <c r="C476" s="1" t="n">
        <v>46133</v>
      </c>
      <c r="D476" t="inlineStr">
        <is>
          <t>NORRBOTTENS LÄN</t>
        </is>
      </c>
      <c r="E476" t="inlineStr">
        <is>
          <t>PAJALA</t>
        </is>
      </c>
      <c r="G476" t="n">
        <v>0.6</v>
      </c>
      <c r="H476" t="n">
        <v>0</v>
      </c>
      <c r="I476" t="n">
        <v>0</v>
      </c>
      <c r="J476" t="n">
        <v>0</v>
      </c>
      <c r="K476" t="n">
        <v>0</v>
      </c>
      <c r="L476" t="n">
        <v>0</v>
      </c>
      <c r="M476" t="n">
        <v>0</v>
      </c>
      <c r="N476" t="n">
        <v>0</v>
      </c>
      <c r="O476" t="n">
        <v>0</v>
      </c>
      <c r="P476" t="n">
        <v>0</v>
      </c>
      <c r="Q476" t="n">
        <v>0</v>
      </c>
      <c r="R476" s="2" t="inlineStr"/>
    </row>
    <row r="477" ht="15" customHeight="1">
      <c r="A477" t="inlineStr">
        <is>
          <t>A 14246-2025</t>
        </is>
      </c>
      <c r="B477" s="1" t="n">
        <v>45740</v>
      </c>
      <c r="C477" s="1" t="n">
        <v>46133</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55308-2025</t>
        </is>
      </c>
      <c r="B478" s="1" t="n">
        <v>45970.59489583333</v>
      </c>
      <c r="C478" s="1" t="n">
        <v>46133</v>
      </c>
      <c r="D478" t="inlineStr">
        <is>
          <t>NORRBOTTENS LÄN</t>
        </is>
      </c>
      <c r="E478" t="inlineStr">
        <is>
          <t>PAJALA</t>
        </is>
      </c>
      <c r="G478" t="n">
        <v>16.3</v>
      </c>
      <c r="H478" t="n">
        <v>0</v>
      </c>
      <c r="I478" t="n">
        <v>0</v>
      </c>
      <c r="J478" t="n">
        <v>0</v>
      </c>
      <c r="K478" t="n">
        <v>0</v>
      </c>
      <c r="L478" t="n">
        <v>0</v>
      </c>
      <c r="M478" t="n">
        <v>0</v>
      </c>
      <c r="N478" t="n">
        <v>0</v>
      </c>
      <c r="O478" t="n">
        <v>0</v>
      </c>
      <c r="P478" t="n">
        <v>0</v>
      </c>
      <c r="Q478" t="n">
        <v>0</v>
      </c>
      <c r="R478" s="2" t="inlineStr"/>
    </row>
    <row r="479" ht="15" customHeight="1">
      <c r="A479" t="inlineStr">
        <is>
          <t>A 55112-2025</t>
        </is>
      </c>
      <c r="B479" s="1" t="n">
        <v>45968.38071759259</v>
      </c>
      <c r="C479" s="1" t="n">
        <v>46133</v>
      </c>
      <c r="D479" t="inlineStr">
        <is>
          <t>NORRBOTTENS LÄN</t>
        </is>
      </c>
      <c r="E479" t="inlineStr">
        <is>
          <t>PAJALA</t>
        </is>
      </c>
      <c r="G479" t="n">
        <v>5.8</v>
      </c>
      <c r="H479" t="n">
        <v>0</v>
      </c>
      <c r="I479" t="n">
        <v>0</v>
      </c>
      <c r="J479" t="n">
        <v>0</v>
      </c>
      <c r="K479" t="n">
        <v>0</v>
      </c>
      <c r="L479" t="n">
        <v>0</v>
      </c>
      <c r="M479" t="n">
        <v>0</v>
      </c>
      <c r="N479" t="n">
        <v>0</v>
      </c>
      <c r="O479" t="n">
        <v>0</v>
      </c>
      <c r="P479" t="n">
        <v>0</v>
      </c>
      <c r="Q479" t="n">
        <v>0</v>
      </c>
      <c r="R479" s="2" t="inlineStr"/>
    </row>
    <row r="480" ht="15" customHeight="1">
      <c r="A480" t="inlineStr">
        <is>
          <t>A 55315-2025</t>
        </is>
      </c>
      <c r="B480" s="1" t="n">
        <v>45970</v>
      </c>
      <c r="C480" s="1" t="n">
        <v>46133</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888-2025</t>
        </is>
      </c>
      <c r="B481" s="1" t="n">
        <v>45665.65054398148</v>
      </c>
      <c r="C481" s="1" t="n">
        <v>46133</v>
      </c>
      <c r="D481" t="inlineStr">
        <is>
          <t>NORRBOTTENS LÄN</t>
        </is>
      </c>
      <c r="E481" t="inlineStr">
        <is>
          <t>PAJALA</t>
        </is>
      </c>
      <c r="G481" t="n">
        <v>10.9</v>
      </c>
      <c r="H481" t="n">
        <v>0</v>
      </c>
      <c r="I481" t="n">
        <v>0</v>
      </c>
      <c r="J481" t="n">
        <v>0</v>
      </c>
      <c r="K481" t="n">
        <v>0</v>
      </c>
      <c r="L481" t="n">
        <v>0</v>
      </c>
      <c r="M481" t="n">
        <v>0</v>
      </c>
      <c r="N481" t="n">
        <v>0</v>
      </c>
      <c r="O481" t="n">
        <v>0</v>
      </c>
      <c r="P481" t="n">
        <v>0</v>
      </c>
      <c r="Q481" t="n">
        <v>0</v>
      </c>
      <c r="R481" s="2" t="inlineStr"/>
    </row>
    <row r="482" ht="15" customHeight="1">
      <c r="A482" t="inlineStr">
        <is>
          <t>A 55121-2025</t>
        </is>
      </c>
      <c r="B482" s="1" t="n">
        <v>45968.39101851852</v>
      </c>
      <c r="C482" s="1" t="n">
        <v>46133</v>
      </c>
      <c r="D482" t="inlineStr">
        <is>
          <t>NORRBOTTENS LÄN</t>
        </is>
      </c>
      <c r="E482" t="inlineStr">
        <is>
          <t>PAJALA</t>
        </is>
      </c>
      <c r="G482" t="n">
        <v>2.4</v>
      </c>
      <c r="H482" t="n">
        <v>0</v>
      </c>
      <c r="I482" t="n">
        <v>0</v>
      </c>
      <c r="J482" t="n">
        <v>0</v>
      </c>
      <c r="K482" t="n">
        <v>0</v>
      </c>
      <c r="L482" t="n">
        <v>0</v>
      </c>
      <c r="M482" t="n">
        <v>0</v>
      </c>
      <c r="N482" t="n">
        <v>0</v>
      </c>
      <c r="O482" t="n">
        <v>0</v>
      </c>
      <c r="P482" t="n">
        <v>0</v>
      </c>
      <c r="Q482" t="n">
        <v>0</v>
      </c>
      <c r="R482" s="2" t="inlineStr"/>
    </row>
    <row r="483" ht="15" customHeight="1">
      <c r="A483" t="inlineStr">
        <is>
          <t>A 55309-2025</t>
        </is>
      </c>
      <c r="B483" s="1" t="n">
        <v>45970.62760416666</v>
      </c>
      <c r="C483" s="1" t="n">
        <v>46133</v>
      </c>
      <c r="D483" t="inlineStr">
        <is>
          <t>NORRBOTTENS LÄN</t>
        </is>
      </c>
      <c r="E483" t="inlineStr">
        <is>
          <t>PAJALA</t>
        </is>
      </c>
      <c r="G483" t="n">
        <v>26.3</v>
      </c>
      <c r="H483" t="n">
        <v>0</v>
      </c>
      <c r="I483" t="n">
        <v>0</v>
      </c>
      <c r="J483" t="n">
        <v>0</v>
      </c>
      <c r="K483" t="n">
        <v>0</v>
      </c>
      <c r="L483" t="n">
        <v>0</v>
      </c>
      <c r="M483" t="n">
        <v>0</v>
      </c>
      <c r="N483" t="n">
        <v>0</v>
      </c>
      <c r="O483" t="n">
        <v>0</v>
      </c>
      <c r="P483" t="n">
        <v>0</v>
      </c>
      <c r="Q483" t="n">
        <v>0</v>
      </c>
      <c r="R483" s="2" t="inlineStr"/>
    </row>
    <row r="484" ht="15" customHeight="1">
      <c r="A484" t="inlineStr">
        <is>
          <t>A 55122-2025</t>
        </is>
      </c>
      <c r="B484" s="1" t="n">
        <v>45968.39515046297</v>
      </c>
      <c r="C484" s="1" t="n">
        <v>46133</v>
      </c>
      <c r="D484" t="inlineStr">
        <is>
          <t>NORRBOTTENS LÄN</t>
        </is>
      </c>
      <c r="E484" t="inlineStr">
        <is>
          <t>PAJALA</t>
        </is>
      </c>
      <c r="G484" t="n">
        <v>3.2</v>
      </c>
      <c r="H484" t="n">
        <v>0</v>
      </c>
      <c r="I484" t="n">
        <v>0</v>
      </c>
      <c r="J484" t="n">
        <v>0</v>
      </c>
      <c r="K484" t="n">
        <v>0</v>
      </c>
      <c r="L484" t="n">
        <v>0</v>
      </c>
      <c r="M484" t="n">
        <v>0</v>
      </c>
      <c r="N484" t="n">
        <v>0</v>
      </c>
      <c r="O484" t="n">
        <v>0</v>
      </c>
      <c r="P484" t="n">
        <v>0</v>
      </c>
      <c r="Q484" t="n">
        <v>0</v>
      </c>
      <c r="R484" s="2" t="inlineStr"/>
    </row>
    <row r="485" ht="15" customHeight="1">
      <c r="A485" t="inlineStr">
        <is>
          <t>A 55350-2025</t>
        </is>
      </c>
      <c r="B485" s="1" t="n">
        <v>45968</v>
      </c>
      <c r="C485" s="1" t="n">
        <v>46133</v>
      </c>
      <c r="D485" t="inlineStr">
        <is>
          <t>NORRBOTTENS LÄN</t>
        </is>
      </c>
      <c r="E485" t="inlineStr">
        <is>
          <t>PAJALA</t>
        </is>
      </c>
      <c r="G485" t="n">
        <v>3.1</v>
      </c>
      <c r="H485" t="n">
        <v>0</v>
      </c>
      <c r="I485" t="n">
        <v>0</v>
      </c>
      <c r="J485" t="n">
        <v>0</v>
      </c>
      <c r="K485" t="n">
        <v>0</v>
      </c>
      <c r="L485" t="n">
        <v>0</v>
      </c>
      <c r="M485" t="n">
        <v>0</v>
      </c>
      <c r="N485" t="n">
        <v>0</v>
      </c>
      <c r="O485" t="n">
        <v>0</v>
      </c>
      <c r="P485" t="n">
        <v>0</v>
      </c>
      <c r="Q485" t="n">
        <v>0</v>
      </c>
      <c r="R485" s="2" t="inlineStr"/>
    </row>
    <row r="486" ht="15" customHeight="1">
      <c r="A486" t="inlineStr">
        <is>
          <t>A 55335-2025</t>
        </is>
      </c>
      <c r="B486" s="1" t="n">
        <v>45971.34447916667</v>
      </c>
      <c r="C486" s="1" t="n">
        <v>46133</v>
      </c>
      <c r="D486" t="inlineStr">
        <is>
          <t>NORRBOTTENS LÄN</t>
        </is>
      </c>
      <c r="E486" t="inlineStr">
        <is>
          <t>PAJALA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55356-2025</t>
        </is>
      </c>
      <c r="B487" s="1" t="n">
        <v>45968</v>
      </c>
      <c r="C487" s="1" t="n">
        <v>46133</v>
      </c>
      <c r="D487" t="inlineStr">
        <is>
          <t>NORRBOTTENS LÄN</t>
        </is>
      </c>
      <c r="E487" t="inlineStr">
        <is>
          <t>PAJALA</t>
        </is>
      </c>
      <c r="G487" t="n">
        <v>11</v>
      </c>
      <c r="H487" t="n">
        <v>0</v>
      </c>
      <c r="I487" t="n">
        <v>0</v>
      </c>
      <c r="J487" t="n">
        <v>0</v>
      </c>
      <c r="K487" t="n">
        <v>0</v>
      </c>
      <c r="L487" t="n">
        <v>0</v>
      </c>
      <c r="M487" t="n">
        <v>0</v>
      </c>
      <c r="N487" t="n">
        <v>0</v>
      </c>
      <c r="O487" t="n">
        <v>0</v>
      </c>
      <c r="P487" t="n">
        <v>0</v>
      </c>
      <c r="Q487" t="n">
        <v>0</v>
      </c>
      <c r="R487" s="2" t="inlineStr"/>
    </row>
    <row r="488" ht="15" customHeight="1">
      <c r="A488" t="inlineStr">
        <is>
          <t>A 55619-2025</t>
        </is>
      </c>
      <c r="B488" s="1" t="n">
        <v>45972.15770833333</v>
      </c>
      <c r="C488" s="1" t="n">
        <v>46133</v>
      </c>
      <c r="D488" t="inlineStr">
        <is>
          <t>NORRBOTTENS LÄN</t>
        </is>
      </c>
      <c r="E488" t="inlineStr">
        <is>
          <t>PAJALA</t>
        </is>
      </c>
      <c r="G488" t="n">
        <v>1.9</v>
      </c>
      <c r="H488" t="n">
        <v>0</v>
      </c>
      <c r="I488" t="n">
        <v>0</v>
      </c>
      <c r="J488" t="n">
        <v>0</v>
      </c>
      <c r="K488" t="n">
        <v>0</v>
      </c>
      <c r="L488" t="n">
        <v>0</v>
      </c>
      <c r="M488" t="n">
        <v>0</v>
      </c>
      <c r="N488" t="n">
        <v>0</v>
      </c>
      <c r="O488" t="n">
        <v>0</v>
      </c>
      <c r="P488" t="n">
        <v>0</v>
      </c>
      <c r="Q488" t="n">
        <v>0</v>
      </c>
      <c r="R488" s="2" t="inlineStr"/>
    </row>
    <row r="489" ht="15" customHeight="1">
      <c r="A489" t="inlineStr">
        <is>
          <t>A 5007-2026</t>
        </is>
      </c>
      <c r="B489" s="1" t="n">
        <v>46049.42805555555</v>
      </c>
      <c r="C489" s="1" t="n">
        <v>46133</v>
      </c>
      <c r="D489" t="inlineStr">
        <is>
          <t>NORRBOTTENS LÄN</t>
        </is>
      </c>
      <c r="E489" t="inlineStr">
        <is>
          <t>PAJALA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55687-2025</t>
        </is>
      </c>
      <c r="B490" s="1" t="n">
        <v>45972.42809027778</v>
      </c>
      <c r="C490" s="1" t="n">
        <v>46133</v>
      </c>
      <c r="D490" t="inlineStr">
        <is>
          <t>NORRBOTTENS LÄN</t>
        </is>
      </c>
      <c r="E490" t="inlineStr">
        <is>
          <t>PAJALA</t>
        </is>
      </c>
      <c r="G490" t="n">
        <v>1.5</v>
      </c>
      <c r="H490" t="n">
        <v>0</v>
      </c>
      <c r="I490" t="n">
        <v>0</v>
      </c>
      <c r="J490" t="n">
        <v>0</v>
      </c>
      <c r="K490" t="n">
        <v>0</v>
      </c>
      <c r="L490" t="n">
        <v>0</v>
      </c>
      <c r="M490" t="n">
        <v>0</v>
      </c>
      <c r="N490" t="n">
        <v>0</v>
      </c>
      <c r="O490" t="n">
        <v>0</v>
      </c>
      <c r="P490" t="n">
        <v>0</v>
      </c>
      <c r="Q490" t="n">
        <v>0</v>
      </c>
      <c r="R490" s="2" t="inlineStr"/>
    </row>
    <row r="491" ht="15" customHeight="1">
      <c r="A491" t="inlineStr">
        <is>
          <t>A 55934-2025</t>
        </is>
      </c>
      <c r="B491" s="1" t="n">
        <v>45973.44346064814</v>
      </c>
      <c r="C491" s="1" t="n">
        <v>46133</v>
      </c>
      <c r="D491" t="inlineStr">
        <is>
          <t>NORRBOTTENS LÄN</t>
        </is>
      </c>
      <c r="E491" t="inlineStr">
        <is>
          <t>PAJALA</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7028-2023</t>
        </is>
      </c>
      <c r="B492" s="1" t="n">
        <v>44968</v>
      </c>
      <c r="C492" s="1" t="n">
        <v>46133</v>
      </c>
      <c r="D492" t="inlineStr">
        <is>
          <t>NORRBOTTENS LÄN</t>
        </is>
      </c>
      <c r="E492" t="inlineStr">
        <is>
          <t>PAJALA</t>
        </is>
      </c>
      <c r="G492" t="n">
        <v>11.2</v>
      </c>
      <c r="H492" t="n">
        <v>0</v>
      </c>
      <c r="I492" t="n">
        <v>0</v>
      </c>
      <c r="J492" t="n">
        <v>0</v>
      </c>
      <c r="K492" t="n">
        <v>0</v>
      </c>
      <c r="L492" t="n">
        <v>0</v>
      </c>
      <c r="M492" t="n">
        <v>0</v>
      </c>
      <c r="N492" t="n">
        <v>0</v>
      </c>
      <c r="O492" t="n">
        <v>0</v>
      </c>
      <c r="P492" t="n">
        <v>0</v>
      </c>
      <c r="Q492" t="n">
        <v>0</v>
      </c>
      <c r="R492" s="2" t="inlineStr"/>
    </row>
    <row r="493" ht="15" customHeight="1">
      <c r="A493" t="inlineStr">
        <is>
          <t>A 7029-2023</t>
        </is>
      </c>
      <c r="B493" s="1" t="n">
        <v>44968</v>
      </c>
      <c r="C493" s="1" t="n">
        <v>46133</v>
      </c>
      <c r="D493" t="inlineStr">
        <is>
          <t>NORRBOTTENS LÄN</t>
        </is>
      </c>
      <c r="E493" t="inlineStr">
        <is>
          <t>PAJALA</t>
        </is>
      </c>
      <c r="G493" t="n">
        <v>3.4</v>
      </c>
      <c r="H493" t="n">
        <v>0</v>
      </c>
      <c r="I493" t="n">
        <v>0</v>
      </c>
      <c r="J493" t="n">
        <v>0</v>
      </c>
      <c r="K493" t="n">
        <v>0</v>
      </c>
      <c r="L493" t="n">
        <v>0</v>
      </c>
      <c r="M493" t="n">
        <v>0</v>
      </c>
      <c r="N493" t="n">
        <v>0</v>
      </c>
      <c r="O493" t="n">
        <v>0</v>
      </c>
      <c r="P493" t="n">
        <v>0</v>
      </c>
      <c r="Q493" t="n">
        <v>0</v>
      </c>
      <c r="R493" s="2" t="inlineStr"/>
    </row>
    <row r="494" ht="15" customHeight="1">
      <c r="A494" t="inlineStr">
        <is>
          <t>A 7031-2023</t>
        </is>
      </c>
      <c r="B494" s="1" t="n">
        <v>44968</v>
      </c>
      <c r="C494" s="1" t="n">
        <v>46133</v>
      </c>
      <c r="D494" t="inlineStr">
        <is>
          <t>NORRBOTTENS LÄN</t>
        </is>
      </c>
      <c r="E494" t="inlineStr">
        <is>
          <t>PAJALA</t>
        </is>
      </c>
      <c r="G494" t="n">
        <v>41.3</v>
      </c>
      <c r="H494" t="n">
        <v>0</v>
      </c>
      <c r="I494" t="n">
        <v>0</v>
      </c>
      <c r="J494" t="n">
        <v>0</v>
      </c>
      <c r="K494" t="n">
        <v>0</v>
      </c>
      <c r="L494" t="n">
        <v>0</v>
      </c>
      <c r="M494" t="n">
        <v>0</v>
      </c>
      <c r="N494" t="n">
        <v>0</v>
      </c>
      <c r="O494" t="n">
        <v>0</v>
      </c>
      <c r="P494" t="n">
        <v>0</v>
      </c>
      <c r="Q494" t="n">
        <v>0</v>
      </c>
      <c r="R494" s="2" t="inlineStr"/>
    </row>
    <row r="495" ht="15" customHeight="1">
      <c r="A495" t="inlineStr">
        <is>
          <t>A 55969-2025</t>
        </is>
      </c>
      <c r="B495" s="1" t="n">
        <v>45973</v>
      </c>
      <c r="C495" s="1" t="n">
        <v>46133</v>
      </c>
      <c r="D495" t="inlineStr">
        <is>
          <t>NORRBOTTENS LÄN</t>
        </is>
      </c>
      <c r="E495" t="inlineStr">
        <is>
          <t>PAJALA</t>
        </is>
      </c>
      <c r="G495" t="n">
        <v>29.8</v>
      </c>
      <c r="H495" t="n">
        <v>0</v>
      </c>
      <c r="I495" t="n">
        <v>0</v>
      </c>
      <c r="J495" t="n">
        <v>0</v>
      </c>
      <c r="K495" t="n">
        <v>0</v>
      </c>
      <c r="L495" t="n">
        <v>0</v>
      </c>
      <c r="M495" t="n">
        <v>0</v>
      </c>
      <c r="N495" t="n">
        <v>0</v>
      </c>
      <c r="O495" t="n">
        <v>0</v>
      </c>
      <c r="P495" t="n">
        <v>0</v>
      </c>
      <c r="Q495" t="n">
        <v>0</v>
      </c>
      <c r="R495" s="2" t="inlineStr"/>
    </row>
    <row r="496" ht="15" customHeight="1">
      <c r="A496" t="inlineStr">
        <is>
          <t>A 55835-2025</t>
        </is>
      </c>
      <c r="B496" s="1" t="n">
        <v>45972.8428587963</v>
      </c>
      <c r="C496" s="1" t="n">
        <v>46133</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55618-2025</t>
        </is>
      </c>
      <c r="B497" s="1" t="n">
        <v>45972.15158564815</v>
      </c>
      <c r="C497" s="1" t="n">
        <v>46133</v>
      </c>
      <c r="D497" t="inlineStr">
        <is>
          <t>NORRBOTTENS LÄN</t>
        </is>
      </c>
      <c r="E497" t="inlineStr">
        <is>
          <t>PAJALA</t>
        </is>
      </c>
      <c r="G497" t="n">
        <v>2.7</v>
      </c>
      <c r="H497" t="n">
        <v>0</v>
      </c>
      <c r="I497" t="n">
        <v>0</v>
      </c>
      <c r="J497" t="n">
        <v>0</v>
      </c>
      <c r="K497" t="n">
        <v>0</v>
      </c>
      <c r="L497" t="n">
        <v>0</v>
      </c>
      <c r="M497" t="n">
        <v>0</v>
      </c>
      <c r="N497" t="n">
        <v>0</v>
      </c>
      <c r="O497" t="n">
        <v>0</v>
      </c>
      <c r="P497" t="n">
        <v>0</v>
      </c>
      <c r="Q497" t="n">
        <v>0</v>
      </c>
      <c r="R497" s="2" t="inlineStr"/>
    </row>
    <row r="498" ht="15" customHeight="1">
      <c r="A498" t="inlineStr">
        <is>
          <t>A 55682-2025</t>
        </is>
      </c>
      <c r="B498" s="1" t="n">
        <v>45972.42414351852</v>
      </c>
      <c r="C498" s="1" t="n">
        <v>46133</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55684-2025</t>
        </is>
      </c>
      <c r="B499" s="1" t="n">
        <v>45972.4261574074</v>
      </c>
      <c r="C499" s="1" t="n">
        <v>46133</v>
      </c>
      <c r="D499" t="inlineStr">
        <is>
          <t>NORRBOTTENS LÄN</t>
        </is>
      </c>
      <c r="E499" t="inlineStr">
        <is>
          <t>PAJALA</t>
        </is>
      </c>
      <c r="G499" t="n">
        <v>3.3</v>
      </c>
      <c r="H499" t="n">
        <v>0</v>
      </c>
      <c r="I499" t="n">
        <v>0</v>
      </c>
      <c r="J499" t="n">
        <v>0</v>
      </c>
      <c r="K499" t="n">
        <v>0</v>
      </c>
      <c r="L499" t="n">
        <v>0</v>
      </c>
      <c r="M499" t="n">
        <v>0</v>
      </c>
      <c r="N499" t="n">
        <v>0</v>
      </c>
      <c r="O499" t="n">
        <v>0</v>
      </c>
      <c r="P499" t="n">
        <v>0</v>
      </c>
      <c r="Q499" t="n">
        <v>0</v>
      </c>
      <c r="R499" s="2" t="inlineStr"/>
    </row>
    <row r="500" ht="15" customHeight="1">
      <c r="A500" t="inlineStr">
        <is>
          <t>A 55896-2025</t>
        </is>
      </c>
      <c r="B500" s="1" t="n">
        <v>45973</v>
      </c>
      <c r="C500" s="1" t="n">
        <v>46133</v>
      </c>
      <c r="D500" t="inlineStr">
        <is>
          <t>NORRBOTTENS LÄN</t>
        </is>
      </c>
      <c r="E500" t="inlineStr">
        <is>
          <t>PAJALA</t>
        </is>
      </c>
      <c r="G500" t="n">
        <v>5</v>
      </c>
      <c r="H500" t="n">
        <v>0</v>
      </c>
      <c r="I500" t="n">
        <v>0</v>
      </c>
      <c r="J500" t="n">
        <v>0</v>
      </c>
      <c r="K500" t="n">
        <v>0</v>
      </c>
      <c r="L500" t="n">
        <v>0</v>
      </c>
      <c r="M500" t="n">
        <v>0</v>
      </c>
      <c r="N500" t="n">
        <v>0</v>
      </c>
      <c r="O500" t="n">
        <v>0</v>
      </c>
      <c r="P500" t="n">
        <v>0</v>
      </c>
      <c r="Q500" t="n">
        <v>0</v>
      </c>
      <c r="R500" s="2" t="inlineStr"/>
    </row>
    <row r="501" ht="15" customHeight="1">
      <c r="A501" t="inlineStr">
        <is>
          <t>A 66326-2021</t>
        </is>
      </c>
      <c r="B501" s="1" t="n">
        <v>44518</v>
      </c>
      <c r="C501" s="1" t="n">
        <v>46133</v>
      </c>
      <c r="D501" t="inlineStr">
        <is>
          <t>NORRBOTTENS LÄN</t>
        </is>
      </c>
      <c r="E501" t="inlineStr">
        <is>
          <t>PAJALA</t>
        </is>
      </c>
      <c r="G501" t="n">
        <v>6.8</v>
      </c>
      <c r="H501" t="n">
        <v>0</v>
      </c>
      <c r="I501" t="n">
        <v>0</v>
      </c>
      <c r="J501" t="n">
        <v>0</v>
      </c>
      <c r="K501" t="n">
        <v>0</v>
      </c>
      <c r="L501" t="n">
        <v>0</v>
      </c>
      <c r="M501" t="n">
        <v>0</v>
      </c>
      <c r="N501" t="n">
        <v>0</v>
      </c>
      <c r="O501" t="n">
        <v>0</v>
      </c>
      <c r="P501" t="n">
        <v>0</v>
      </c>
      <c r="Q501" t="n">
        <v>0</v>
      </c>
      <c r="R501" s="2" t="inlineStr"/>
    </row>
    <row r="502" ht="15" customHeight="1">
      <c r="A502" t="inlineStr">
        <is>
          <t>A 55692-2025</t>
        </is>
      </c>
      <c r="B502" s="1" t="n">
        <v>45972.43684027778</v>
      </c>
      <c r="C502" s="1" t="n">
        <v>46133</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55970-2025</t>
        </is>
      </c>
      <c r="B503" s="1" t="n">
        <v>45973.48805555556</v>
      </c>
      <c r="C503" s="1" t="n">
        <v>46133</v>
      </c>
      <c r="D503" t="inlineStr">
        <is>
          <t>NORRBOTTENS LÄN</t>
        </is>
      </c>
      <c r="E503" t="inlineStr">
        <is>
          <t>PAJALA</t>
        </is>
      </c>
      <c r="G503" t="n">
        <v>3.1</v>
      </c>
      <c r="H503" t="n">
        <v>0</v>
      </c>
      <c r="I503" t="n">
        <v>0</v>
      </c>
      <c r="J503" t="n">
        <v>0</v>
      </c>
      <c r="K503" t="n">
        <v>0</v>
      </c>
      <c r="L503" t="n">
        <v>0</v>
      </c>
      <c r="M503" t="n">
        <v>0</v>
      </c>
      <c r="N503" t="n">
        <v>0</v>
      </c>
      <c r="O503" t="n">
        <v>0</v>
      </c>
      <c r="P503" t="n">
        <v>0</v>
      </c>
      <c r="Q503" t="n">
        <v>0</v>
      </c>
      <c r="R503" s="2" t="inlineStr"/>
    </row>
    <row r="504" ht="15" customHeight="1">
      <c r="A504" t="inlineStr">
        <is>
          <t>A 55688-2025</t>
        </is>
      </c>
      <c r="B504" s="1" t="n">
        <v>45972.42938657408</v>
      </c>
      <c r="C504" s="1" t="n">
        <v>46133</v>
      </c>
      <c r="D504" t="inlineStr">
        <is>
          <t>NORRBOTTENS LÄN</t>
        </is>
      </c>
      <c r="E504" t="inlineStr">
        <is>
          <t>PAJALA</t>
        </is>
      </c>
      <c r="G504" t="n">
        <v>1.4</v>
      </c>
      <c r="H504" t="n">
        <v>0</v>
      </c>
      <c r="I504" t="n">
        <v>0</v>
      </c>
      <c r="J504" t="n">
        <v>0</v>
      </c>
      <c r="K504" t="n">
        <v>0</v>
      </c>
      <c r="L504" t="n">
        <v>0</v>
      </c>
      <c r="M504" t="n">
        <v>0</v>
      </c>
      <c r="N504" t="n">
        <v>0</v>
      </c>
      <c r="O504" t="n">
        <v>0</v>
      </c>
      <c r="P504" t="n">
        <v>0</v>
      </c>
      <c r="Q504" t="n">
        <v>0</v>
      </c>
      <c r="R504" s="2" t="inlineStr"/>
    </row>
    <row r="505" ht="15" customHeight="1">
      <c r="A505" t="inlineStr">
        <is>
          <t>A 55694-2025</t>
        </is>
      </c>
      <c r="B505" s="1" t="n">
        <v>45972.44777777778</v>
      </c>
      <c r="C505" s="1" t="n">
        <v>46133</v>
      </c>
      <c r="D505" t="inlineStr">
        <is>
          <t>NORRBOTTENS LÄN</t>
        </is>
      </c>
      <c r="E505" t="inlineStr">
        <is>
          <t>PAJALA</t>
        </is>
      </c>
      <c r="G505" t="n">
        <v>23.4</v>
      </c>
      <c r="H505" t="n">
        <v>0</v>
      </c>
      <c r="I505" t="n">
        <v>0</v>
      </c>
      <c r="J505" t="n">
        <v>0</v>
      </c>
      <c r="K505" t="n">
        <v>0</v>
      </c>
      <c r="L505" t="n">
        <v>0</v>
      </c>
      <c r="M505" t="n">
        <v>0</v>
      </c>
      <c r="N505" t="n">
        <v>0</v>
      </c>
      <c r="O505" t="n">
        <v>0</v>
      </c>
      <c r="P505" t="n">
        <v>0</v>
      </c>
      <c r="Q505" t="n">
        <v>0</v>
      </c>
      <c r="R505" s="2" t="inlineStr"/>
    </row>
    <row r="506" ht="15" customHeight="1">
      <c r="A506" t="inlineStr">
        <is>
          <t>A 55660-2025</t>
        </is>
      </c>
      <c r="B506" s="1" t="n">
        <v>45972.39515046297</v>
      </c>
      <c r="C506" s="1" t="n">
        <v>46133</v>
      </c>
      <c r="D506" t="inlineStr">
        <is>
          <t>NORRBOTTENS LÄN</t>
        </is>
      </c>
      <c r="E506" t="inlineStr">
        <is>
          <t>PAJALA</t>
        </is>
      </c>
      <c r="G506" t="n">
        <v>3.4</v>
      </c>
      <c r="H506" t="n">
        <v>0</v>
      </c>
      <c r="I506" t="n">
        <v>0</v>
      </c>
      <c r="J506" t="n">
        <v>0</v>
      </c>
      <c r="K506" t="n">
        <v>0</v>
      </c>
      <c r="L506" t="n">
        <v>0</v>
      </c>
      <c r="M506" t="n">
        <v>0</v>
      </c>
      <c r="N506" t="n">
        <v>0</v>
      </c>
      <c r="O506" t="n">
        <v>0</v>
      </c>
      <c r="P506" t="n">
        <v>0</v>
      </c>
      <c r="Q506" t="n">
        <v>0</v>
      </c>
      <c r="R506" s="2" t="inlineStr"/>
    </row>
    <row r="507" ht="15" customHeight="1">
      <c r="A507" t="inlineStr">
        <is>
          <t>A 55699-2025</t>
        </is>
      </c>
      <c r="B507" s="1" t="n">
        <v>45972.45471064815</v>
      </c>
      <c r="C507" s="1" t="n">
        <v>46133</v>
      </c>
      <c r="D507" t="inlineStr">
        <is>
          <t>NORRBOTTENS LÄN</t>
        </is>
      </c>
      <c r="E507" t="inlineStr">
        <is>
          <t>PAJALA</t>
        </is>
      </c>
      <c r="G507" t="n">
        <v>20.6</v>
      </c>
      <c r="H507" t="n">
        <v>0</v>
      </c>
      <c r="I507" t="n">
        <v>0</v>
      </c>
      <c r="J507" t="n">
        <v>0</v>
      </c>
      <c r="K507" t="n">
        <v>0</v>
      </c>
      <c r="L507" t="n">
        <v>0</v>
      </c>
      <c r="M507" t="n">
        <v>0</v>
      </c>
      <c r="N507" t="n">
        <v>0</v>
      </c>
      <c r="O507" t="n">
        <v>0</v>
      </c>
      <c r="P507" t="n">
        <v>0</v>
      </c>
      <c r="Q507" t="n">
        <v>0</v>
      </c>
      <c r="R507" s="2" t="inlineStr"/>
    </row>
    <row r="508" ht="15" customHeight="1">
      <c r="A508" t="inlineStr">
        <is>
          <t>A 55702-2025</t>
        </is>
      </c>
      <c r="B508" s="1" t="n">
        <v>45972.46211805556</v>
      </c>
      <c r="C508" s="1" t="n">
        <v>46133</v>
      </c>
      <c r="D508" t="inlineStr">
        <is>
          <t>NORRBOTTENS LÄN</t>
        </is>
      </c>
      <c r="E508" t="inlineStr">
        <is>
          <t>PAJALA</t>
        </is>
      </c>
      <c r="G508" t="n">
        <v>11.9</v>
      </c>
      <c r="H508" t="n">
        <v>0</v>
      </c>
      <c r="I508" t="n">
        <v>0</v>
      </c>
      <c r="J508" t="n">
        <v>0</v>
      </c>
      <c r="K508" t="n">
        <v>0</v>
      </c>
      <c r="L508" t="n">
        <v>0</v>
      </c>
      <c r="M508" t="n">
        <v>0</v>
      </c>
      <c r="N508" t="n">
        <v>0</v>
      </c>
      <c r="O508" t="n">
        <v>0</v>
      </c>
      <c r="P508" t="n">
        <v>0</v>
      </c>
      <c r="Q508" t="n">
        <v>0</v>
      </c>
      <c r="R508" s="2" t="inlineStr"/>
    </row>
    <row r="509" ht="15" customHeight="1">
      <c r="A509" t="inlineStr">
        <is>
          <t>A 55783-2025</t>
        </is>
      </c>
      <c r="B509" s="1" t="n">
        <v>45972.63541666666</v>
      </c>
      <c r="C509" s="1" t="n">
        <v>46133</v>
      </c>
      <c r="D509" t="inlineStr">
        <is>
          <t>NORRBOTTENS LÄN</t>
        </is>
      </c>
      <c r="E509" t="inlineStr">
        <is>
          <t>PAJALA</t>
        </is>
      </c>
      <c r="G509" t="n">
        <v>7.2</v>
      </c>
      <c r="H509" t="n">
        <v>0</v>
      </c>
      <c r="I509" t="n">
        <v>0</v>
      </c>
      <c r="J509" t="n">
        <v>0</v>
      </c>
      <c r="K509" t="n">
        <v>0</v>
      </c>
      <c r="L509" t="n">
        <v>0</v>
      </c>
      <c r="M509" t="n">
        <v>0</v>
      </c>
      <c r="N509" t="n">
        <v>0</v>
      </c>
      <c r="O509" t="n">
        <v>0</v>
      </c>
      <c r="P509" t="n">
        <v>0</v>
      </c>
      <c r="Q509" t="n">
        <v>0</v>
      </c>
      <c r="R509" s="2" t="inlineStr"/>
    </row>
    <row r="510" ht="15" customHeight="1">
      <c r="A510" t="inlineStr">
        <is>
          <t>A 2175-2022</t>
        </is>
      </c>
      <c r="B510" s="1" t="n">
        <v>44578</v>
      </c>
      <c r="C510" s="1" t="n">
        <v>46133</v>
      </c>
      <c r="D510" t="inlineStr">
        <is>
          <t>NORRBOTTENS LÄN</t>
        </is>
      </c>
      <c r="E510" t="inlineStr">
        <is>
          <t>PAJALA</t>
        </is>
      </c>
      <c r="G510" t="n">
        <v>3</v>
      </c>
      <c r="H510" t="n">
        <v>0</v>
      </c>
      <c r="I510" t="n">
        <v>0</v>
      </c>
      <c r="J510" t="n">
        <v>0</v>
      </c>
      <c r="K510" t="n">
        <v>0</v>
      </c>
      <c r="L510" t="n">
        <v>0</v>
      </c>
      <c r="M510" t="n">
        <v>0</v>
      </c>
      <c r="N510" t="n">
        <v>0</v>
      </c>
      <c r="O510" t="n">
        <v>0</v>
      </c>
      <c r="P510" t="n">
        <v>0</v>
      </c>
      <c r="Q510" t="n">
        <v>0</v>
      </c>
      <c r="R510" s="2" t="inlineStr"/>
    </row>
    <row r="511" ht="15" customHeight="1">
      <c r="A511" t="inlineStr">
        <is>
          <t>A 56325-2025</t>
        </is>
      </c>
      <c r="B511" s="1" t="n">
        <v>45974.63704861111</v>
      </c>
      <c r="C511" s="1" t="n">
        <v>46133</v>
      </c>
      <c r="D511" t="inlineStr">
        <is>
          <t>NORRBOTTENS LÄN</t>
        </is>
      </c>
      <c r="E511" t="inlineStr">
        <is>
          <t>PAJALA</t>
        </is>
      </c>
      <c r="G511" t="n">
        <v>7.9</v>
      </c>
      <c r="H511" t="n">
        <v>0</v>
      </c>
      <c r="I511" t="n">
        <v>0</v>
      </c>
      <c r="J511" t="n">
        <v>0</v>
      </c>
      <c r="K511" t="n">
        <v>0</v>
      </c>
      <c r="L511" t="n">
        <v>0</v>
      </c>
      <c r="M511" t="n">
        <v>0</v>
      </c>
      <c r="N511" t="n">
        <v>0</v>
      </c>
      <c r="O511" t="n">
        <v>0</v>
      </c>
      <c r="P511" t="n">
        <v>0</v>
      </c>
      <c r="Q511" t="n">
        <v>0</v>
      </c>
      <c r="R511" s="2" t="inlineStr"/>
    </row>
    <row r="512" ht="15" customHeight="1">
      <c r="A512" t="inlineStr">
        <is>
          <t>A 30914-2024</t>
        </is>
      </c>
      <c r="B512" s="1" t="n">
        <v>45498</v>
      </c>
      <c r="C512" s="1" t="n">
        <v>46133</v>
      </c>
      <c r="D512" t="inlineStr">
        <is>
          <t>NORRBOTTENS LÄN</t>
        </is>
      </c>
      <c r="E512" t="inlineStr">
        <is>
          <t>PAJALA</t>
        </is>
      </c>
      <c r="G512" t="n">
        <v>0.3</v>
      </c>
      <c r="H512" t="n">
        <v>0</v>
      </c>
      <c r="I512" t="n">
        <v>0</v>
      </c>
      <c r="J512" t="n">
        <v>0</v>
      </c>
      <c r="K512" t="n">
        <v>0</v>
      </c>
      <c r="L512" t="n">
        <v>0</v>
      </c>
      <c r="M512" t="n">
        <v>0</v>
      </c>
      <c r="N512" t="n">
        <v>0</v>
      </c>
      <c r="O512" t="n">
        <v>0</v>
      </c>
      <c r="P512" t="n">
        <v>0</v>
      </c>
      <c r="Q512" t="n">
        <v>0</v>
      </c>
      <c r="R512" s="2" t="inlineStr"/>
    </row>
    <row r="513" ht="15" customHeight="1">
      <c r="A513" t="inlineStr">
        <is>
          <t>A 16208-2024</t>
        </is>
      </c>
      <c r="B513" s="1" t="n">
        <v>45406.84912037037</v>
      </c>
      <c r="C513" s="1" t="n">
        <v>46133</v>
      </c>
      <c r="D513" t="inlineStr">
        <is>
          <t>NORRBOTTENS LÄN</t>
        </is>
      </c>
      <c r="E513" t="inlineStr">
        <is>
          <t>PAJALA</t>
        </is>
      </c>
      <c r="G513" t="n">
        <v>6.3</v>
      </c>
      <c r="H513" t="n">
        <v>0</v>
      </c>
      <c r="I513" t="n">
        <v>0</v>
      </c>
      <c r="J513" t="n">
        <v>0</v>
      </c>
      <c r="K513" t="n">
        <v>0</v>
      </c>
      <c r="L513" t="n">
        <v>0</v>
      </c>
      <c r="M513" t="n">
        <v>0</v>
      </c>
      <c r="N513" t="n">
        <v>0</v>
      </c>
      <c r="O513" t="n">
        <v>0</v>
      </c>
      <c r="P513" t="n">
        <v>0</v>
      </c>
      <c r="Q513" t="n">
        <v>0</v>
      </c>
      <c r="R513" s="2" t="inlineStr"/>
    </row>
    <row r="514" ht="15" customHeight="1">
      <c r="A514" t="inlineStr">
        <is>
          <t>A 56534-2025</t>
        </is>
      </c>
      <c r="B514" s="1" t="n">
        <v>45975</v>
      </c>
      <c r="C514" s="1" t="n">
        <v>46133</v>
      </c>
      <c r="D514" t="inlineStr">
        <is>
          <t>NORRBOTTENS LÄN</t>
        </is>
      </c>
      <c r="E514" t="inlineStr">
        <is>
          <t>PAJALA</t>
        </is>
      </c>
      <c r="G514" t="n">
        <v>7.4</v>
      </c>
      <c r="H514" t="n">
        <v>0</v>
      </c>
      <c r="I514" t="n">
        <v>0</v>
      </c>
      <c r="J514" t="n">
        <v>0</v>
      </c>
      <c r="K514" t="n">
        <v>0</v>
      </c>
      <c r="L514" t="n">
        <v>0</v>
      </c>
      <c r="M514" t="n">
        <v>0</v>
      </c>
      <c r="N514" t="n">
        <v>0</v>
      </c>
      <c r="O514" t="n">
        <v>0</v>
      </c>
      <c r="P514" t="n">
        <v>0</v>
      </c>
      <c r="Q514" t="n">
        <v>0</v>
      </c>
      <c r="R514" s="2" t="inlineStr"/>
    </row>
    <row r="515" ht="15" customHeight="1">
      <c r="A515" t="inlineStr">
        <is>
          <t>A 14405-2023</t>
        </is>
      </c>
      <c r="B515" s="1" t="n">
        <v>45012.49284722222</v>
      </c>
      <c r="C515" s="1" t="n">
        <v>46133</v>
      </c>
      <c r="D515" t="inlineStr">
        <is>
          <t>NORRBOTTENS LÄN</t>
        </is>
      </c>
      <c r="E515" t="inlineStr">
        <is>
          <t>PAJALA</t>
        </is>
      </c>
      <c r="G515" t="n">
        <v>4.3</v>
      </c>
      <c r="H515" t="n">
        <v>0</v>
      </c>
      <c r="I515" t="n">
        <v>0</v>
      </c>
      <c r="J515" t="n">
        <v>0</v>
      </c>
      <c r="K515" t="n">
        <v>0</v>
      </c>
      <c r="L515" t="n">
        <v>0</v>
      </c>
      <c r="M515" t="n">
        <v>0</v>
      </c>
      <c r="N515" t="n">
        <v>0</v>
      </c>
      <c r="O515" t="n">
        <v>0</v>
      </c>
      <c r="P515" t="n">
        <v>0</v>
      </c>
      <c r="Q515" t="n">
        <v>0</v>
      </c>
      <c r="R515" s="2" t="inlineStr"/>
    </row>
    <row r="516" ht="15" customHeight="1">
      <c r="A516" t="inlineStr">
        <is>
          <t>A 40240-2023</t>
        </is>
      </c>
      <c r="B516" s="1" t="n">
        <v>45169.48806712963</v>
      </c>
      <c r="C516" s="1" t="n">
        <v>46133</v>
      </c>
      <c r="D516" t="inlineStr">
        <is>
          <t>NORRBOTTENS LÄN</t>
        </is>
      </c>
      <c r="E516" t="inlineStr">
        <is>
          <t>PAJALA</t>
        </is>
      </c>
      <c r="G516" t="n">
        <v>4.3</v>
      </c>
      <c r="H516" t="n">
        <v>0</v>
      </c>
      <c r="I516" t="n">
        <v>0</v>
      </c>
      <c r="J516" t="n">
        <v>0</v>
      </c>
      <c r="K516" t="n">
        <v>0</v>
      </c>
      <c r="L516" t="n">
        <v>0</v>
      </c>
      <c r="M516" t="n">
        <v>0</v>
      </c>
      <c r="N516" t="n">
        <v>0</v>
      </c>
      <c r="O516" t="n">
        <v>0</v>
      </c>
      <c r="P516" t="n">
        <v>0</v>
      </c>
      <c r="Q516" t="n">
        <v>0</v>
      </c>
      <c r="R516" s="2" t="inlineStr"/>
    </row>
    <row r="517" ht="15" customHeight="1">
      <c r="A517" t="inlineStr">
        <is>
          <t>A 56449-2022</t>
        </is>
      </c>
      <c r="B517" s="1" t="n">
        <v>44892</v>
      </c>
      <c r="C517" s="1" t="n">
        <v>46133</v>
      </c>
      <c r="D517" t="inlineStr">
        <is>
          <t>NORRBOTTENS LÄN</t>
        </is>
      </c>
      <c r="E517" t="inlineStr">
        <is>
          <t>PAJALA</t>
        </is>
      </c>
      <c r="G517" t="n">
        <v>6.8</v>
      </c>
      <c r="H517" t="n">
        <v>0</v>
      </c>
      <c r="I517" t="n">
        <v>0</v>
      </c>
      <c r="J517" t="n">
        <v>0</v>
      </c>
      <c r="K517" t="n">
        <v>0</v>
      </c>
      <c r="L517" t="n">
        <v>0</v>
      </c>
      <c r="M517" t="n">
        <v>0</v>
      </c>
      <c r="N517" t="n">
        <v>0</v>
      </c>
      <c r="O517" t="n">
        <v>0</v>
      </c>
      <c r="P517" t="n">
        <v>0</v>
      </c>
      <c r="Q517" t="n">
        <v>0</v>
      </c>
      <c r="R517" s="2" t="inlineStr"/>
    </row>
    <row r="518" ht="15" customHeight="1">
      <c r="A518" t="inlineStr">
        <is>
          <t>A 50537-2021</t>
        </is>
      </c>
      <c r="B518" s="1" t="n">
        <v>44459</v>
      </c>
      <c r="C518" s="1" t="n">
        <v>46133</v>
      </c>
      <c r="D518" t="inlineStr">
        <is>
          <t>NORRBOTTENS LÄN</t>
        </is>
      </c>
      <c r="E518" t="inlineStr">
        <is>
          <t>PAJALA</t>
        </is>
      </c>
      <c r="G518" t="n">
        <v>1.6</v>
      </c>
      <c r="H518" t="n">
        <v>0</v>
      </c>
      <c r="I518" t="n">
        <v>0</v>
      </c>
      <c r="J518" t="n">
        <v>0</v>
      </c>
      <c r="K518" t="n">
        <v>0</v>
      </c>
      <c r="L518" t="n">
        <v>0</v>
      </c>
      <c r="M518" t="n">
        <v>0</v>
      </c>
      <c r="N518" t="n">
        <v>0</v>
      </c>
      <c r="O518" t="n">
        <v>0</v>
      </c>
      <c r="P518" t="n">
        <v>0</v>
      </c>
      <c r="Q518" t="n">
        <v>0</v>
      </c>
      <c r="R518" s="2" t="inlineStr"/>
    </row>
    <row r="519" ht="15" customHeight="1">
      <c r="A519" t="inlineStr">
        <is>
          <t>A 53037-2024</t>
        </is>
      </c>
      <c r="B519" s="1" t="n">
        <v>45611</v>
      </c>
      <c r="C519" s="1" t="n">
        <v>46133</v>
      </c>
      <c r="D519" t="inlineStr">
        <is>
          <t>NORRBOTTENS LÄN</t>
        </is>
      </c>
      <c r="E519" t="inlineStr">
        <is>
          <t>PAJALA</t>
        </is>
      </c>
      <c r="G519" t="n">
        <v>11.7</v>
      </c>
      <c r="H519" t="n">
        <v>0</v>
      </c>
      <c r="I519" t="n">
        <v>0</v>
      </c>
      <c r="J519" t="n">
        <v>0</v>
      </c>
      <c r="K519" t="n">
        <v>0</v>
      </c>
      <c r="L519" t="n">
        <v>0</v>
      </c>
      <c r="M519" t="n">
        <v>0</v>
      </c>
      <c r="N519" t="n">
        <v>0</v>
      </c>
      <c r="O519" t="n">
        <v>0</v>
      </c>
      <c r="P519" t="n">
        <v>0</v>
      </c>
      <c r="Q519" t="n">
        <v>0</v>
      </c>
      <c r="R519" s="2" t="inlineStr"/>
    </row>
    <row r="520" ht="15" customHeight="1">
      <c r="A520" t="inlineStr">
        <is>
          <t>A 8858-2024</t>
        </is>
      </c>
      <c r="B520" s="1" t="n">
        <v>45356</v>
      </c>
      <c r="C520" s="1" t="n">
        <v>46133</v>
      </c>
      <c r="D520" t="inlineStr">
        <is>
          <t>NORRBOTTENS LÄN</t>
        </is>
      </c>
      <c r="E520" t="inlineStr">
        <is>
          <t>PAJALA</t>
        </is>
      </c>
      <c r="G520" t="n">
        <v>5.6</v>
      </c>
      <c r="H520" t="n">
        <v>0</v>
      </c>
      <c r="I520" t="n">
        <v>0</v>
      </c>
      <c r="J520" t="n">
        <v>0</v>
      </c>
      <c r="K520" t="n">
        <v>0</v>
      </c>
      <c r="L520" t="n">
        <v>0</v>
      </c>
      <c r="M520" t="n">
        <v>0</v>
      </c>
      <c r="N520" t="n">
        <v>0</v>
      </c>
      <c r="O520" t="n">
        <v>0</v>
      </c>
      <c r="P520" t="n">
        <v>0</v>
      </c>
      <c r="Q520" t="n">
        <v>0</v>
      </c>
      <c r="R520" s="2" t="inlineStr"/>
    </row>
    <row r="521" ht="15" customHeight="1">
      <c r="A521" t="inlineStr">
        <is>
          <t>A 28591-2021</t>
        </is>
      </c>
      <c r="B521" s="1" t="n">
        <v>44356</v>
      </c>
      <c r="C521" s="1" t="n">
        <v>46133</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50396-2022</t>
        </is>
      </c>
      <c r="B522" s="1" t="n">
        <v>44861</v>
      </c>
      <c r="C522" s="1" t="n">
        <v>46133</v>
      </c>
      <c r="D522" t="inlineStr">
        <is>
          <t>NORRBOTTENS LÄN</t>
        </is>
      </c>
      <c r="E522" t="inlineStr">
        <is>
          <t>PAJALA</t>
        </is>
      </c>
      <c r="F522" t="inlineStr">
        <is>
          <t>Allmännings- och besparingsskogar</t>
        </is>
      </c>
      <c r="G522" t="n">
        <v>1.4</v>
      </c>
      <c r="H522" t="n">
        <v>0</v>
      </c>
      <c r="I522" t="n">
        <v>0</v>
      </c>
      <c r="J522" t="n">
        <v>0</v>
      </c>
      <c r="K522" t="n">
        <v>0</v>
      </c>
      <c r="L522" t="n">
        <v>0</v>
      </c>
      <c r="M522" t="n">
        <v>0</v>
      </c>
      <c r="N522" t="n">
        <v>0</v>
      </c>
      <c r="O522" t="n">
        <v>0</v>
      </c>
      <c r="P522" t="n">
        <v>0</v>
      </c>
      <c r="Q522" t="n">
        <v>0</v>
      </c>
      <c r="R522" s="2" t="inlineStr"/>
    </row>
    <row r="523" ht="15" customHeight="1">
      <c r="A523" t="inlineStr">
        <is>
          <t>A 56300-2024</t>
        </is>
      </c>
      <c r="B523" s="1" t="n">
        <v>45624</v>
      </c>
      <c r="C523" s="1" t="n">
        <v>46133</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57865-2025</t>
        </is>
      </c>
      <c r="B524" s="1" t="n">
        <v>45981</v>
      </c>
      <c r="C524" s="1" t="n">
        <v>46133</v>
      </c>
      <c r="D524" t="inlineStr">
        <is>
          <t>NORRBOTTENS LÄN</t>
        </is>
      </c>
      <c r="E524" t="inlineStr">
        <is>
          <t>PAJALA</t>
        </is>
      </c>
      <c r="G524" t="n">
        <v>30.1</v>
      </c>
      <c r="H524" t="n">
        <v>0</v>
      </c>
      <c r="I524" t="n">
        <v>0</v>
      </c>
      <c r="J524" t="n">
        <v>0</v>
      </c>
      <c r="K524" t="n">
        <v>0</v>
      </c>
      <c r="L524" t="n">
        <v>0</v>
      </c>
      <c r="M524" t="n">
        <v>0</v>
      </c>
      <c r="N524" t="n">
        <v>0</v>
      </c>
      <c r="O524" t="n">
        <v>0</v>
      </c>
      <c r="P524" t="n">
        <v>0</v>
      </c>
      <c r="Q524" t="n">
        <v>0</v>
      </c>
      <c r="R524" s="2" t="inlineStr"/>
    </row>
    <row r="525" ht="15" customHeight="1">
      <c r="A525" t="inlineStr">
        <is>
          <t>A 42849-2023</t>
        </is>
      </c>
      <c r="B525" s="1" t="n">
        <v>45177</v>
      </c>
      <c r="C525" s="1" t="n">
        <v>46133</v>
      </c>
      <c r="D525" t="inlineStr">
        <is>
          <t>NORRBOTTENS LÄN</t>
        </is>
      </c>
      <c r="E525" t="inlineStr">
        <is>
          <t>PAJALA</t>
        </is>
      </c>
      <c r="G525" t="n">
        <v>0.3</v>
      </c>
      <c r="H525" t="n">
        <v>0</v>
      </c>
      <c r="I525" t="n">
        <v>0</v>
      </c>
      <c r="J525" t="n">
        <v>0</v>
      </c>
      <c r="K525" t="n">
        <v>0</v>
      </c>
      <c r="L525" t="n">
        <v>0</v>
      </c>
      <c r="M525" t="n">
        <v>0</v>
      </c>
      <c r="N525" t="n">
        <v>0</v>
      </c>
      <c r="O525" t="n">
        <v>0</v>
      </c>
      <c r="P525" t="n">
        <v>0</v>
      </c>
      <c r="Q525" t="n">
        <v>0</v>
      </c>
      <c r="R525" s="2" t="inlineStr"/>
    </row>
    <row r="526" ht="15" customHeight="1">
      <c r="A526" t="inlineStr">
        <is>
          <t>A 57876-2025</t>
        </is>
      </c>
      <c r="B526" s="1" t="n">
        <v>45981</v>
      </c>
      <c r="C526" s="1" t="n">
        <v>46133</v>
      </c>
      <c r="D526" t="inlineStr">
        <is>
          <t>NORRBOTTENS LÄN</t>
        </is>
      </c>
      <c r="E526" t="inlineStr">
        <is>
          <t>PAJALA</t>
        </is>
      </c>
      <c r="G526" t="n">
        <v>22.4</v>
      </c>
      <c r="H526" t="n">
        <v>0</v>
      </c>
      <c r="I526" t="n">
        <v>0</v>
      </c>
      <c r="J526" t="n">
        <v>0</v>
      </c>
      <c r="K526" t="n">
        <v>0</v>
      </c>
      <c r="L526" t="n">
        <v>0</v>
      </c>
      <c r="M526" t="n">
        <v>0</v>
      </c>
      <c r="N526" t="n">
        <v>0</v>
      </c>
      <c r="O526" t="n">
        <v>0</v>
      </c>
      <c r="P526" t="n">
        <v>0</v>
      </c>
      <c r="Q526" t="n">
        <v>0</v>
      </c>
      <c r="R526" s="2" t="inlineStr"/>
    </row>
    <row r="527" ht="15" customHeight="1">
      <c r="A527" t="inlineStr">
        <is>
          <t>A 57880-2025</t>
        </is>
      </c>
      <c r="B527" s="1" t="n">
        <v>45981</v>
      </c>
      <c r="C527" s="1" t="n">
        <v>46133</v>
      </c>
      <c r="D527" t="inlineStr">
        <is>
          <t>NORRBOTTENS LÄN</t>
        </is>
      </c>
      <c r="E527" t="inlineStr">
        <is>
          <t>PAJALA</t>
        </is>
      </c>
      <c r="G527" t="n">
        <v>35.7</v>
      </c>
      <c r="H527" t="n">
        <v>0</v>
      </c>
      <c r="I527" t="n">
        <v>0</v>
      </c>
      <c r="J527" t="n">
        <v>0</v>
      </c>
      <c r="K527" t="n">
        <v>0</v>
      </c>
      <c r="L527" t="n">
        <v>0</v>
      </c>
      <c r="M527" t="n">
        <v>0</v>
      </c>
      <c r="N527" t="n">
        <v>0</v>
      </c>
      <c r="O527" t="n">
        <v>0</v>
      </c>
      <c r="P527" t="n">
        <v>0</v>
      </c>
      <c r="Q527" t="n">
        <v>0</v>
      </c>
      <c r="R527" s="2" t="inlineStr"/>
    </row>
    <row r="528" ht="15" customHeight="1">
      <c r="A528" t="inlineStr">
        <is>
          <t>A 57883-2025</t>
        </is>
      </c>
      <c r="B528" s="1" t="n">
        <v>45981</v>
      </c>
      <c r="C528" s="1" t="n">
        <v>46133</v>
      </c>
      <c r="D528" t="inlineStr">
        <is>
          <t>NORRBOTTENS LÄN</t>
        </is>
      </c>
      <c r="E528" t="inlineStr">
        <is>
          <t>PAJALA</t>
        </is>
      </c>
      <c r="G528" t="n">
        <v>41.4</v>
      </c>
      <c r="H528" t="n">
        <v>0</v>
      </c>
      <c r="I528" t="n">
        <v>0</v>
      </c>
      <c r="J528" t="n">
        <v>0</v>
      </c>
      <c r="K528" t="n">
        <v>0</v>
      </c>
      <c r="L528" t="n">
        <v>0</v>
      </c>
      <c r="M528" t="n">
        <v>0</v>
      </c>
      <c r="N528" t="n">
        <v>0</v>
      </c>
      <c r="O528" t="n">
        <v>0</v>
      </c>
      <c r="P528" t="n">
        <v>0</v>
      </c>
      <c r="Q528" t="n">
        <v>0</v>
      </c>
      <c r="R528" s="2" t="inlineStr"/>
    </row>
    <row r="529" ht="15" customHeight="1">
      <c r="A529" t="inlineStr">
        <is>
          <t>A 55774-2024</t>
        </is>
      </c>
      <c r="B529" s="1" t="n">
        <v>45623.39898148148</v>
      </c>
      <c r="C529" s="1" t="n">
        <v>46133</v>
      </c>
      <c r="D529" t="inlineStr">
        <is>
          <t>NORRBOTTENS LÄN</t>
        </is>
      </c>
      <c r="E529" t="inlineStr">
        <is>
          <t>PAJALA</t>
        </is>
      </c>
      <c r="G529" t="n">
        <v>1.4</v>
      </c>
      <c r="H529" t="n">
        <v>0</v>
      </c>
      <c r="I529" t="n">
        <v>0</v>
      </c>
      <c r="J529" t="n">
        <v>0</v>
      </c>
      <c r="K529" t="n">
        <v>0</v>
      </c>
      <c r="L529" t="n">
        <v>0</v>
      </c>
      <c r="M529" t="n">
        <v>0</v>
      </c>
      <c r="N529" t="n">
        <v>0</v>
      </c>
      <c r="O529" t="n">
        <v>0</v>
      </c>
      <c r="P529" t="n">
        <v>0</v>
      </c>
      <c r="Q529" t="n">
        <v>0</v>
      </c>
      <c r="R529" s="2" t="inlineStr"/>
    </row>
    <row r="530" ht="15" customHeight="1">
      <c r="A530" t="inlineStr">
        <is>
          <t>A 2840-2025</t>
        </is>
      </c>
      <c r="B530" s="1" t="n">
        <v>45677.64444444444</v>
      </c>
      <c r="C530" s="1" t="n">
        <v>46133</v>
      </c>
      <c r="D530" t="inlineStr">
        <is>
          <t>NORRBOTTENS LÄN</t>
        </is>
      </c>
      <c r="E530" t="inlineStr">
        <is>
          <t>PAJALA</t>
        </is>
      </c>
      <c r="G530" t="n">
        <v>0.8</v>
      </c>
      <c r="H530" t="n">
        <v>0</v>
      </c>
      <c r="I530" t="n">
        <v>0</v>
      </c>
      <c r="J530" t="n">
        <v>0</v>
      </c>
      <c r="K530" t="n">
        <v>0</v>
      </c>
      <c r="L530" t="n">
        <v>0</v>
      </c>
      <c r="M530" t="n">
        <v>0</v>
      </c>
      <c r="N530" t="n">
        <v>0</v>
      </c>
      <c r="O530" t="n">
        <v>0</v>
      </c>
      <c r="P530" t="n">
        <v>0</v>
      </c>
      <c r="Q530" t="n">
        <v>0</v>
      </c>
      <c r="R530" s="2" t="inlineStr"/>
    </row>
    <row r="531" ht="15" customHeight="1">
      <c r="A531" t="inlineStr">
        <is>
          <t>A 61273-2024</t>
        </is>
      </c>
      <c r="B531" s="1" t="n">
        <v>45645</v>
      </c>
      <c r="C531" s="1" t="n">
        <v>46133</v>
      </c>
      <c r="D531" t="inlineStr">
        <is>
          <t>NORRBOTTENS LÄN</t>
        </is>
      </c>
      <c r="E531" t="inlineStr">
        <is>
          <t>PAJALA</t>
        </is>
      </c>
      <c r="G531" t="n">
        <v>14.2</v>
      </c>
      <c r="H531" t="n">
        <v>0</v>
      </c>
      <c r="I531" t="n">
        <v>0</v>
      </c>
      <c r="J531" t="n">
        <v>0</v>
      </c>
      <c r="K531" t="n">
        <v>0</v>
      </c>
      <c r="L531" t="n">
        <v>0</v>
      </c>
      <c r="M531" t="n">
        <v>0</v>
      </c>
      <c r="N531" t="n">
        <v>0</v>
      </c>
      <c r="O531" t="n">
        <v>0</v>
      </c>
      <c r="P531" t="n">
        <v>0</v>
      </c>
      <c r="Q531" t="n">
        <v>0</v>
      </c>
      <c r="R531" s="2" t="inlineStr"/>
    </row>
    <row r="532" ht="15" customHeight="1">
      <c r="A532" t="inlineStr">
        <is>
          <t>A 57582-2025</t>
        </is>
      </c>
      <c r="B532" s="1" t="n">
        <v>45980</v>
      </c>
      <c r="C532" s="1" t="n">
        <v>46133</v>
      </c>
      <c r="D532" t="inlineStr">
        <is>
          <t>NORRBOTTENS LÄN</t>
        </is>
      </c>
      <c r="E532" t="inlineStr">
        <is>
          <t>PAJALA</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30866-2024</t>
        </is>
      </c>
      <c r="B533" s="1" t="n">
        <v>45497</v>
      </c>
      <c r="C533" s="1" t="n">
        <v>46133</v>
      </c>
      <c r="D533" t="inlineStr">
        <is>
          <t>NORRBOTTENS LÄN</t>
        </is>
      </c>
      <c r="E533" t="inlineStr">
        <is>
          <t>PAJALA</t>
        </is>
      </c>
      <c r="G533" t="n">
        <v>84.3</v>
      </c>
      <c r="H533" t="n">
        <v>0</v>
      </c>
      <c r="I533" t="n">
        <v>0</v>
      </c>
      <c r="J533" t="n">
        <v>0</v>
      </c>
      <c r="K533" t="n">
        <v>0</v>
      </c>
      <c r="L533" t="n">
        <v>0</v>
      </c>
      <c r="M533" t="n">
        <v>0</v>
      </c>
      <c r="N533" t="n">
        <v>0</v>
      </c>
      <c r="O533" t="n">
        <v>0</v>
      </c>
      <c r="P533" t="n">
        <v>0</v>
      </c>
      <c r="Q533" t="n">
        <v>0</v>
      </c>
      <c r="R533" s="2" t="inlineStr"/>
    </row>
    <row r="534" ht="15" customHeight="1">
      <c r="A534" t="inlineStr">
        <is>
          <t>A 54256-2024</t>
        </is>
      </c>
      <c r="B534" s="1" t="n">
        <v>45616</v>
      </c>
      <c r="C534" s="1" t="n">
        <v>46133</v>
      </c>
      <c r="D534" t="inlineStr">
        <is>
          <t>NORRBOTTENS LÄN</t>
        </is>
      </c>
      <c r="E534" t="inlineStr">
        <is>
          <t>PAJALA</t>
        </is>
      </c>
      <c r="G534" t="n">
        <v>2.4</v>
      </c>
      <c r="H534" t="n">
        <v>0</v>
      </c>
      <c r="I534" t="n">
        <v>0</v>
      </c>
      <c r="J534" t="n">
        <v>0</v>
      </c>
      <c r="K534" t="n">
        <v>0</v>
      </c>
      <c r="L534" t="n">
        <v>0</v>
      </c>
      <c r="M534" t="n">
        <v>0</v>
      </c>
      <c r="N534" t="n">
        <v>0</v>
      </c>
      <c r="O534" t="n">
        <v>0</v>
      </c>
      <c r="P534" t="n">
        <v>0</v>
      </c>
      <c r="Q534" t="n">
        <v>0</v>
      </c>
      <c r="R534" s="2" t="inlineStr"/>
    </row>
    <row r="535" ht="15" customHeight="1">
      <c r="A535" t="inlineStr">
        <is>
          <t>A 57608-2023</t>
        </is>
      </c>
      <c r="B535" s="1" t="n">
        <v>45246.55990740741</v>
      </c>
      <c r="C535" s="1" t="n">
        <v>46133</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42882-2024</t>
        </is>
      </c>
      <c r="B536" s="1" t="n">
        <v>45566.71395833333</v>
      </c>
      <c r="C536" s="1" t="n">
        <v>46133</v>
      </c>
      <c r="D536" t="inlineStr">
        <is>
          <t>NORRBOTTENS LÄN</t>
        </is>
      </c>
      <c r="E536" t="inlineStr">
        <is>
          <t>PAJALA</t>
        </is>
      </c>
      <c r="G536" t="n">
        <v>7.4</v>
      </c>
      <c r="H536" t="n">
        <v>0</v>
      </c>
      <c r="I536" t="n">
        <v>0</v>
      </c>
      <c r="J536" t="n">
        <v>0</v>
      </c>
      <c r="K536" t="n">
        <v>0</v>
      </c>
      <c r="L536" t="n">
        <v>0</v>
      </c>
      <c r="M536" t="n">
        <v>0</v>
      </c>
      <c r="N536" t="n">
        <v>0</v>
      </c>
      <c r="O536" t="n">
        <v>0</v>
      </c>
      <c r="P536" t="n">
        <v>0</v>
      </c>
      <c r="Q536" t="n">
        <v>0</v>
      </c>
      <c r="R536" s="2" t="inlineStr"/>
    </row>
    <row r="537" ht="15" customHeight="1">
      <c r="A537" t="inlineStr">
        <is>
          <t>A 31902-2023</t>
        </is>
      </c>
      <c r="B537" s="1" t="n">
        <v>45118.79663194445</v>
      </c>
      <c r="C537" s="1" t="n">
        <v>46133</v>
      </c>
      <c r="D537" t="inlineStr">
        <is>
          <t>NORRBOTTENS LÄN</t>
        </is>
      </c>
      <c r="E537" t="inlineStr">
        <is>
          <t>PAJALA</t>
        </is>
      </c>
      <c r="G537" t="n">
        <v>21.5</v>
      </c>
      <c r="H537" t="n">
        <v>0</v>
      </c>
      <c r="I537" t="n">
        <v>0</v>
      </c>
      <c r="J537" t="n">
        <v>0</v>
      </c>
      <c r="K537" t="n">
        <v>0</v>
      </c>
      <c r="L537" t="n">
        <v>0</v>
      </c>
      <c r="M537" t="n">
        <v>0</v>
      </c>
      <c r="N537" t="n">
        <v>0</v>
      </c>
      <c r="O537" t="n">
        <v>0</v>
      </c>
      <c r="P537" t="n">
        <v>0</v>
      </c>
      <c r="Q537" t="n">
        <v>0</v>
      </c>
      <c r="R537" s="2" t="inlineStr"/>
    </row>
    <row r="538" ht="15" customHeight="1">
      <c r="A538" t="inlineStr">
        <is>
          <t>A 47195-2024</t>
        </is>
      </c>
      <c r="B538" s="1" t="n">
        <v>45586.63122685185</v>
      </c>
      <c r="C538" s="1" t="n">
        <v>46133</v>
      </c>
      <c r="D538" t="inlineStr">
        <is>
          <t>NORRBOTTENS LÄN</t>
        </is>
      </c>
      <c r="E538" t="inlineStr">
        <is>
          <t>PAJALA</t>
        </is>
      </c>
      <c r="G538" t="n">
        <v>6.7</v>
      </c>
      <c r="H538" t="n">
        <v>0</v>
      </c>
      <c r="I538" t="n">
        <v>0</v>
      </c>
      <c r="J538" t="n">
        <v>0</v>
      </c>
      <c r="K538" t="n">
        <v>0</v>
      </c>
      <c r="L538" t="n">
        <v>0</v>
      </c>
      <c r="M538" t="n">
        <v>0</v>
      </c>
      <c r="N538" t="n">
        <v>0</v>
      </c>
      <c r="O538" t="n">
        <v>0</v>
      </c>
      <c r="P538" t="n">
        <v>0</v>
      </c>
      <c r="Q538" t="n">
        <v>0</v>
      </c>
      <c r="R538" s="2" t="inlineStr"/>
    </row>
    <row r="539" ht="15" customHeight="1">
      <c r="A539" t="inlineStr">
        <is>
          <t>A 47199-2024</t>
        </is>
      </c>
      <c r="B539" s="1" t="n">
        <v>45586</v>
      </c>
      <c r="C539" s="1" t="n">
        <v>46133</v>
      </c>
      <c r="D539" t="inlineStr">
        <is>
          <t>NORRBOTTENS LÄN</t>
        </is>
      </c>
      <c r="E539" t="inlineStr">
        <is>
          <t>PAJALA</t>
        </is>
      </c>
      <c r="G539" t="n">
        <v>5.1</v>
      </c>
      <c r="H539" t="n">
        <v>0</v>
      </c>
      <c r="I539" t="n">
        <v>0</v>
      </c>
      <c r="J539" t="n">
        <v>0</v>
      </c>
      <c r="K539" t="n">
        <v>0</v>
      </c>
      <c r="L539" t="n">
        <v>0</v>
      </c>
      <c r="M539" t="n">
        <v>0</v>
      </c>
      <c r="N539" t="n">
        <v>0</v>
      </c>
      <c r="O539" t="n">
        <v>0</v>
      </c>
      <c r="P539" t="n">
        <v>0</v>
      </c>
      <c r="Q539" t="n">
        <v>0</v>
      </c>
      <c r="R539" s="2" t="inlineStr"/>
    </row>
    <row r="540" ht="15" customHeight="1">
      <c r="A540" t="inlineStr">
        <is>
          <t>A 46013-2024</t>
        </is>
      </c>
      <c r="B540" s="1" t="n">
        <v>45580</v>
      </c>
      <c r="C540" s="1" t="n">
        <v>46133</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20848-2023</t>
        </is>
      </c>
      <c r="B541" s="1" t="n">
        <v>45058</v>
      </c>
      <c r="C541" s="1" t="n">
        <v>46133</v>
      </c>
      <c r="D541" t="inlineStr">
        <is>
          <t>NORRBOTTENS LÄN</t>
        </is>
      </c>
      <c r="E541" t="inlineStr">
        <is>
          <t>PAJALA</t>
        </is>
      </c>
      <c r="G541" t="n">
        <v>1.6</v>
      </c>
      <c r="H541" t="n">
        <v>0</v>
      </c>
      <c r="I541" t="n">
        <v>0</v>
      </c>
      <c r="J541" t="n">
        <v>0</v>
      </c>
      <c r="K541" t="n">
        <v>0</v>
      </c>
      <c r="L541" t="n">
        <v>0</v>
      </c>
      <c r="M541" t="n">
        <v>0</v>
      </c>
      <c r="N541" t="n">
        <v>0</v>
      </c>
      <c r="O541" t="n">
        <v>0</v>
      </c>
      <c r="P541" t="n">
        <v>0</v>
      </c>
      <c r="Q541" t="n">
        <v>0</v>
      </c>
      <c r="R541" s="2" t="inlineStr"/>
    </row>
    <row r="542" ht="15" customHeight="1">
      <c r="A542" t="inlineStr">
        <is>
          <t>A 38163-2024</t>
        </is>
      </c>
      <c r="B542" s="1" t="n">
        <v>45545</v>
      </c>
      <c r="C542" s="1" t="n">
        <v>46133</v>
      </c>
      <c r="D542" t="inlineStr">
        <is>
          <t>NORRBOTTENS LÄN</t>
        </is>
      </c>
      <c r="E542" t="inlineStr">
        <is>
          <t>PAJALA</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41612-2024</t>
        </is>
      </c>
      <c r="B543" s="1" t="n">
        <v>45560.59424768519</v>
      </c>
      <c r="C543" s="1" t="n">
        <v>46133</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33932-2022</t>
        </is>
      </c>
      <c r="B544" s="1" t="n">
        <v>44790</v>
      </c>
      <c r="C544" s="1" t="n">
        <v>46133</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11120-2024</t>
        </is>
      </c>
      <c r="B545" s="1" t="n">
        <v>45371</v>
      </c>
      <c r="C545" s="1" t="n">
        <v>46133</v>
      </c>
      <c r="D545" t="inlineStr">
        <is>
          <t>NORRBOTTENS LÄN</t>
        </is>
      </c>
      <c r="E545" t="inlineStr">
        <is>
          <t>PAJALA</t>
        </is>
      </c>
      <c r="F545" t="inlineStr">
        <is>
          <t>Allmännings- och besparingsskogar</t>
        </is>
      </c>
      <c r="G545" t="n">
        <v>4.9</v>
      </c>
      <c r="H545" t="n">
        <v>0</v>
      </c>
      <c r="I545" t="n">
        <v>0</v>
      </c>
      <c r="J545" t="n">
        <v>0</v>
      </c>
      <c r="K545" t="n">
        <v>0</v>
      </c>
      <c r="L545" t="n">
        <v>0</v>
      </c>
      <c r="M545" t="n">
        <v>0</v>
      </c>
      <c r="N545" t="n">
        <v>0</v>
      </c>
      <c r="O545" t="n">
        <v>0</v>
      </c>
      <c r="P545" t="n">
        <v>0</v>
      </c>
      <c r="Q545" t="n">
        <v>0</v>
      </c>
      <c r="R545" s="2" t="inlineStr"/>
    </row>
    <row r="546" ht="15" customHeight="1">
      <c r="A546" t="inlineStr">
        <is>
          <t>A 59121-2025</t>
        </is>
      </c>
      <c r="B546" s="1" t="n">
        <v>45988.49179398148</v>
      </c>
      <c r="C546" s="1" t="n">
        <v>46133</v>
      </c>
      <c r="D546" t="inlineStr">
        <is>
          <t>NORRBOTTENS LÄN</t>
        </is>
      </c>
      <c r="E546" t="inlineStr">
        <is>
          <t>PAJALA</t>
        </is>
      </c>
      <c r="G546" t="n">
        <v>0.9</v>
      </c>
      <c r="H546" t="n">
        <v>0</v>
      </c>
      <c r="I546" t="n">
        <v>0</v>
      </c>
      <c r="J546" t="n">
        <v>0</v>
      </c>
      <c r="K546" t="n">
        <v>0</v>
      </c>
      <c r="L546" t="n">
        <v>0</v>
      </c>
      <c r="M546" t="n">
        <v>0</v>
      </c>
      <c r="N546" t="n">
        <v>0</v>
      </c>
      <c r="O546" t="n">
        <v>0</v>
      </c>
      <c r="P546" t="n">
        <v>0</v>
      </c>
      <c r="Q546" t="n">
        <v>0</v>
      </c>
      <c r="R546" s="2" t="inlineStr"/>
    </row>
    <row r="547" ht="15" customHeight="1">
      <c r="A547" t="inlineStr">
        <is>
          <t>A 10908-2025</t>
        </is>
      </c>
      <c r="B547" s="1" t="n">
        <v>45722</v>
      </c>
      <c r="C547" s="1" t="n">
        <v>46133</v>
      </c>
      <c r="D547" t="inlineStr">
        <is>
          <t>NORRBOTTENS LÄN</t>
        </is>
      </c>
      <c r="E547" t="inlineStr">
        <is>
          <t>PAJALA</t>
        </is>
      </c>
      <c r="G547" t="n">
        <v>3.9</v>
      </c>
      <c r="H547" t="n">
        <v>0</v>
      </c>
      <c r="I547" t="n">
        <v>0</v>
      </c>
      <c r="J547" t="n">
        <v>0</v>
      </c>
      <c r="K547" t="n">
        <v>0</v>
      </c>
      <c r="L547" t="n">
        <v>0</v>
      </c>
      <c r="M547" t="n">
        <v>0</v>
      </c>
      <c r="N547" t="n">
        <v>0</v>
      </c>
      <c r="O547" t="n">
        <v>0</v>
      </c>
      <c r="P547" t="n">
        <v>0</v>
      </c>
      <c r="Q547" t="n">
        <v>0</v>
      </c>
      <c r="R547" s="2" t="inlineStr"/>
    </row>
    <row r="548" ht="15" customHeight="1">
      <c r="A548" t="inlineStr">
        <is>
          <t>A 19047-2024</t>
        </is>
      </c>
      <c r="B548" s="1" t="n">
        <v>45427.74662037037</v>
      </c>
      <c r="C548" s="1" t="n">
        <v>46133</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57739-2024</t>
        </is>
      </c>
      <c r="B549" s="1" t="n">
        <v>45630</v>
      </c>
      <c r="C549" s="1" t="n">
        <v>46133</v>
      </c>
      <c r="D549" t="inlineStr">
        <is>
          <t>NORRBOTTENS LÄN</t>
        </is>
      </c>
      <c r="E549" t="inlineStr">
        <is>
          <t>PAJALA</t>
        </is>
      </c>
      <c r="G549" t="n">
        <v>13.9</v>
      </c>
      <c r="H549" t="n">
        <v>0</v>
      </c>
      <c r="I549" t="n">
        <v>0</v>
      </c>
      <c r="J549" t="n">
        <v>0</v>
      </c>
      <c r="K549" t="n">
        <v>0</v>
      </c>
      <c r="L549" t="n">
        <v>0</v>
      </c>
      <c r="M549" t="n">
        <v>0</v>
      </c>
      <c r="N549" t="n">
        <v>0</v>
      </c>
      <c r="O549" t="n">
        <v>0</v>
      </c>
      <c r="P549" t="n">
        <v>0</v>
      </c>
      <c r="Q549" t="n">
        <v>0</v>
      </c>
      <c r="R549" s="2" t="inlineStr"/>
    </row>
    <row r="550" ht="15" customHeight="1">
      <c r="A550" t="inlineStr">
        <is>
          <t>A 52558-2023</t>
        </is>
      </c>
      <c r="B550" s="1" t="n">
        <v>45218</v>
      </c>
      <c r="C550" s="1" t="n">
        <v>46133</v>
      </c>
      <c r="D550" t="inlineStr">
        <is>
          <t>NORRBOTTENS LÄN</t>
        </is>
      </c>
      <c r="E550" t="inlineStr">
        <is>
          <t>PAJALA</t>
        </is>
      </c>
      <c r="G550" t="n">
        <v>7.6</v>
      </c>
      <c r="H550" t="n">
        <v>0</v>
      </c>
      <c r="I550" t="n">
        <v>0</v>
      </c>
      <c r="J550" t="n">
        <v>0</v>
      </c>
      <c r="K550" t="n">
        <v>0</v>
      </c>
      <c r="L550" t="n">
        <v>0</v>
      </c>
      <c r="M550" t="n">
        <v>0</v>
      </c>
      <c r="N550" t="n">
        <v>0</v>
      </c>
      <c r="O550" t="n">
        <v>0</v>
      </c>
      <c r="P550" t="n">
        <v>0</v>
      </c>
      <c r="Q550" t="n">
        <v>0</v>
      </c>
      <c r="R550" s="2" t="inlineStr"/>
    </row>
    <row r="551" ht="15" customHeight="1">
      <c r="A551" t="inlineStr">
        <is>
          <t>A 5991-2026</t>
        </is>
      </c>
      <c r="B551" s="1" t="n">
        <v>46052.56774305556</v>
      </c>
      <c r="C551" s="1" t="n">
        <v>46133</v>
      </c>
      <c r="D551" t="inlineStr">
        <is>
          <t>NORRBOTTENS LÄN</t>
        </is>
      </c>
      <c r="E551" t="inlineStr">
        <is>
          <t>PAJALA</t>
        </is>
      </c>
      <c r="G551" t="n">
        <v>7.2</v>
      </c>
      <c r="H551" t="n">
        <v>0</v>
      </c>
      <c r="I551" t="n">
        <v>0</v>
      </c>
      <c r="J551" t="n">
        <v>0</v>
      </c>
      <c r="K551" t="n">
        <v>0</v>
      </c>
      <c r="L551" t="n">
        <v>0</v>
      </c>
      <c r="M551" t="n">
        <v>0</v>
      </c>
      <c r="N551" t="n">
        <v>0</v>
      </c>
      <c r="O551" t="n">
        <v>0</v>
      </c>
      <c r="P551" t="n">
        <v>0</v>
      </c>
      <c r="Q551" t="n">
        <v>0</v>
      </c>
      <c r="R551" s="2" t="inlineStr"/>
    </row>
    <row r="552" ht="15" customHeight="1">
      <c r="A552" t="inlineStr">
        <is>
          <t>A 14337-2025</t>
        </is>
      </c>
      <c r="B552" s="1" t="n">
        <v>45740.92456018519</v>
      </c>
      <c r="C552" s="1" t="n">
        <v>46133</v>
      </c>
      <c r="D552" t="inlineStr">
        <is>
          <t>NORRBOTTENS LÄN</t>
        </is>
      </c>
      <c r="E552" t="inlineStr">
        <is>
          <t>PAJALA</t>
        </is>
      </c>
      <c r="G552" t="n">
        <v>3.4</v>
      </c>
      <c r="H552" t="n">
        <v>0</v>
      </c>
      <c r="I552" t="n">
        <v>0</v>
      </c>
      <c r="J552" t="n">
        <v>0</v>
      </c>
      <c r="K552" t="n">
        <v>0</v>
      </c>
      <c r="L552" t="n">
        <v>0</v>
      </c>
      <c r="M552" t="n">
        <v>0</v>
      </c>
      <c r="N552" t="n">
        <v>0</v>
      </c>
      <c r="O552" t="n">
        <v>0</v>
      </c>
      <c r="P552" t="n">
        <v>0</v>
      </c>
      <c r="Q552" t="n">
        <v>0</v>
      </c>
      <c r="R552" s="2" t="inlineStr"/>
    </row>
    <row r="553" ht="15" customHeight="1">
      <c r="A553" t="inlineStr">
        <is>
          <t>A 60386-2025</t>
        </is>
      </c>
      <c r="B553" s="1" t="n">
        <v>45995.3859375</v>
      </c>
      <c r="C553" s="1" t="n">
        <v>46133</v>
      </c>
      <c r="D553" t="inlineStr">
        <is>
          <t>NORRBOTTENS LÄN</t>
        </is>
      </c>
      <c r="E553" t="inlineStr">
        <is>
          <t>PAJALA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19172-2021</t>
        </is>
      </c>
      <c r="B554" s="1" t="n">
        <v>44308</v>
      </c>
      <c r="C554" s="1" t="n">
        <v>46133</v>
      </c>
      <c r="D554" t="inlineStr">
        <is>
          <t>NORRBOTTENS LÄN</t>
        </is>
      </c>
      <c r="E554" t="inlineStr">
        <is>
          <t>PAJALA</t>
        </is>
      </c>
      <c r="G554" t="n">
        <v>21.9</v>
      </c>
      <c r="H554" t="n">
        <v>0</v>
      </c>
      <c r="I554" t="n">
        <v>0</v>
      </c>
      <c r="J554" t="n">
        <v>0</v>
      </c>
      <c r="K554" t="n">
        <v>0</v>
      </c>
      <c r="L554" t="n">
        <v>0</v>
      </c>
      <c r="M554" t="n">
        <v>0</v>
      </c>
      <c r="N554" t="n">
        <v>0</v>
      </c>
      <c r="O554" t="n">
        <v>0</v>
      </c>
      <c r="P554" t="n">
        <v>0</v>
      </c>
      <c r="Q554" t="n">
        <v>0</v>
      </c>
      <c r="R554" s="2" t="inlineStr"/>
    </row>
    <row r="555" ht="15" customHeight="1">
      <c r="A555" t="inlineStr">
        <is>
          <t>A 61461-2025</t>
        </is>
      </c>
      <c r="B555" s="1" t="n">
        <v>46001.5986574074</v>
      </c>
      <c r="C555" s="1" t="n">
        <v>46133</v>
      </c>
      <c r="D555" t="inlineStr">
        <is>
          <t>NORRBOTTENS LÄN</t>
        </is>
      </c>
      <c r="E555" t="inlineStr">
        <is>
          <t>PAJALA</t>
        </is>
      </c>
      <c r="G555" t="n">
        <v>2.4</v>
      </c>
      <c r="H555" t="n">
        <v>0</v>
      </c>
      <c r="I555" t="n">
        <v>0</v>
      </c>
      <c r="J555" t="n">
        <v>0</v>
      </c>
      <c r="K555" t="n">
        <v>0</v>
      </c>
      <c r="L555" t="n">
        <v>0</v>
      </c>
      <c r="M555" t="n">
        <v>0</v>
      </c>
      <c r="N555" t="n">
        <v>0</v>
      </c>
      <c r="O555" t="n">
        <v>0</v>
      </c>
      <c r="P555" t="n">
        <v>0</v>
      </c>
      <c r="Q555" t="n">
        <v>0</v>
      </c>
      <c r="R555" s="2" t="inlineStr"/>
    </row>
    <row r="556" ht="15" customHeight="1">
      <c r="A556" t="inlineStr">
        <is>
          <t>A 61290-2025</t>
        </is>
      </c>
      <c r="B556" s="1" t="n">
        <v>46000.7378587963</v>
      </c>
      <c r="C556" s="1" t="n">
        <v>46133</v>
      </c>
      <c r="D556" t="inlineStr">
        <is>
          <t>NORRBOTTENS LÄN</t>
        </is>
      </c>
      <c r="E556" t="inlineStr">
        <is>
          <t>PAJALA</t>
        </is>
      </c>
      <c r="G556" t="n">
        <v>2.1</v>
      </c>
      <c r="H556" t="n">
        <v>0</v>
      </c>
      <c r="I556" t="n">
        <v>0</v>
      </c>
      <c r="J556" t="n">
        <v>0</v>
      </c>
      <c r="K556" t="n">
        <v>0</v>
      </c>
      <c r="L556" t="n">
        <v>0</v>
      </c>
      <c r="M556" t="n">
        <v>0</v>
      </c>
      <c r="N556" t="n">
        <v>0</v>
      </c>
      <c r="O556" t="n">
        <v>0</v>
      </c>
      <c r="P556" t="n">
        <v>0</v>
      </c>
      <c r="Q556" t="n">
        <v>0</v>
      </c>
      <c r="R556" s="2" t="inlineStr"/>
    </row>
    <row r="557" ht="15" customHeight="1">
      <c r="A557" t="inlineStr">
        <is>
          <t>A 34151-2023</t>
        </is>
      </c>
      <c r="B557" s="1" t="n">
        <v>45136</v>
      </c>
      <c r="C557" s="1" t="n">
        <v>46133</v>
      </c>
      <c r="D557" t="inlineStr">
        <is>
          <t>NORRBOTTENS LÄN</t>
        </is>
      </c>
      <c r="E557" t="inlineStr">
        <is>
          <t>PAJALA</t>
        </is>
      </c>
      <c r="G557" t="n">
        <v>21.7</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46133</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48486-2024</t>
        </is>
      </c>
      <c r="B559" s="1" t="n">
        <v>45592.41905092593</v>
      </c>
      <c r="C559" s="1" t="n">
        <v>46133</v>
      </c>
      <c r="D559" t="inlineStr">
        <is>
          <t>NORRBOTTENS LÄN</t>
        </is>
      </c>
      <c r="E559" t="inlineStr">
        <is>
          <t>PAJALA</t>
        </is>
      </c>
      <c r="G559" t="n">
        <v>2.2</v>
      </c>
      <c r="H559" t="n">
        <v>0</v>
      </c>
      <c r="I559" t="n">
        <v>0</v>
      </c>
      <c r="J559" t="n">
        <v>0</v>
      </c>
      <c r="K559" t="n">
        <v>0</v>
      </c>
      <c r="L559" t="n">
        <v>0</v>
      </c>
      <c r="M559" t="n">
        <v>0</v>
      </c>
      <c r="N559" t="n">
        <v>0</v>
      </c>
      <c r="O559" t="n">
        <v>0</v>
      </c>
      <c r="P559" t="n">
        <v>0</v>
      </c>
      <c r="Q559" t="n">
        <v>0</v>
      </c>
      <c r="R559" s="2" t="inlineStr"/>
    </row>
    <row r="560" ht="15" customHeight="1">
      <c r="A560" t="inlineStr">
        <is>
          <t>A 48487-2024</t>
        </is>
      </c>
      <c r="B560" s="1" t="n">
        <v>45592.45144675926</v>
      </c>
      <c r="C560" s="1" t="n">
        <v>46133</v>
      </c>
      <c r="D560" t="inlineStr">
        <is>
          <t>NORRBOTTENS LÄN</t>
        </is>
      </c>
      <c r="E560" t="inlineStr">
        <is>
          <t>PAJALA</t>
        </is>
      </c>
      <c r="G560" t="n">
        <v>2.3</v>
      </c>
      <c r="H560" t="n">
        <v>0</v>
      </c>
      <c r="I560" t="n">
        <v>0</v>
      </c>
      <c r="J560" t="n">
        <v>0</v>
      </c>
      <c r="K560" t="n">
        <v>0</v>
      </c>
      <c r="L560" t="n">
        <v>0</v>
      </c>
      <c r="M560" t="n">
        <v>0</v>
      </c>
      <c r="N560" t="n">
        <v>0</v>
      </c>
      <c r="O560" t="n">
        <v>0</v>
      </c>
      <c r="P560" t="n">
        <v>0</v>
      </c>
      <c r="Q560" t="n">
        <v>0</v>
      </c>
      <c r="R560" s="2" t="inlineStr"/>
    </row>
    <row r="561" ht="15" customHeight="1">
      <c r="A561" t="inlineStr">
        <is>
          <t>A 61287-2025</t>
        </is>
      </c>
      <c r="B561" s="1" t="n">
        <v>46000.73221064815</v>
      </c>
      <c r="C561" s="1" t="n">
        <v>46133</v>
      </c>
      <c r="D561" t="inlineStr">
        <is>
          <t>NORRBOTTENS LÄN</t>
        </is>
      </c>
      <c r="E561" t="inlineStr">
        <is>
          <t>PAJALA</t>
        </is>
      </c>
      <c r="G561" t="n">
        <v>0.5</v>
      </c>
      <c r="H561" t="n">
        <v>0</v>
      </c>
      <c r="I561" t="n">
        <v>0</v>
      </c>
      <c r="J561" t="n">
        <v>0</v>
      </c>
      <c r="K561" t="n">
        <v>0</v>
      </c>
      <c r="L561" t="n">
        <v>0</v>
      </c>
      <c r="M561" t="n">
        <v>0</v>
      </c>
      <c r="N561" t="n">
        <v>0</v>
      </c>
      <c r="O561" t="n">
        <v>0</v>
      </c>
      <c r="P561" t="n">
        <v>0</v>
      </c>
      <c r="Q561" t="n">
        <v>0</v>
      </c>
      <c r="R561" s="2" t="inlineStr"/>
    </row>
    <row r="562" ht="15" customHeight="1">
      <c r="A562" t="inlineStr">
        <is>
          <t>A 5931-2026</t>
        </is>
      </c>
      <c r="B562" s="1" t="n">
        <v>46052.46858796296</v>
      </c>
      <c r="C562" s="1" t="n">
        <v>46133</v>
      </c>
      <c r="D562" t="inlineStr">
        <is>
          <t>NORRBOTTENS LÄN</t>
        </is>
      </c>
      <c r="E562" t="inlineStr">
        <is>
          <t>PAJALA</t>
        </is>
      </c>
      <c r="G562" t="n">
        <v>5.4</v>
      </c>
      <c r="H562" t="n">
        <v>0</v>
      </c>
      <c r="I562" t="n">
        <v>0</v>
      </c>
      <c r="J562" t="n">
        <v>0</v>
      </c>
      <c r="K562" t="n">
        <v>0</v>
      </c>
      <c r="L562" t="n">
        <v>0</v>
      </c>
      <c r="M562" t="n">
        <v>0</v>
      </c>
      <c r="N562" t="n">
        <v>0</v>
      </c>
      <c r="O562" t="n">
        <v>0</v>
      </c>
      <c r="P562" t="n">
        <v>0</v>
      </c>
      <c r="Q562" t="n">
        <v>0</v>
      </c>
      <c r="R562" s="2" t="inlineStr"/>
    </row>
    <row r="563" ht="15" customHeight="1">
      <c r="A563" t="inlineStr">
        <is>
          <t>A 61467-2025</t>
        </is>
      </c>
      <c r="B563" s="1" t="n">
        <v>46001.60440972223</v>
      </c>
      <c r="C563" s="1" t="n">
        <v>46133</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36810-2024</t>
        </is>
      </c>
      <c r="B564" s="1" t="n">
        <v>45538.4730324074</v>
      </c>
      <c r="C564" s="1" t="n">
        <v>46133</v>
      </c>
      <c r="D564" t="inlineStr">
        <is>
          <t>NORRBOTTENS LÄN</t>
        </is>
      </c>
      <c r="E564" t="inlineStr">
        <is>
          <t>PAJALA</t>
        </is>
      </c>
      <c r="G564" t="n">
        <v>7.4</v>
      </c>
      <c r="H564" t="n">
        <v>0</v>
      </c>
      <c r="I564" t="n">
        <v>0</v>
      </c>
      <c r="J564" t="n">
        <v>0</v>
      </c>
      <c r="K564" t="n">
        <v>0</v>
      </c>
      <c r="L564" t="n">
        <v>0</v>
      </c>
      <c r="M564" t="n">
        <v>0</v>
      </c>
      <c r="N564" t="n">
        <v>0</v>
      </c>
      <c r="O564" t="n">
        <v>0</v>
      </c>
      <c r="P564" t="n">
        <v>0</v>
      </c>
      <c r="Q564" t="n">
        <v>0</v>
      </c>
      <c r="R564" s="2" t="inlineStr"/>
    </row>
    <row r="565" ht="15" customHeight="1">
      <c r="A565" t="inlineStr">
        <is>
          <t>A 3836-2025</t>
        </is>
      </c>
      <c r="B565" s="1" t="n">
        <v>45682.50773148148</v>
      </c>
      <c r="C565" s="1" t="n">
        <v>46133</v>
      </c>
      <c r="D565" t="inlineStr">
        <is>
          <t>NORRBOTTENS LÄN</t>
        </is>
      </c>
      <c r="E565" t="inlineStr">
        <is>
          <t>PAJALA</t>
        </is>
      </c>
      <c r="G565" t="n">
        <v>0.6</v>
      </c>
      <c r="H565" t="n">
        <v>0</v>
      </c>
      <c r="I565" t="n">
        <v>0</v>
      </c>
      <c r="J565" t="n">
        <v>0</v>
      </c>
      <c r="K565" t="n">
        <v>0</v>
      </c>
      <c r="L565" t="n">
        <v>0</v>
      </c>
      <c r="M565" t="n">
        <v>0</v>
      </c>
      <c r="N565" t="n">
        <v>0</v>
      </c>
      <c r="O565" t="n">
        <v>0</v>
      </c>
      <c r="P565" t="n">
        <v>0</v>
      </c>
      <c r="Q565" t="n">
        <v>0</v>
      </c>
      <c r="R565" s="2" t="inlineStr"/>
    </row>
    <row r="566" ht="15" customHeight="1">
      <c r="A566" t="inlineStr">
        <is>
          <t>A 61660-2023</t>
        </is>
      </c>
      <c r="B566" s="1" t="n">
        <v>45265.59436342592</v>
      </c>
      <c r="C566" s="1" t="n">
        <v>46133</v>
      </c>
      <c r="D566" t="inlineStr">
        <is>
          <t>NORRBOTTENS LÄN</t>
        </is>
      </c>
      <c r="E566" t="inlineStr">
        <is>
          <t>PAJALA</t>
        </is>
      </c>
      <c r="G566" t="n">
        <v>9.6</v>
      </c>
      <c r="H566" t="n">
        <v>0</v>
      </c>
      <c r="I566" t="n">
        <v>0</v>
      </c>
      <c r="J566" t="n">
        <v>0</v>
      </c>
      <c r="K566" t="n">
        <v>0</v>
      </c>
      <c r="L566" t="n">
        <v>0</v>
      </c>
      <c r="M566" t="n">
        <v>0</v>
      </c>
      <c r="N566" t="n">
        <v>0</v>
      </c>
      <c r="O566" t="n">
        <v>0</v>
      </c>
      <c r="P566" t="n">
        <v>0</v>
      </c>
      <c r="Q566" t="n">
        <v>0</v>
      </c>
      <c r="R566" s="2" t="inlineStr"/>
    </row>
    <row r="567" ht="15" customHeight="1">
      <c r="A567" t="inlineStr">
        <is>
          <t>A 57906-2023</t>
        </is>
      </c>
      <c r="B567" s="1" t="n">
        <v>45247.50337962963</v>
      </c>
      <c r="C567" s="1" t="n">
        <v>46133</v>
      </c>
      <c r="D567" t="inlineStr">
        <is>
          <t>NORRBOTTENS LÄN</t>
        </is>
      </c>
      <c r="E567" t="inlineStr">
        <is>
          <t>PAJALA</t>
        </is>
      </c>
      <c r="G567" t="n">
        <v>2.4</v>
      </c>
      <c r="H567" t="n">
        <v>0</v>
      </c>
      <c r="I567" t="n">
        <v>0</v>
      </c>
      <c r="J567" t="n">
        <v>0</v>
      </c>
      <c r="K567" t="n">
        <v>0</v>
      </c>
      <c r="L567" t="n">
        <v>0</v>
      </c>
      <c r="M567" t="n">
        <v>0</v>
      </c>
      <c r="N567" t="n">
        <v>0</v>
      </c>
      <c r="O567" t="n">
        <v>0</v>
      </c>
      <c r="P567" t="n">
        <v>0</v>
      </c>
      <c r="Q567" t="n">
        <v>0</v>
      </c>
      <c r="R567" s="2" t="inlineStr"/>
    </row>
    <row r="568" ht="15" customHeight="1">
      <c r="A568" t="inlineStr">
        <is>
          <t>A 32010-2022</t>
        </is>
      </c>
      <c r="B568" s="1" t="n">
        <v>44778</v>
      </c>
      <c r="C568" s="1" t="n">
        <v>46133</v>
      </c>
      <c r="D568" t="inlineStr">
        <is>
          <t>NORRBOTTENS LÄN</t>
        </is>
      </c>
      <c r="E568" t="inlineStr">
        <is>
          <t>PAJALA</t>
        </is>
      </c>
      <c r="G568" t="n">
        <v>3.6</v>
      </c>
      <c r="H568" t="n">
        <v>0</v>
      </c>
      <c r="I568" t="n">
        <v>0</v>
      </c>
      <c r="J568" t="n">
        <v>0</v>
      </c>
      <c r="K568" t="n">
        <v>0</v>
      </c>
      <c r="L568" t="n">
        <v>0</v>
      </c>
      <c r="M568" t="n">
        <v>0</v>
      </c>
      <c r="N568" t="n">
        <v>0</v>
      </c>
      <c r="O568" t="n">
        <v>0</v>
      </c>
      <c r="P568" t="n">
        <v>0</v>
      </c>
      <c r="Q568" t="n">
        <v>0</v>
      </c>
      <c r="R568" s="2" t="inlineStr"/>
    </row>
    <row r="569" ht="15" customHeight="1">
      <c r="A569" t="inlineStr">
        <is>
          <t>A 29881-2022</t>
        </is>
      </c>
      <c r="B569" s="1" t="n">
        <v>44755</v>
      </c>
      <c r="C569" s="1" t="n">
        <v>46133</v>
      </c>
      <c r="D569" t="inlineStr">
        <is>
          <t>NORRBOTTENS LÄN</t>
        </is>
      </c>
      <c r="E569" t="inlineStr">
        <is>
          <t>PAJALA</t>
        </is>
      </c>
      <c r="G569" t="n">
        <v>10.1</v>
      </c>
      <c r="H569" t="n">
        <v>0</v>
      </c>
      <c r="I569" t="n">
        <v>0</v>
      </c>
      <c r="J569" t="n">
        <v>0</v>
      </c>
      <c r="K569" t="n">
        <v>0</v>
      </c>
      <c r="L569" t="n">
        <v>0</v>
      </c>
      <c r="M569" t="n">
        <v>0</v>
      </c>
      <c r="N569" t="n">
        <v>0</v>
      </c>
      <c r="O569" t="n">
        <v>0</v>
      </c>
      <c r="P569" t="n">
        <v>0</v>
      </c>
      <c r="Q569" t="n">
        <v>0</v>
      </c>
      <c r="R569" s="2" t="inlineStr"/>
    </row>
    <row r="570" ht="15" customHeight="1">
      <c r="A570" t="inlineStr">
        <is>
          <t>A 40910-2024</t>
        </is>
      </c>
      <c r="B570" s="1" t="n">
        <v>45558</v>
      </c>
      <c r="C570" s="1" t="n">
        <v>46133</v>
      </c>
      <c r="D570" t="inlineStr">
        <is>
          <t>NORRBOTTENS LÄN</t>
        </is>
      </c>
      <c r="E570" t="inlineStr">
        <is>
          <t>PAJALA</t>
        </is>
      </c>
      <c r="G570" t="n">
        <v>0.9</v>
      </c>
      <c r="H570" t="n">
        <v>0</v>
      </c>
      <c r="I570" t="n">
        <v>0</v>
      </c>
      <c r="J570" t="n">
        <v>0</v>
      </c>
      <c r="K570" t="n">
        <v>0</v>
      </c>
      <c r="L570" t="n">
        <v>0</v>
      </c>
      <c r="M570" t="n">
        <v>0</v>
      </c>
      <c r="N570" t="n">
        <v>0</v>
      </c>
      <c r="O570" t="n">
        <v>0</v>
      </c>
      <c r="P570" t="n">
        <v>0</v>
      </c>
      <c r="Q570" t="n">
        <v>0</v>
      </c>
      <c r="R570" s="2" t="inlineStr"/>
    </row>
    <row r="571" ht="15" customHeight="1">
      <c r="A571" t="inlineStr">
        <is>
          <t>A 43396-2022</t>
        </is>
      </c>
      <c r="B571" s="1" t="n">
        <v>44834.70690972222</v>
      </c>
      <c r="C571" s="1" t="n">
        <v>46133</v>
      </c>
      <c r="D571" t="inlineStr">
        <is>
          <t>NORRBOTTENS LÄN</t>
        </is>
      </c>
      <c r="E571" t="inlineStr">
        <is>
          <t>PAJALA</t>
        </is>
      </c>
      <c r="G571" t="n">
        <v>11.2</v>
      </c>
      <c r="H571" t="n">
        <v>0</v>
      </c>
      <c r="I571" t="n">
        <v>0</v>
      </c>
      <c r="J571" t="n">
        <v>0</v>
      </c>
      <c r="K571" t="n">
        <v>0</v>
      </c>
      <c r="L571" t="n">
        <v>0</v>
      </c>
      <c r="M571" t="n">
        <v>0</v>
      </c>
      <c r="N571" t="n">
        <v>0</v>
      </c>
      <c r="O571" t="n">
        <v>0</v>
      </c>
      <c r="P571" t="n">
        <v>0</v>
      </c>
      <c r="Q571" t="n">
        <v>0</v>
      </c>
      <c r="R571" s="2" t="inlineStr"/>
    </row>
    <row r="572" ht="15" customHeight="1">
      <c r="A572" t="inlineStr">
        <is>
          <t>A 7434-2026</t>
        </is>
      </c>
      <c r="B572" s="1" t="n">
        <v>46059.43944444445</v>
      </c>
      <c r="C572" s="1" t="n">
        <v>46133</v>
      </c>
      <c r="D572" t="inlineStr">
        <is>
          <t>NORRBOTTENS LÄN</t>
        </is>
      </c>
      <c r="E572" t="inlineStr">
        <is>
          <t>PAJALA</t>
        </is>
      </c>
      <c r="G572" t="n">
        <v>18.2</v>
      </c>
      <c r="H572" t="n">
        <v>0</v>
      </c>
      <c r="I572" t="n">
        <v>0</v>
      </c>
      <c r="J572" t="n">
        <v>0</v>
      </c>
      <c r="K572" t="n">
        <v>0</v>
      </c>
      <c r="L572" t="n">
        <v>0</v>
      </c>
      <c r="M572" t="n">
        <v>0</v>
      </c>
      <c r="N572" t="n">
        <v>0</v>
      </c>
      <c r="O572" t="n">
        <v>0</v>
      </c>
      <c r="P572" t="n">
        <v>0</v>
      </c>
      <c r="Q572" t="n">
        <v>0</v>
      </c>
      <c r="R572" s="2" t="inlineStr"/>
    </row>
    <row r="573" ht="15" customHeight="1">
      <c r="A573" t="inlineStr">
        <is>
          <t>A 7543-2026</t>
        </is>
      </c>
      <c r="B573" s="1" t="n">
        <v>46059.64246527778</v>
      </c>
      <c r="C573" s="1" t="n">
        <v>46133</v>
      </c>
      <c r="D573" t="inlineStr">
        <is>
          <t>NORRBOTTENS LÄN</t>
        </is>
      </c>
      <c r="E573" t="inlineStr">
        <is>
          <t>PAJALA</t>
        </is>
      </c>
      <c r="G573" t="n">
        <v>1</v>
      </c>
      <c r="H573" t="n">
        <v>0</v>
      </c>
      <c r="I573" t="n">
        <v>0</v>
      </c>
      <c r="J573" t="n">
        <v>0</v>
      </c>
      <c r="K573" t="n">
        <v>0</v>
      </c>
      <c r="L573" t="n">
        <v>0</v>
      </c>
      <c r="M573" t="n">
        <v>0</v>
      </c>
      <c r="N573" t="n">
        <v>0</v>
      </c>
      <c r="O573" t="n">
        <v>0</v>
      </c>
      <c r="P573" t="n">
        <v>0</v>
      </c>
      <c r="Q573" t="n">
        <v>0</v>
      </c>
      <c r="R573" s="2" t="inlineStr"/>
    </row>
    <row r="574" ht="15" customHeight="1">
      <c r="A574" t="inlineStr">
        <is>
          <t>A 7540-2026</t>
        </is>
      </c>
      <c r="B574" s="1" t="n">
        <v>46059.635625</v>
      </c>
      <c r="C574" s="1" t="n">
        <v>46133</v>
      </c>
      <c r="D574" t="inlineStr">
        <is>
          <t>NORRBOTTENS LÄN</t>
        </is>
      </c>
      <c r="E574" t="inlineStr">
        <is>
          <t>PAJALA</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7195-2026</t>
        </is>
      </c>
      <c r="B575" s="1" t="n">
        <v>46058</v>
      </c>
      <c r="C575" s="1" t="n">
        <v>46133</v>
      </c>
      <c r="D575" t="inlineStr">
        <is>
          <t>NORRBOTTENS LÄN</t>
        </is>
      </c>
      <c r="E575" t="inlineStr">
        <is>
          <t>PAJALA</t>
        </is>
      </c>
      <c r="G575" t="n">
        <v>0.5</v>
      </c>
      <c r="H575" t="n">
        <v>0</v>
      </c>
      <c r="I575" t="n">
        <v>0</v>
      </c>
      <c r="J575" t="n">
        <v>0</v>
      </c>
      <c r="K575" t="n">
        <v>0</v>
      </c>
      <c r="L575" t="n">
        <v>0</v>
      </c>
      <c r="M575" t="n">
        <v>0</v>
      </c>
      <c r="N575" t="n">
        <v>0</v>
      </c>
      <c r="O575" t="n">
        <v>0</v>
      </c>
      <c r="P575" t="n">
        <v>0</v>
      </c>
      <c r="Q575" t="n">
        <v>0</v>
      </c>
      <c r="R575" s="2" t="inlineStr"/>
    </row>
    <row r="576" ht="15" customHeight="1">
      <c r="A576" t="inlineStr">
        <is>
          <t>A 7541-2026</t>
        </is>
      </c>
      <c r="B576" s="1" t="n">
        <v>46059.63711805556</v>
      </c>
      <c r="C576" s="1" t="n">
        <v>46133</v>
      </c>
      <c r="D576" t="inlineStr">
        <is>
          <t>NORRBOTTENS LÄN</t>
        </is>
      </c>
      <c r="E576" t="inlineStr">
        <is>
          <t>PAJALA</t>
        </is>
      </c>
      <c r="G576" t="n">
        <v>14.9</v>
      </c>
      <c r="H576" t="n">
        <v>0</v>
      </c>
      <c r="I576" t="n">
        <v>0</v>
      </c>
      <c r="J576" t="n">
        <v>0</v>
      </c>
      <c r="K576" t="n">
        <v>0</v>
      </c>
      <c r="L576" t="n">
        <v>0</v>
      </c>
      <c r="M576" t="n">
        <v>0</v>
      </c>
      <c r="N576" t="n">
        <v>0</v>
      </c>
      <c r="O576" t="n">
        <v>0</v>
      </c>
      <c r="P576" t="n">
        <v>0</v>
      </c>
      <c r="Q576" t="n">
        <v>0</v>
      </c>
      <c r="R576" s="2" t="inlineStr"/>
    </row>
    <row r="577" ht="15" customHeight="1">
      <c r="A577" t="inlineStr">
        <is>
          <t>A 7079-2026</t>
        </is>
      </c>
      <c r="B577" s="1" t="n">
        <v>46058</v>
      </c>
      <c r="C577" s="1" t="n">
        <v>46133</v>
      </c>
      <c r="D577" t="inlineStr">
        <is>
          <t>NORRBOTTENS LÄN</t>
        </is>
      </c>
      <c r="E577" t="inlineStr">
        <is>
          <t>PAJALA</t>
        </is>
      </c>
      <c r="G577" t="n">
        <v>1</v>
      </c>
      <c r="H577" t="n">
        <v>0</v>
      </c>
      <c r="I577" t="n">
        <v>0</v>
      </c>
      <c r="J577" t="n">
        <v>0</v>
      </c>
      <c r="K577" t="n">
        <v>0</v>
      </c>
      <c r="L577" t="n">
        <v>0</v>
      </c>
      <c r="M577" t="n">
        <v>0</v>
      </c>
      <c r="N577" t="n">
        <v>0</v>
      </c>
      <c r="O577" t="n">
        <v>0</v>
      </c>
      <c r="P577" t="n">
        <v>0</v>
      </c>
      <c r="Q577" t="n">
        <v>0</v>
      </c>
      <c r="R577" s="2" t="inlineStr"/>
    </row>
    <row r="578" ht="15" customHeight="1">
      <c r="A578" t="inlineStr">
        <is>
          <t>A 22039-2024</t>
        </is>
      </c>
      <c r="B578" s="1" t="n">
        <v>45443</v>
      </c>
      <c r="C578" s="1" t="n">
        <v>46133</v>
      </c>
      <c r="D578" t="inlineStr">
        <is>
          <t>NORRBOTTENS LÄN</t>
        </is>
      </c>
      <c r="E578" t="inlineStr">
        <is>
          <t>PAJALA</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8074-2026</t>
        </is>
      </c>
      <c r="B579" s="1" t="n">
        <v>46063.65594907408</v>
      </c>
      <c r="C579" s="1" t="n">
        <v>46133</v>
      </c>
      <c r="D579" t="inlineStr">
        <is>
          <t>NORRBOTTENS LÄN</t>
        </is>
      </c>
      <c r="E579" t="inlineStr">
        <is>
          <t>PAJALA</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34150-2023</t>
        </is>
      </c>
      <c r="B580" s="1" t="n">
        <v>45136.85806712963</v>
      </c>
      <c r="C580" s="1" t="n">
        <v>46133</v>
      </c>
      <c r="D580" t="inlineStr">
        <is>
          <t>NORRBOTTENS LÄN</t>
        </is>
      </c>
      <c r="E580" t="inlineStr">
        <is>
          <t>PAJALA</t>
        </is>
      </c>
      <c r="G580" t="n">
        <v>4.4</v>
      </c>
      <c r="H580" t="n">
        <v>0</v>
      </c>
      <c r="I580" t="n">
        <v>0</v>
      </c>
      <c r="J580" t="n">
        <v>0</v>
      </c>
      <c r="K580" t="n">
        <v>0</v>
      </c>
      <c r="L580" t="n">
        <v>0</v>
      </c>
      <c r="M580" t="n">
        <v>0</v>
      </c>
      <c r="N580" t="n">
        <v>0</v>
      </c>
      <c r="O580" t="n">
        <v>0</v>
      </c>
      <c r="P580" t="n">
        <v>0</v>
      </c>
      <c r="Q580" t="n">
        <v>0</v>
      </c>
      <c r="R580" s="2" t="inlineStr"/>
    </row>
    <row r="581" ht="15" customHeight="1">
      <c r="A581" t="inlineStr">
        <is>
          <t>A 2823-2024</t>
        </is>
      </c>
      <c r="B581" s="1" t="n">
        <v>45314</v>
      </c>
      <c r="C581" s="1" t="n">
        <v>46133</v>
      </c>
      <c r="D581" t="inlineStr">
        <is>
          <t>NORRBOTTENS LÄN</t>
        </is>
      </c>
      <c r="E581" t="inlineStr">
        <is>
          <t>PAJALA</t>
        </is>
      </c>
      <c r="G581" t="n">
        <v>7.3</v>
      </c>
      <c r="H581" t="n">
        <v>0</v>
      </c>
      <c r="I581" t="n">
        <v>0</v>
      </c>
      <c r="J581" t="n">
        <v>0</v>
      </c>
      <c r="K581" t="n">
        <v>0</v>
      </c>
      <c r="L581" t="n">
        <v>0</v>
      </c>
      <c r="M581" t="n">
        <v>0</v>
      </c>
      <c r="N581" t="n">
        <v>0</v>
      </c>
      <c r="O581" t="n">
        <v>0</v>
      </c>
      <c r="P581" t="n">
        <v>0</v>
      </c>
      <c r="Q581" t="n">
        <v>0</v>
      </c>
      <c r="R581" s="2" t="inlineStr"/>
    </row>
    <row r="582" ht="15" customHeight="1">
      <c r="A582" t="inlineStr">
        <is>
          <t>A 8392-2026</t>
        </is>
      </c>
      <c r="B582" s="1" t="n">
        <v>46064.98743055556</v>
      </c>
      <c r="C582" s="1" t="n">
        <v>46133</v>
      </c>
      <c r="D582" t="inlineStr">
        <is>
          <t>NORRBOTTENS LÄN</t>
        </is>
      </c>
      <c r="E582" t="inlineStr">
        <is>
          <t>PAJALA</t>
        </is>
      </c>
      <c r="G582" t="n">
        <v>1.8</v>
      </c>
      <c r="H582" t="n">
        <v>0</v>
      </c>
      <c r="I582" t="n">
        <v>0</v>
      </c>
      <c r="J582" t="n">
        <v>0</v>
      </c>
      <c r="K582" t="n">
        <v>0</v>
      </c>
      <c r="L582" t="n">
        <v>0</v>
      </c>
      <c r="M582" t="n">
        <v>0</v>
      </c>
      <c r="N582" t="n">
        <v>0</v>
      </c>
      <c r="O582" t="n">
        <v>0</v>
      </c>
      <c r="P582" t="n">
        <v>0</v>
      </c>
      <c r="Q582" t="n">
        <v>0</v>
      </c>
      <c r="R582" s="2" t="inlineStr"/>
    </row>
    <row r="583" ht="15" customHeight="1">
      <c r="A583" t="inlineStr">
        <is>
          <t>A 8391-2026</t>
        </is>
      </c>
      <c r="B583" s="1" t="n">
        <v>46064.97425925926</v>
      </c>
      <c r="C583" s="1" t="n">
        <v>46133</v>
      </c>
      <c r="D583" t="inlineStr">
        <is>
          <t>NORRBOTTENS LÄN</t>
        </is>
      </c>
      <c r="E583" t="inlineStr">
        <is>
          <t>PAJALA</t>
        </is>
      </c>
      <c r="G583" t="n">
        <v>1.5</v>
      </c>
      <c r="H583" t="n">
        <v>0</v>
      </c>
      <c r="I583" t="n">
        <v>0</v>
      </c>
      <c r="J583" t="n">
        <v>0</v>
      </c>
      <c r="K583" t="n">
        <v>0</v>
      </c>
      <c r="L583" t="n">
        <v>0</v>
      </c>
      <c r="M583" t="n">
        <v>0</v>
      </c>
      <c r="N583" t="n">
        <v>0</v>
      </c>
      <c r="O583" t="n">
        <v>0</v>
      </c>
      <c r="P583" t="n">
        <v>0</v>
      </c>
      <c r="Q583" t="n">
        <v>0</v>
      </c>
      <c r="R583" s="2" t="inlineStr"/>
    </row>
    <row r="584" ht="15" customHeight="1">
      <c r="A584" t="inlineStr">
        <is>
          <t>A 8722-2026</t>
        </is>
      </c>
      <c r="B584" s="1" t="n">
        <v>46065</v>
      </c>
      <c r="C584" s="1" t="n">
        <v>46133</v>
      </c>
      <c r="D584" t="inlineStr">
        <is>
          <t>NORRBOTTENS LÄN</t>
        </is>
      </c>
      <c r="E584" t="inlineStr">
        <is>
          <t>PAJALA</t>
        </is>
      </c>
      <c r="G584" t="n">
        <v>32.7</v>
      </c>
      <c r="H584" t="n">
        <v>0</v>
      </c>
      <c r="I584" t="n">
        <v>0</v>
      </c>
      <c r="J584" t="n">
        <v>0</v>
      </c>
      <c r="K584" t="n">
        <v>0</v>
      </c>
      <c r="L584" t="n">
        <v>0</v>
      </c>
      <c r="M584" t="n">
        <v>0</v>
      </c>
      <c r="N584" t="n">
        <v>0</v>
      </c>
      <c r="O584" t="n">
        <v>0</v>
      </c>
      <c r="P584" t="n">
        <v>0</v>
      </c>
      <c r="Q584" t="n">
        <v>0</v>
      </c>
      <c r="R584" s="2" t="inlineStr"/>
    </row>
    <row r="585" ht="15" customHeight="1">
      <c r="A585" t="inlineStr">
        <is>
          <t>A 8721-2026</t>
        </is>
      </c>
      <c r="B585" s="1" t="n">
        <v>46065</v>
      </c>
      <c r="C585" s="1" t="n">
        <v>46133</v>
      </c>
      <c r="D585" t="inlineStr">
        <is>
          <t>NORRBOTTENS LÄN</t>
        </is>
      </c>
      <c r="E585" t="inlineStr">
        <is>
          <t>PAJALA</t>
        </is>
      </c>
      <c r="G585" t="n">
        <v>39.2</v>
      </c>
      <c r="H585" t="n">
        <v>0</v>
      </c>
      <c r="I585" t="n">
        <v>0</v>
      </c>
      <c r="J585" t="n">
        <v>0</v>
      </c>
      <c r="K585" t="n">
        <v>0</v>
      </c>
      <c r="L585" t="n">
        <v>0</v>
      </c>
      <c r="M585" t="n">
        <v>0</v>
      </c>
      <c r="N585" t="n">
        <v>0</v>
      </c>
      <c r="O585" t="n">
        <v>0</v>
      </c>
      <c r="P585" t="n">
        <v>0</v>
      </c>
      <c r="Q585" t="n">
        <v>0</v>
      </c>
      <c r="R585" s="2" t="inlineStr"/>
    </row>
    <row r="586" ht="15" customHeight="1">
      <c r="A586" t="inlineStr">
        <is>
          <t>A 15593-2026</t>
        </is>
      </c>
      <c r="B586" s="1" t="n">
        <v>46106</v>
      </c>
      <c r="C586" s="1" t="n">
        <v>46133</v>
      </c>
      <c r="D586" t="inlineStr">
        <is>
          <t>NORRBOTTENS LÄN</t>
        </is>
      </c>
      <c r="E586" t="inlineStr">
        <is>
          <t>PAJALA</t>
        </is>
      </c>
      <c r="G586" t="n">
        <v>0.8</v>
      </c>
      <c r="H586" t="n">
        <v>0</v>
      </c>
      <c r="I586" t="n">
        <v>0</v>
      </c>
      <c r="J586" t="n">
        <v>0</v>
      </c>
      <c r="K586" t="n">
        <v>0</v>
      </c>
      <c r="L586" t="n">
        <v>0</v>
      </c>
      <c r="M586" t="n">
        <v>0</v>
      </c>
      <c r="N586" t="n">
        <v>0</v>
      </c>
      <c r="O586" t="n">
        <v>0</v>
      </c>
      <c r="P586" t="n">
        <v>0</v>
      </c>
      <c r="Q586" t="n">
        <v>0</v>
      </c>
      <c r="R586" s="2" t="inlineStr"/>
    </row>
    <row r="587" ht="15" customHeight="1">
      <c r="A587" t="inlineStr">
        <is>
          <t>A 48179-2024</t>
        </is>
      </c>
      <c r="B587" s="1" t="n">
        <v>45589.88046296296</v>
      </c>
      <c r="C587" s="1" t="n">
        <v>46133</v>
      </c>
      <c r="D587" t="inlineStr">
        <is>
          <t>NORRBOTTENS LÄN</t>
        </is>
      </c>
      <c r="E587" t="inlineStr">
        <is>
          <t>PAJALA</t>
        </is>
      </c>
      <c r="G587" t="n">
        <v>11.7</v>
      </c>
      <c r="H587" t="n">
        <v>0</v>
      </c>
      <c r="I587" t="n">
        <v>0</v>
      </c>
      <c r="J587" t="n">
        <v>0</v>
      </c>
      <c r="K587" t="n">
        <v>0</v>
      </c>
      <c r="L587" t="n">
        <v>0</v>
      </c>
      <c r="M587" t="n">
        <v>0</v>
      </c>
      <c r="N587" t="n">
        <v>0</v>
      </c>
      <c r="O587" t="n">
        <v>0</v>
      </c>
      <c r="P587" t="n">
        <v>0</v>
      </c>
      <c r="Q587" t="n">
        <v>0</v>
      </c>
      <c r="R587" s="2" t="inlineStr"/>
    </row>
    <row r="588" ht="15" customHeight="1">
      <c r="A588" t="inlineStr">
        <is>
          <t>A 16132-2026</t>
        </is>
      </c>
      <c r="B588" s="1" t="n">
        <v>46108.64739583333</v>
      </c>
      <c r="C588" s="1" t="n">
        <v>46133</v>
      </c>
      <c r="D588" t="inlineStr">
        <is>
          <t>NORRBOTTENS LÄN</t>
        </is>
      </c>
      <c r="E588" t="inlineStr">
        <is>
          <t>PAJALA</t>
        </is>
      </c>
      <c r="G588" t="n">
        <v>2</v>
      </c>
      <c r="H588" t="n">
        <v>0</v>
      </c>
      <c r="I588" t="n">
        <v>0</v>
      </c>
      <c r="J588" t="n">
        <v>0</v>
      </c>
      <c r="K588" t="n">
        <v>0</v>
      </c>
      <c r="L588" t="n">
        <v>0</v>
      </c>
      <c r="M588" t="n">
        <v>0</v>
      </c>
      <c r="N588" t="n">
        <v>0</v>
      </c>
      <c r="O588" t="n">
        <v>0</v>
      </c>
      <c r="P588" t="n">
        <v>0</v>
      </c>
      <c r="Q588" t="n">
        <v>0</v>
      </c>
      <c r="R588" s="2" t="inlineStr"/>
    </row>
    <row r="589" ht="15" customHeight="1">
      <c r="A589" t="inlineStr">
        <is>
          <t>A 48656-2024</t>
        </is>
      </c>
      <c r="B589" s="1" t="n">
        <v>45593.48490740741</v>
      </c>
      <c r="C589" s="1" t="n">
        <v>46133</v>
      </c>
      <c r="D589" t="inlineStr">
        <is>
          <t>NORRBOTTENS LÄN</t>
        </is>
      </c>
      <c r="E589" t="inlineStr">
        <is>
          <t>PAJALA</t>
        </is>
      </c>
      <c r="G589" t="n">
        <v>12.7</v>
      </c>
      <c r="H589" t="n">
        <v>0</v>
      </c>
      <c r="I589" t="n">
        <v>0</v>
      </c>
      <c r="J589" t="n">
        <v>0</v>
      </c>
      <c r="K589" t="n">
        <v>0</v>
      </c>
      <c r="L589" t="n">
        <v>0</v>
      </c>
      <c r="M589" t="n">
        <v>0</v>
      </c>
      <c r="N589" t="n">
        <v>0</v>
      </c>
      <c r="O589" t="n">
        <v>0</v>
      </c>
      <c r="P589" t="n">
        <v>0</v>
      </c>
      <c r="Q589" t="n">
        <v>0</v>
      </c>
      <c r="R589" s="2" t="inlineStr"/>
    </row>
    <row r="590" ht="15" customHeight="1">
      <c r="A590" t="inlineStr">
        <is>
          <t>A 16155-2026</t>
        </is>
      </c>
      <c r="B590" s="1" t="n">
        <v>46108.69208333334</v>
      </c>
      <c r="C590" s="1" t="n">
        <v>46133</v>
      </c>
      <c r="D590" t="inlineStr">
        <is>
          <t>NORRBOTTENS LÄN</t>
        </is>
      </c>
      <c r="E590" t="inlineStr">
        <is>
          <t>PAJALA</t>
        </is>
      </c>
      <c r="G590" t="n">
        <v>3.9</v>
      </c>
      <c r="H590" t="n">
        <v>0</v>
      </c>
      <c r="I590" t="n">
        <v>0</v>
      </c>
      <c r="J590" t="n">
        <v>0</v>
      </c>
      <c r="K590" t="n">
        <v>0</v>
      </c>
      <c r="L590" t="n">
        <v>0</v>
      </c>
      <c r="M590" t="n">
        <v>0</v>
      </c>
      <c r="N590" t="n">
        <v>0</v>
      </c>
      <c r="O590" t="n">
        <v>0</v>
      </c>
      <c r="P590" t="n">
        <v>0</v>
      </c>
      <c r="Q590" t="n">
        <v>0</v>
      </c>
      <c r="R590" s="2" t="inlineStr"/>
    </row>
    <row r="591" ht="15" customHeight="1">
      <c r="A591" t="inlineStr">
        <is>
          <t>A 16048-2026</t>
        </is>
      </c>
      <c r="B591" s="1" t="n">
        <v>46108.47778935185</v>
      </c>
      <c r="C591" s="1" t="n">
        <v>46133</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16053-2026</t>
        </is>
      </c>
      <c r="B592" s="1" t="n">
        <v>46108.48739583333</v>
      </c>
      <c r="C592" s="1" t="n">
        <v>46133</v>
      </c>
      <c r="D592" t="inlineStr">
        <is>
          <t>NORRBOTTENS LÄN</t>
        </is>
      </c>
      <c r="E592" t="inlineStr">
        <is>
          <t>PAJALA</t>
        </is>
      </c>
      <c r="G592" t="n">
        <v>2.2</v>
      </c>
      <c r="H592" t="n">
        <v>0</v>
      </c>
      <c r="I592" t="n">
        <v>0</v>
      </c>
      <c r="J592" t="n">
        <v>0</v>
      </c>
      <c r="K592" t="n">
        <v>0</v>
      </c>
      <c r="L592" t="n">
        <v>0</v>
      </c>
      <c r="M592" t="n">
        <v>0</v>
      </c>
      <c r="N592" t="n">
        <v>0</v>
      </c>
      <c r="O592" t="n">
        <v>0</v>
      </c>
      <c r="P592" t="n">
        <v>0</v>
      </c>
      <c r="Q592" t="n">
        <v>0</v>
      </c>
      <c r="R592" s="2" t="inlineStr"/>
    </row>
    <row r="593" ht="15" customHeight="1">
      <c r="A593" t="inlineStr">
        <is>
          <t>A 15573-2024</t>
        </is>
      </c>
      <c r="B593" s="1" t="n">
        <v>45401</v>
      </c>
      <c r="C593" s="1" t="n">
        <v>46133</v>
      </c>
      <c r="D593" t="inlineStr">
        <is>
          <t>NORRBOTTENS LÄN</t>
        </is>
      </c>
      <c r="E593" t="inlineStr">
        <is>
          <t>PAJALA</t>
        </is>
      </c>
      <c r="F593" t="inlineStr">
        <is>
          <t>Allmännings- och besparingsskogar</t>
        </is>
      </c>
      <c r="G593" t="n">
        <v>8.5</v>
      </c>
      <c r="H593" t="n">
        <v>0</v>
      </c>
      <c r="I593" t="n">
        <v>0</v>
      </c>
      <c r="J593" t="n">
        <v>0</v>
      </c>
      <c r="K593" t="n">
        <v>0</v>
      </c>
      <c r="L593" t="n">
        <v>0</v>
      </c>
      <c r="M593" t="n">
        <v>0</v>
      </c>
      <c r="N593" t="n">
        <v>0</v>
      </c>
      <c r="O593" t="n">
        <v>0</v>
      </c>
      <c r="P593" t="n">
        <v>0</v>
      </c>
      <c r="Q593" t="n">
        <v>0</v>
      </c>
      <c r="R593" s="2" t="inlineStr"/>
    </row>
    <row r="594" ht="15" customHeight="1">
      <c r="A594" t="inlineStr">
        <is>
          <t>A 16769-2023</t>
        </is>
      </c>
      <c r="B594" s="1" t="n">
        <v>45031.25363425926</v>
      </c>
      <c r="C594" s="1" t="n">
        <v>46133</v>
      </c>
      <c r="D594" t="inlineStr">
        <is>
          <t>NORRBOTTENS LÄN</t>
        </is>
      </c>
      <c r="E594" t="inlineStr">
        <is>
          <t>PAJALA</t>
        </is>
      </c>
      <c r="G594" t="n">
        <v>35.6</v>
      </c>
      <c r="H594" t="n">
        <v>0</v>
      </c>
      <c r="I594" t="n">
        <v>0</v>
      </c>
      <c r="J594" t="n">
        <v>0</v>
      </c>
      <c r="K594" t="n">
        <v>0</v>
      </c>
      <c r="L594" t="n">
        <v>0</v>
      </c>
      <c r="M594" t="n">
        <v>0</v>
      </c>
      <c r="N594" t="n">
        <v>0</v>
      </c>
      <c r="O594" t="n">
        <v>0</v>
      </c>
      <c r="P594" t="n">
        <v>0</v>
      </c>
      <c r="Q594" t="n">
        <v>0</v>
      </c>
      <c r="R594" s="2" t="inlineStr"/>
    </row>
    <row r="595" ht="15" customHeight="1">
      <c r="A595" t="inlineStr">
        <is>
          <t>A 39908-2021</t>
        </is>
      </c>
      <c r="B595" s="1" t="n">
        <v>44417</v>
      </c>
      <c r="C595" s="1" t="n">
        <v>46133</v>
      </c>
      <c r="D595" t="inlineStr">
        <is>
          <t>NORRBOTTENS LÄN</t>
        </is>
      </c>
      <c r="E595" t="inlineStr">
        <is>
          <t>PAJALA</t>
        </is>
      </c>
      <c r="G595" t="n">
        <v>5.5</v>
      </c>
      <c r="H595" t="n">
        <v>0</v>
      </c>
      <c r="I595" t="n">
        <v>0</v>
      </c>
      <c r="J595" t="n">
        <v>0</v>
      </c>
      <c r="K595" t="n">
        <v>0</v>
      </c>
      <c r="L595" t="n">
        <v>0</v>
      </c>
      <c r="M595" t="n">
        <v>0</v>
      </c>
      <c r="N595" t="n">
        <v>0</v>
      </c>
      <c r="O595" t="n">
        <v>0</v>
      </c>
      <c r="P595" t="n">
        <v>0</v>
      </c>
      <c r="Q595" t="n">
        <v>0</v>
      </c>
      <c r="R595" s="2" t="inlineStr"/>
    </row>
    <row r="596" ht="15" customHeight="1">
      <c r="A596" t="inlineStr">
        <is>
          <t>A 62580-2023</t>
        </is>
      </c>
      <c r="B596" s="1" t="n">
        <v>45270.6325462963</v>
      </c>
      <c r="C596" s="1" t="n">
        <v>46133</v>
      </c>
      <c r="D596" t="inlineStr">
        <is>
          <t>NORRBOTTENS LÄN</t>
        </is>
      </c>
      <c r="E596" t="inlineStr">
        <is>
          <t>PAJALA</t>
        </is>
      </c>
      <c r="G596" t="n">
        <v>2.2</v>
      </c>
      <c r="H596" t="n">
        <v>0</v>
      </c>
      <c r="I596" t="n">
        <v>0</v>
      </c>
      <c r="J596" t="n">
        <v>0</v>
      </c>
      <c r="K596" t="n">
        <v>0</v>
      </c>
      <c r="L596" t="n">
        <v>0</v>
      </c>
      <c r="M596" t="n">
        <v>0</v>
      </c>
      <c r="N596" t="n">
        <v>0</v>
      </c>
      <c r="O596" t="n">
        <v>0</v>
      </c>
      <c r="P596" t="n">
        <v>0</v>
      </c>
      <c r="Q596" t="n">
        <v>0</v>
      </c>
      <c r="R596" s="2" t="inlineStr"/>
    </row>
    <row r="597" ht="15" customHeight="1">
      <c r="A597" t="inlineStr">
        <is>
          <t>A 58055-2024</t>
        </is>
      </c>
      <c r="B597" s="1" t="n">
        <v>45631.86152777778</v>
      </c>
      <c r="C597" s="1" t="n">
        <v>46133</v>
      </c>
      <c r="D597" t="inlineStr">
        <is>
          <t>NORRBOTTENS LÄN</t>
        </is>
      </c>
      <c r="E597" t="inlineStr">
        <is>
          <t>PAJALA</t>
        </is>
      </c>
      <c r="G597" t="n">
        <v>20.3</v>
      </c>
      <c r="H597" t="n">
        <v>0</v>
      </c>
      <c r="I597" t="n">
        <v>0</v>
      </c>
      <c r="J597" t="n">
        <v>0</v>
      </c>
      <c r="K597" t="n">
        <v>0</v>
      </c>
      <c r="L597" t="n">
        <v>0</v>
      </c>
      <c r="M597" t="n">
        <v>0</v>
      </c>
      <c r="N597" t="n">
        <v>0</v>
      </c>
      <c r="O597" t="n">
        <v>0</v>
      </c>
      <c r="P597" t="n">
        <v>0</v>
      </c>
      <c r="Q597" t="n">
        <v>0</v>
      </c>
      <c r="R597" s="2" t="inlineStr"/>
    </row>
    <row r="598" ht="15" customHeight="1">
      <c r="A598" t="inlineStr">
        <is>
          <t>A 9856-2026</t>
        </is>
      </c>
      <c r="B598" s="1" t="n">
        <v>46072.84586805556</v>
      </c>
      <c r="C598" s="1" t="n">
        <v>46133</v>
      </c>
      <c r="D598" t="inlineStr">
        <is>
          <t>NORRBOTTENS LÄN</t>
        </is>
      </c>
      <c r="E598" t="inlineStr">
        <is>
          <t>PAJALA</t>
        </is>
      </c>
      <c r="G598" t="n">
        <v>4.1</v>
      </c>
      <c r="H598" t="n">
        <v>0</v>
      </c>
      <c r="I598" t="n">
        <v>0</v>
      </c>
      <c r="J598" t="n">
        <v>0</v>
      </c>
      <c r="K598" t="n">
        <v>0</v>
      </c>
      <c r="L598" t="n">
        <v>0</v>
      </c>
      <c r="M598" t="n">
        <v>0</v>
      </c>
      <c r="N598" t="n">
        <v>0</v>
      </c>
      <c r="O598" t="n">
        <v>0</v>
      </c>
      <c r="P598" t="n">
        <v>0</v>
      </c>
      <c r="Q598" t="n">
        <v>0</v>
      </c>
      <c r="R598" s="2" t="inlineStr"/>
    </row>
    <row r="599" ht="15" customHeight="1">
      <c r="A599" t="inlineStr">
        <is>
          <t>A 44110-2024</t>
        </is>
      </c>
      <c r="B599" s="1" t="n">
        <v>45572.63494212963</v>
      </c>
      <c r="C599" s="1" t="n">
        <v>46133</v>
      </c>
      <c r="D599" t="inlineStr">
        <is>
          <t>NORRBOTTENS LÄN</t>
        </is>
      </c>
      <c r="E599" t="inlineStr">
        <is>
          <t>PAJALA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26434-2024</t>
        </is>
      </c>
      <c r="B600" s="1" t="n">
        <v>45468</v>
      </c>
      <c r="C600" s="1" t="n">
        <v>46133</v>
      </c>
      <c r="D600" t="inlineStr">
        <is>
          <t>NORRBOTTENS LÄN</t>
        </is>
      </c>
      <c r="E600" t="inlineStr">
        <is>
          <t>PAJALA</t>
        </is>
      </c>
      <c r="G600" t="n">
        <v>24.4</v>
      </c>
      <c r="H600" t="n">
        <v>0</v>
      </c>
      <c r="I600" t="n">
        <v>0</v>
      </c>
      <c r="J600" t="n">
        <v>0</v>
      </c>
      <c r="K600" t="n">
        <v>0</v>
      </c>
      <c r="L600" t="n">
        <v>0</v>
      </c>
      <c r="M600" t="n">
        <v>0</v>
      </c>
      <c r="N600" t="n">
        <v>0</v>
      </c>
      <c r="O600" t="n">
        <v>0</v>
      </c>
      <c r="P600" t="n">
        <v>0</v>
      </c>
      <c r="Q600" t="n">
        <v>0</v>
      </c>
      <c r="R600" s="2" t="inlineStr"/>
    </row>
    <row r="601" ht="15" customHeight="1">
      <c r="A601" t="inlineStr">
        <is>
          <t>A 10696-2026</t>
        </is>
      </c>
      <c r="B601" s="1" t="n">
        <v>46078.43935185186</v>
      </c>
      <c r="C601" s="1" t="n">
        <v>46133</v>
      </c>
      <c r="D601" t="inlineStr">
        <is>
          <t>NORRBOTTENS LÄN</t>
        </is>
      </c>
      <c r="E601" t="inlineStr">
        <is>
          <t>PAJALA</t>
        </is>
      </c>
      <c r="G601" t="n">
        <v>41.6</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46133</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43751-2022</t>
        </is>
      </c>
      <c r="B603" s="1" t="n">
        <v>44837</v>
      </c>
      <c r="C603" s="1" t="n">
        <v>46133</v>
      </c>
      <c r="D603" t="inlineStr">
        <is>
          <t>NORRBOTTENS LÄN</t>
        </is>
      </c>
      <c r="E603" t="inlineStr">
        <is>
          <t>PAJALA</t>
        </is>
      </c>
      <c r="G603" t="n">
        <v>1.8</v>
      </c>
      <c r="H603" t="n">
        <v>0</v>
      </c>
      <c r="I603" t="n">
        <v>0</v>
      </c>
      <c r="J603" t="n">
        <v>0</v>
      </c>
      <c r="K603" t="n">
        <v>0</v>
      </c>
      <c r="L603" t="n">
        <v>0</v>
      </c>
      <c r="M603" t="n">
        <v>0</v>
      </c>
      <c r="N603" t="n">
        <v>0</v>
      </c>
      <c r="O603" t="n">
        <v>0</v>
      </c>
      <c r="P603" t="n">
        <v>0</v>
      </c>
      <c r="Q603" t="n">
        <v>0</v>
      </c>
      <c r="R603" s="2" t="inlineStr"/>
    </row>
    <row r="604" ht="15" customHeight="1">
      <c r="A604" t="inlineStr">
        <is>
          <t>A 10622-2026</t>
        </is>
      </c>
      <c r="B604" s="1" t="n">
        <v>46078.28008101852</v>
      </c>
      <c r="C604" s="1" t="n">
        <v>46133</v>
      </c>
      <c r="D604" t="inlineStr">
        <is>
          <t>NORRBOTTENS LÄN</t>
        </is>
      </c>
      <c r="E604" t="inlineStr">
        <is>
          <t>PAJALA</t>
        </is>
      </c>
      <c r="G604" t="n">
        <v>3.9</v>
      </c>
      <c r="H604" t="n">
        <v>0</v>
      </c>
      <c r="I604" t="n">
        <v>0</v>
      </c>
      <c r="J604" t="n">
        <v>0</v>
      </c>
      <c r="K604" t="n">
        <v>0</v>
      </c>
      <c r="L604" t="n">
        <v>0</v>
      </c>
      <c r="M604" t="n">
        <v>0</v>
      </c>
      <c r="N604" t="n">
        <v>0</v>
      </c>
      <c r="O604" t="n">
        <v>0</v>
      </c>
      <c r="P604" t="n">
        <v>0</v>
      </c>
      <c r="Q604" t="n">
        <v>0</v>
      </c>
      <c r="R604" s="2" t="inlineStr"/>
    </row>
    <row r="605" ht="15" customHeight="1">
      <c r="A605" t="inlineStr">
        <is>
          <t>A 73716-2021</t>
        </is>
      </c>
      <c r="B605" s="1" t="n">
        <v>44552</v>
      </c>
      <c r="C605" s="1" t="n">
        <v>46133</v>
      </c>
      <c r="D605" t="inlineStr">
        <is>
          <t>NORRBOTTENS LÄN</t>
        </is>
      </c>
      <c r="E605" t="inlineStr">
        <is>
          <t>PAJALA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60862-2022</t>
        </is>
      </c>
      <c r="B606" s="1" t="n">
        <v>44908</v>
      </c>
      <c r="C606" s="1" t="n">
        <v>46133</v>
      </c>
      <c r="D606" t="inlineStr">
        <is>
          <t>NORRBOTTENS LÄN</t>
        </is>
      </c>
      <c r="E606" t="inlineStr">
        <is>
          <t>PAJALA</t>
        </is>
      </c>
      <c r="G606" t="n">
        <v>3.9</v>
      </c>
      <c r="H606" t="n">
        <v>0</v>
      </c>
      <c r="I606" t="n">
        <v>0</v>
      </c>
      <c r="J606" t="n">
        <v>0</v>
      </c>
      <c r="K606" t="n">
        <v>0</v>
      </c>
      <c r="L606" t="n">
        <v>0</v>
      </c>
      <c r="M606" t="n">
        <v>0</v>
      </c>
      <c r="N606" t="n">
        <v>0</v>
      </c>
      <c r="O606" t="n">
        <v>0</v>
      </c>
      <c r="P606" t="n">
        <v>0</v>
      </c>
      <c r="Q606" t="n">
        <v>0</v>
      </c>
      <c r="R606" s="2" t="inlineStr"/>
    </row>
    <row r="607" ht="15" customHeight="1">
      <c r="A607" t="inlineStr">
        <is>
          <t>A 17105-2025</t>
        </is>
      </c>
      <c r="B607" s="1" t="n">
        <v>45755</v>
      </c>
      <c r="C607" s="1" t="n">
        <v>46133</v>
      </c>
      <c r="D607" t="inlineStr">
        <is>
          <t>NORRBOTTENS LÄN</t>
        </is>
      </c>
      <c r="E607" t="inlineStr">
        <is>
          <t>PAJALA</t>
        </is>
      </c>
      <c r="G607" t="n">
        <v>2.3</v>
      </c>
      <c r="H607" t="n">
        <v>0</v>
      </c>
      <c r="I607" t="n">
        <v>0</v>
      </c>
      <c r="J607" t="n">
        <v>0</v>
      </c>
      <c r="K607" t="n">
        <v>0</v>
      </c>
      <c r="L607" t="n">
        <v>0</v>
      </c>
      <c r="M607" t="n">
        <v>0</v>
      </c>
      <c r="N607" t="n">
        <v>0</v>
      </c>
      <c r="O607" t="n">
        <v>0</v>
      </c>
      <c r="P607" t="n">
        <v>0</v>
      </c>
      <c r="Q607" t="n">
        <v>0</v>
      </c>
      <c r="R607" s="2" t="inlineStr"/>
    </row>
    <row r="608" ht="15" customHeight="1">
      <c r="A608" t="inlineStr">
        <is>
          <t>A 21250-2024</t>
        </is>
      </c>
      <c r="B608" s="1" t="n">
        <v>45440</v>
      </c>
      <c r="C608" s="1" t="n">
        <v>46133</v>
      </c>
      <c r="D608" t="inlineStr">
        <is>
          <t>NORRBOTTENS LÄN</t>
        </is>
      </c>
      <c r="E608" t="inlineStr">
        <is>
          <t>PAJALA</t>
        </is>
      </c>
      <c r="G608" t="n">
        <v>0.4</v>
      </c>
      <c r="H608" t="n">
        <v>0</v>
      </c>
      <c r="I608" t="n">
        <v>0</v>
      </c>
      <c r="J608" t="n">
        <v>0</v>
      </c>
      <c r="K608" t="n">
        <v>0</v>
      </c>
      <c r="L608" t="n">
        <v>0</v>
      </c>
      <c r="M608" t="n">
        <v>0</v>
      </c>
      <c r="N608" t="n">
        <v>0</v>
      </c>
      <c r="O608" t="n">
        <v>0</v>
      </c>
      <c r="P608" t="n">
        <v>0</v>
      </c>
      <c r="Q608" t="n">
        <v>0</v>
      </c>
      <c r="R608" s="2" t="inlineStr"/>
    </row>
    <row r="609" ht="15" customHeight="1">
      <c r="A609" t="inlineStr">
        <is>
          <t>A 13480-2025</t>
        </is>
      </c>
      <c r="B609" s="1" t="n">
        <v>45736</v>
      </c>
      <c r="C609" s="1" t="n">
        <v>46133</v>
      </c>
      <c r="D609" t="inlineStr">
        <is>
          <t>NORRBOTTENS LÄN</t>
        </is>
      </c>
      <c r="E609" t="inlineStr">
        <is>
          <t>PAJALA</t>
        </is>
      </c>
      <c r="G609" t="n">
        <v>11.4</v>
      </c>
      <c r="H609" t="n">
        <v>0</v>
      </c>
      <c r="I609" t="n">
        <v>0</v>
      </c>
      <c r="J609" t="n">
        <v>0</v>
      </c>
      <c r="K609" t="n">
        <v>0</v>
      </c>
      <c r="L609" t="n">
        <v>0</v>
      </c>
      <c r="M609" t="n">
        <v>0</v>
      </c>
      <c r="N609" t="n">
        <v>0</v>
      </c>
      <c r="O609" t="n">
        <v>0</v>
      </c>
      <c r="P609" t="n">
        <v>0</v>
      </c>
      <c r="Q609" t="n">
        <v>0</v>
      </c>
      <c r="R609" s="2" t="inlineStr"/>
    </row>
    <row r="610" ht="15" customHeight="1">
      <c r="A610" t="inlineStr">
        <is>
          <t>A 10400-2026</t>
        </is>
      </c>
      <c r="B610" s="1" t="n">
        <v>46077.33635416667</v>
      </c>
      <c r="C610" s="1" t="n">
        <v>46133</v>
      </c>
      <c r="D610" t="inlineStr">
        <is>
          <t>NORRBOTTENS LÄN</t>
        </is>
      </c>
      <c r="E610" t="inlineStr">
        <is>
          <t>PAJALA</t>
        </is>
      </c>
      <c r="G610" t="n">
        <v>4.3</v>
      </c>
      <c r="H610" t="n">
        <v>0</v>
      </c>
      <c r="I610" t="n">
        <v>0</v>
      </c>
      <c r="J610" t="n">
        <v>0</v>
      </c>
      <c r="K610" t="n">
        <v>0</v>
      </c>
      <c r="L610" t="n">
        <v>0</v>
      </c>
      <c r="M610" t="n">
        <v>0</v>
      </c>
      <c r="N610" t="n">
        <v>0</v>
      </c>
      <c r="O610" t="n">
        <v>0</v>
      </c>
      <c r="P610" t="n">
        <v>0</v>
      </c>
      <c r="Q610" t="n">
        <v>0</v>
      </c>
      <c r="R610" s="2" t="inlineStr"/>
    </row>
    <row r="611" ht="15" customHeight="1">
      <c r="A611" t="inlineStr">
        <is>
          <t>A 10405-2026</t>
        </is>
      </c>
      <c r="B611" s="1" t="n">
        <v>46077.343125</v>
      </c>
      <c r="C611" s="1" t="n">
        <v>46133</v>
      </c>
      <c r="D611" t="inlineStr">
        <is>
          <t>NORRBOTTENS LÄN</t>
        </is>
      </c>
      <c r="E611" t="inlineStr">
        <is>
          <t>PAJALA</t>
        </is>
      </c>
      <c r="G611" t="n">
        <v>3.7</v>
      </c>
      <c r="H611" t="n">
        <v>0</v>
      </c>
      <c r="I611" t="n">
        <v>0</v>
      </c>
      <c r="J611" t="n">
        <v>0</v>
      </c>
      <c r="K611" t="n">
        <v>0</v>
      </c>
      <c r="L611" t="n">
        <v>0</v>
      </c>
      <c r="M611" t="n">
        <v>0</v>
      </c>
      <c r="N611" t="n">
        <v>0</v>
      </c>
      <c r="O611" t="n">
        <v>0</v>
      </c>
      <c r="P611" t="n">
        <v>0</v>
      </c>
      <c r="Q611" t="n">
        <v>0</v>
      </c>
      <c r="R611" s="2" t="inlineStr"/>
    </row>
    <row r="612" ht="15" customHeight="1">
      <c r="A612" t="inlineStr">
        <is>
          <t>A 29729-2022</t>
        </is>
      </c>
      <c r="B612" s="1" t="n">
        <v>44755</v>
      </c>
      <c r="C612" s="1" t="n">
        <v>46133</v>
      </c>
      <c r="D612" t="inlineStr">
        <is>
          <t>NORRBOTTENS LÄN</t>
        </is>
      </c>
      <c r="E612" t="inlineStr">
        <is>
          <t>PAJALA</t>
        </is>
      </c>
      <c r="G612" t="n">
        <v>5.1</v>
      </c>
      <c r="H612" t="n">
        <v>0</v>
      </c>
      <c r="I612" t="n">
        <v>0</v>
      </c>
      <c r="J612" t="n">
        <v>0</v>
      </c>
      <c r="K612" t="n">
        <v>0</v>
      </c>
      <c r="L612" t="n">
        <v>0</v>
      </c>
      <c r="M612" t="n">
        <v>0</v>
      </c>
      <c r="N612" t="n">
        <v>0</v>
      </c>
      <c r="O612" t="n">
        <v>0</v>
      </c>
      <c r="P612" t="n">
        <v>0</v>
      </c>
      <c r="Q612" t="n">
        <v>0</v>
      </c>
      <c r="R612" s="2" t="inlineStr"/>
    </row>
    <row r="613" ht="15" customHeight="1">
      <c r="A613" t="inlineStr">
        <is>
          <t>A 57331-2022</t>
        </is>
      </c>
      <c r="B613" s="1" t="n">
        <v>44889</v>
      </c>
      <c r="C613" s="1" t="n">
        <v>46133</v>
      </c>
      <c r="D613" t="inlineStr">
        <is>
          <t>NORRBOTTENS LÄN</t>
        </is>
      </c>
      <c r="E613" t="inlineStr">
        <is>
          <t>PAJALA</t>
        </is>
      </c>
      <c r="G613" t="n">
        <v>11.7</v>
      </c>
      <c r="H613" t="n">
        <v>0</v>
      </c>
      <c r="I613" t="n">
        <v>0</v>
      </c>
      <c r="J613" t="n">
        <v>0</v>
      </c>
      <c r="K613" t="n">
        <v>0</v>
      </c>
      <c r="L613" t="n">
        <v>0</v>
      </c>
      <c r="M613" t="n">
        <v>0</v>
      </c>
      <c r="N613" t="n">
        <v>0</v>
      </c>
      <c r="O613" t="n">
        <v>0</v>
      </c>
      <c r="P613" t="n">
        <v>0</v>
      </c>
      <c r="Q613" t="n">
        <v>0</v>
      </c>
      <c r="R613" s="2" t="inlineStr"/>
    </row>
    <row r="614" ht="15" customHeight="1">
      <c r="A614" t="inlineStr">
        <is>
          <t>A 10670-2026</t>
        </is>
      </c>
      <c r="B614" s="1" t="n">
        <v>46078.3933912037</v>
      </c>
      <c r="C614" s="1" t="n">
        <v>46133</v>
      </c>
      <c r="D614" t="inlineStr">
        <is>
          <t>NORRBOTTENS LÄN</t>
        </is>
      </c>
      <c r="E614" t="inlineStr">
        <is>
          <t>PAJALA</t>
        </is>
      </c>
      <c r="G614" t="n">
        <v>6.2</v>
      </c>
      <c r="H614" t="n">
        <v>0</v>
      </c>
      <c r="I614" t="n">
        <v>0</v>
      </c>
      <c r="J614" t="n">
        <v>0</v>
      </c>
      <c r="K614" t="n">
        <v>0</v>
      </c>
      <c r="L614" t="n">
        <v>0</v>
      </c>
      <c r="M614" t="n">
        <v>0</v>
      </c>
      <c r="N614" t="n">
        <v>0</v>
      </c>
      <c r="O614" t="n">
        <v>0</v>
      </c>
      <c r="P614" t="n">
        <v>0</v>
      </c>
      <c r="Q614" t="n">
        <v>0</v>
      </c>
      <c r="R614" s="2" t="inlineStr"/>
    </row>
    <row r="615" ht="15" customHeight="1">
      <c r="A615" t="inlineStr">
        <is>
          <t>A 49830-2024</t>
        </is>
      </c>
      <c r="B615" s="1" t="n">
        <v>45597.42755787037</v>
      </c>
      <c r="C615" s="1" t="n">
        <v>46133</v>
      </c>
      <c r="D615" t="inlineStr">
        <is>
          <t>NORRBOTTENS LÄN</t>
        </is>
      </c>
      <c r="E615" t="inlineStr">
        <is>
          <t>PAJALA</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16145-2026</t>
        </is>
      </c>
      <c r="B616" s="1" t="n">
        <v>46108</v>
      </c>
      <c r="C616" s="1" t="n">
        <v>46133</v>
      </c>
      <c r="D616" t="inlineStr">
        <is>
          <t>NORRBOTTENS LÄN</t>
        </is>
      </c>
      <c r="E616" t="inlineStr">
        <is>
          <t>PAJALA</t>
        </is>
      </c>
      <c r="G616" t="n">
        <v>6.4</v>
      </c>
      <c r="H616" t="n">
        <v>0</v>
      </c>
      <c r="I616" t="n">
        <v>0</v>
      </c>
      <c r="J616" t="n">
        <v>0</v>
      </c>
      <c r="K616" t="n">
        <v>0</v>
      </c>
      <c r="L616" t="n">
        <v>0</v>
      </c>
      <c r="M616" t="n">
        <v>0</v>
      </c>
      <c r="N616" t="n">
        <v>0</v>
      </c>
      <c r="O616" t="n">
        <v>0</v>
      </c>
      <c r="P616" t="n">
        <v>0</v>
      </c>
      <c r="Q616" t="n">
        <v>0</v>
      </c>
      <c r="R616" s="2" t="inlineStr"/>
    </row>
    <row r="617" ht="15" customHeight="1">
      <c r="A617" t="inlineStr">
        <is>
          <t>A 21139-2023</t>
        </is>
      </c>
      <c r="B617" s="1" t="n">
        <v>45062.36662037037</v>
      </c>
      <c r="C617" s="1" t="n">
        <v>46133</v>
      </c>
      <c r="D617" t="inlineStr">
        <is>
          <t>NORRBOTTENS LÄN</t>
        </is>
      </c>
      <c r="E617" t="inlineStr">
        <is>
          <t>PAJALA</t>
        </is>
      </c>
      <c r="G617" t="n">
        <v>8.5</v>
      </c>
      <c r="H617" t="n">
        <v>0</v>
      </c>
      <c r="I617" t="n">
        <v>0</v>
      </c>
      <c r="J617" t="n">
        <v>0</v>
      </c>
      <c r="K617" t="n">
        <v>0</v>
      </c>
      <c r="L617" t="n">
        <v>0</v>
      </c>
      <c r="M617" t="n">
        <v>0</v>
      </c>
      <c r="N617" t="n">
        <v>0</v>
      </c>
      <c r="O617" t="n">
        <v>0</v>
      </c>
      <c r="P617" t="n">
        <v>0</v>
      </c>
      <c r="Q617" t="n">
        <v>0</v>
      </c>
      <c r="R617" s="2" t="inlineStr"/>
    </row>
    <row r="618" ht="15" customHeight="1">
      <c r="A618" t="inlineStr">
        <is>
          <t>A 16879-2026</t>
        </is>
      </c>
      <c r="B618" s="1" t="n">
        <v>46113</v>
      </c>
      <c r="C618" s="1" t="n">
        <v>46133</v>
      </c>
      <c r="D618" t="inlineStr">
        <is>
          <t>NORRBOTTENS LÄN</t>
        </is>
      </c>
      <c r="E618" t="inlineStr">
        <is>
          <t>PAJALA</t>
        </is>
      </c>
      <c r="G618" t="n">
        <v>1.9</v>
      </c>
      <c r="H618" t="n">
        <v>0</v>
      </c>
      <c r="I618" t="n">
        <v>0</v>
      </c>
      <c r="J618" t="n">
        <v>0</v>
      </c>
      <c r="K618" t="n">
        <v>0</v>
      </c>
      <c r="L618" t="n">
        <v>0</v>
      </c>
      <c r="M618" t="n">
        <v>0</v>
      </c>
      <c r="N618" t="n">
        <v>0</v>
      </c>
      <c r="O618" t="n">
        <v>0</v>
      </c>
      <c r="P618" t="n">
        <v>0</v>
      </c>
      <c r="Q618" t="n">
        <v>0</v>
      </c>
      <c r="R618" s="2" t="inlineStr"/>
    </row>
    <row r="619" ht="15" customHeight="1">
      <c r="A619" t="inlineStr">
        <is>
          <t>A 53052-2024</t>
        </is>
      </c>
      <c r="B619" s="1" t="n">
        <v>45611.45568287037</v>
      </c>
      <c r="C619" s="1" t="n">
        <v>46133</v>
      </c>
      <c r="D619" t="inlineStr">
        <is>
          <t>NORRBOTTENS LÄN</t>
        </is>
      </c>
      <c r="E619" t="inlineStr">
        <is>
          <t>PAJALA</t>
        </is>
      </c>
      <c r="G619" t="n">
        <v>9.5</v>
      </c>
      <c r="H619" t="n">
        <v>0</v>
      </c>
      <c r="I619" t="n">
        <v>0</v>
      </c>
      <c r="J619" t="n">
        <v>0</v>
      </c>
      <c r="K619" t="n">
        <v>0</v>
      </c>
      <c r="L619" t="n">
        <v>0</v>
      </c>
      <c r="M619" t="n">
        <v>0</v>
      </c>
      <c r="N619" t="n">
        <v>0</v>
      </c>
      <c r="O619" t="n">
        <v>0</v>
      </c>
      <c r="P619" t="n">
        <v>0</v>
      </c>
      <c r="Q619" t="n">
        <v>0</v>
      </c>
      <c r="R619" s="2" t="inlineStr"/>
    </row>
    <row r="620" ht="15" customHeight="1">
      <c r="A620" t="inlineStr">
        <is>
          <t>A 23278-2024</t>
        </is>
      </c>
      <c r="B620" s="1" t="n">
        <v>45449</v>
      </c>
      <c r="C620" s="1" t="n">
        <v>46133</v>
      </c>
      <c r="D620" t="inlineStr">
        <is>
          <t>NORRBOTTENS LÄN</t>
        </is>
      </c>
      <c r="E620" t="inlineStr">
        <is>
          <t>PAJALA</t>
        </is>
      </c>
      <c r="G620" t="n">
        <v>13.6</v>
      </c>
      <c r="H620" t="n">
        <v>0</v>
      </c>
      <c r="I620" t="n">
        <v>0</v>
      </c>
      <c r="J620" t="n">
        <v>0</v>
      </c>
      <c r="K620" t="n">
        <v>0</v>
      </c>
      <c r="L620" t="n">
        <v>0</v>
      </c>
      <c r="M620" t="n">
        <v>0</v>
      </c>
      <c r="N620" t="n">
        <v>0</v>
      </c>
      <c r="O620" t="n">
        <v>0</v>
      </c>
      <c r="P620" t="n">
        <v>0</v>
      </c>
      <c r="Q620" t="n">
        <v>0</v>
      </c>
      <c r="R620" s="2" t="inlineStr"/>
    </row>
    <row r="621" ht="15" customHeight="1">
      <c r="A621" t="inlineStr">
        <is>
          <t>A 34042-2024</t>
        </is>
      </c>
      <c r="B621" s="1" t="n">
        <v>45523</v>
      </c>
      <c r="C621" s="1" t="n">
        <v>46133</v>
      </c>
      <c r="D621" t="inlineStr">
        <is>
          <t>NORRBOTTENS LÄN</t>
        </is>
      </c>
      <c r="E621" t="inlineStr">
        <is>
          <t>PAJALA</t>
        </is>
      </c>
      <c r="G621" t="n">
        <v>12.5</v>
      </c>
      <c r="H621" t="n">
        <v>0</v>
      </c>
      <c r="I621" t="n">
        <v>0</v>
      </c>
      <c r="J621" t="n">
        <v>0</v>
      </c>
      <c r="K621" t="n">
        <v>0</v>
      </c>
      <c r="L621" t="n">
        <v>0</v>
      </c>
      <c r="M621" t="n">
        <v>0</v>
      </c>
      <c r="N621" t="n">
        <v>0</v>
      </c>
      <c r="O621" t="n">
        <v>0</v>
      </c>
      <c r="P621" t="n">
        <v>0</v>
      </c>
      <c r="Q621" t="n">
        <v>0</v>
      </c>
      <c r="R621" s="2" t="inlineStr"/>
    </row>
    <row r="622" ht="15" customHeight="1">
      <c r="A622" t="inlineStr">
        <is>
          <t>A 21702-2023</t>
        </is>
      </c>
      <c r="B622" s="1" t="n">
        <v>45064</v>
      </c>
      <c r="C622" s="1" t="n">
        <v>46133</v>
      </c>
      <c r="D622" t="inlineStr">
        <is>
          <t>NORRBOTTENS LÄN</t>
        </is>
      </c>
      <c r="E622" t="inlineStr">
        <is>
          <t>PAJALA</t>
        </is>
      </c>
      <c r="G622" t="n">
        <v>3.5</v>
      </c>
      <c r="H622" t="n">
        <v>0</v>
      </c>
      <c r="I622" t="n">
        <v>0</v>
      </c>
      <c r="J622" t="n">
        <v>0</v>
      </c>
      <c r="K622" t="n">
        <v>0</v>
      </c>
      <c r="L622" t="n">
        <v>0</v>
      </c>
      <c r="M622" t="n">
        <v>0</v>
      </c>
      <c r="N622" t="n">
        <v>0</v>
      </c>
      <c r="O622" t="n">
        <v>0</v>
      </c>
      <c r="P622" t="n">
        <v>0</v>
      </c>
      <c r="Q622" t="n">
        <v>0</v>
      </c>
      <c r="R622" s="2" t="inlineStr"/>
    </row>
    <row r="623" ht="15" customHeight="1">
      <c r="A623" t="inlineStr">
        <is>
          <t>A 52097-2025</t>
        </is>
      </c>
      <c r="B623" s="1" t="n">
        <v>45952</v>
      </c>
      <c r="C623" s="1" t="n">
        <v>46133</v>
      </c>
      <c r="D623" t="inlineStr">
        <is>
          <t>NORRBOTTENS LÄN</t>
        </is>
      </c>
      <c r="E623" t="inlineStr">
        <is>
          <t>PAJALA</t>
        </is>
      </c>
      <c r="G623" t="n">
        <v>11.5</v>
      </c>
      <c r="H623" t="n">
        <v>0</v>
      </c>
      <c r="I623" t="n">
        <v>0</v>
      </c>
      <c r="J623" t="n">
        <v>0</v>
      </c>
      <c r="K623" t="n">
        <v>0</v>
      </c>
      <c r="L623" t="n">
        <v>0</v>
      </c>
      <c r="M623" t="n">
        <v>0</v>
      </c>
      <c r="N623" t="n">
        <v>0</v>
      </c>
      <c r="O623" t="n">
        <v>0</v>
      </c>
      <c r="P623" t="n">
        <v>0</v>
      </c>
      <c r="Q623" t="n">
        <v>0</v>
      </c>
      <c r="R623" s="2" t="inlineStr"/>
    </row>
    <row r="624" ht="15" customHeight="1">
      <c r="A624" t="inlineStr">
        <is>
          <t>A 59333-2025</t>
        </is>
      </c>
      <c r="B624" s="1" t="n">
        <v>45989</v>
      </c>
      <c r="C624" s="1" t="n">
        <v>46133</v>
      </c>
      <c r="D624" t="inlineStr">
        <is>
          <t>NORRBOTTENS LÄN</t>
        </is>
      </c>
      <c r="E624" t="inlineStr">
        <is>
          <t>PAJALA</t>
        </is>
      </c>
      <c r="G624" t="n">
        <v>0.6</v>
      </c>
      <c r="H624" t="n">
        <v>0</v>
      </c>
      <c r="I624" t="n">
        <v>0</v>
      </c>
      <c r="J624" t="n">
        <v>0</v>
      </c>
      <c r="K624" t="n">
        <v>0</v>
      </c>
      <c r="L624" t="n">
        <v>0</v>
      </c>
      <c r="M624" t="n">
        <v>0</v>
      </c>
      <c r="N624" t="n">
        <v>0</v>
      </c>
      <c r="O624" t="n">
        <v>0</v>
      </c>
      <c r="P624" t="n">
        <v>0</v>
      </c>
      <c r="Q624" t="n">
        <v>0</v>
      </c>
      <c r="R624" s="2" t="inlineStr"/>
    </row>
    <row r="625" ht="15" customHeight="1">
      <c r="A625" t="inlineStr">
        <is>
          <t>A 5535-2025</t>
        </is>
      </c>
      <c r="B625" s="1" t="n">
        <v>45693.44825231482</v>
      </c>
      <c r="C625" s="1" t="n">
        <v>46133</v>
      </c>
      <c r="D625" t="inlineStr">
        <is>
          <t>NORRBOTTENS LÄN</t>
        </is>
      </c>
      <c r="E625" t="inlineStr">
        <is>
          <t>PAJALA</t>
        </is>
      </c>
      <c r="F625" t="inlineStr">
        <is>
          <t>SCA</t>
        </is>
      </c>
      <c r="G625" t="n">
        <v>20.4</v>
      </c>
      <c r="H625" t="n">
        <v>0</v>
      </c>
      <c r="I625" t="n">
        <v>0</v>
      </c>
      <c r="J625" t="n">
        <v>0</v>
      </c>
      <c r="K625" t="n">
        <v>0</v>
      </c>
      <c r="L625" t="n">
        <v>0</v>
      </c>
      <c r="M625" t="n">
        <v>0</v>
      </c>
      <c r="N625" t="n">
        <v>0</v>
      </c>
      <c r="O625" t="n">
        <v>0</v>
      </c>
      <c r="P625" t="n">
        <v>0</v>
      </c>
      <c r="Q625" t="n">
        <v>0</v>
      </c>
      <c r="R625" s="2" t="inlineStr"/>
    </row>
    <row r="626" ht="15" customHeight="1">
      <c r="A626" t="inlineStr">
        <is>
          <t>A 61404-2025</t>
        </is>
      </c>
      <c r="B626" s="1" t="n">
        <v>46000</v>
      </c>
      <c r="C626" s="1" t="n">
        <v>46133</v>
      </c>
      <c r="D626" t="inlineStr">
        <is>
          <t>NORRBOTTENS LÄN</t>
        </is>
      </c>
      <c r="E626" t="inlineStr">
        <is>
          <t>PAJALA</t>
        </is>
      </c>
      <c r="F626" t="inlineStr">
        <is>
          <t>Kyrkan</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11199-2026</t>
        </is>
      </c>
      <c r="B627" s="1" t="n">
        <v>46080.43482638889</v>
      </c>
      <c r="C627" s="1" t="n">
        <v>46133</v>
      </c>
      <c r="D627" t="inlineStr">
        <is>
          <t>NORRBOTTENS LÄN</t>
        </is>
      </c>
      <c r="E627" t="inlineStr">
        <is>
          <t>PAJALA</t>
        </is>
      </c>
      <c r="G627" t="n">
        <v>2.7</v>
      </c>
      <c r="H627" t="n">
        <v>0</v>
      </c>
      <c r="I627" t="n">
        <v>0</v>
      </c>
      <c r="J627" t="n">
        <v>0</v>
      </c>
      <c r="K627" t="n">
        <v>0</v>
      </c>
      <c r="L627" t="n">
        <v>0</v>
      </c>
      <c r="M627" t="n">
        <v>0</v>
      </c>
      <c r="N627" t="n">
        <v>0</v>
      </c>
      <c r="O627" t="n">
        <v>0</v>
      </c>
      <c r="P627" t="n">
        <v>0</v>
      </c>
      <c r="Q627" t="n">
        <v>0</v>
      </c>
      <c r="R627" s="2" t="inlineStr"/>
    </row>
    <row r="628" ht="15" customHeight="1">
      <c r="A628" t="inlineStr">
        <is>
          <t>A 11200-2026</t>
        </is>
      </c>
      <c r="B628" s="1" t="n">
        <v>46080.43545138889</v>
      </c>
      <c r="C628" s="1" t="n">
        <v>46133</v>
      </c>
      <c r="D628" t="inlineStr">
        <is>
          <t>NORRBOTTENS LÄN</t>
        </is>
      </c>
      <c r="E628" t="inlineStr">
        <is>
          <t>PAJALA</t>
        </is>
      </c>
      <c r="G628" t="n">
        <v>0.8</v>
      </c>
      <c r="H628" t="n">
        <v>0</v>
      </c>
      <c r="I628" t="n">
        <v>0</v>
      </c>
      <c r="J628" t="n">
        <v>0</v>
      </c>
      <c r="K628" t="n">
        <v>0</v>
      </c>
      <c r="L628" t="n">
        <v>0</v>
      </c>
      <c r="M628" t="n">
        <v>0</v>
      </c>
      <c r="N628" t="n">
        <v>0</v>
      </c>
      <c r="O628" t="n">
        <v>0</v>
      </c>
      <c r="P628" t="n">
        <v>0</v>
      </c>
      <c r="Q628" t="n">
        <v>0</v>
      </c>
      <c r="R628" s="2" t="inlineStr"/>
    </row>
    <row r="629" ht="15" customHeight="1">
      <c r="A629" t="inlineStr">
        <is>
          <t>A 11312-2026</t>
        </is>
      </c>
      <c r="B629" s="1" t="n">
        <v>46080.66712962963</v>
      </c>
      <c r="C629" s="1" t="n">
        <v>46133</v>
      </c>
      <c r="D629" t="inlineStr">
        <is>
          <t>NORRBOTTENS LÄN</t>
        </is>
      </c>
      <c r="E629" t="inlineStr">
        <is>
          <t>PAJALA</t>
        </is>
      </c>
      <c r="G629" t="n">
        <v>4.5</v>
      </c>
      <c r="H629" t="n">
        <v>0</v>
      </c>
      <c r="I629" t="n">
        <v>0</v>
      </c>
      <c r="J629" t="n">
        <v>0</v>
      </c>
      <c r="K629" t="n">
        <v>0</v>
      </c>
      <c r="L629" t="n">
        <v>0</v>
      </c>
      <c r="M629" t="n">
        <v>0</v>
      </c>
      <c r="N629" t="n">
        <v>0</v>
      </c>
      <c r="O629" t="n">
        <v>0</v>
      </c>
      <c r="P629" t="n">
        <v>0</v>
      </c>
      <c r="Q629" t="n">
        <v>0</v>
      </c>
      <c r="R629" s="2" t="inlineStr"/>
    </row>
    <row r="630" ht="15" customHeight="1">
      <c r="A630" t="inlineStr">
        <is>
          <t>A 39080-2024</t>
        </is>
      </c>
      <c r="B630" s="1" t="n">
        <v>45548.5446875</v>
      </c>
      <c r="C630" s="1" t="n">
        <v>46133</v>
      </c>
      <c r="D630" t="inlineStr">
        <is>
          <t>NORRBOTTENS LÄN</t>
        </is>
      </c>
      <c r="E630" t="inlineStr">
        <is>
          <t>PAJALA</t>
        </is>
      </c>
      <c r="F630" t="inlineStr">
        <is>
          <t>Sveaskog</t>
        </is>
      </c>
      <c r="G630" t="n">
        <v>8</v>
      </c>
      <c r="H630" t="n">
        <v>0</v>
      </c>
      <c r="I630" t="n">
        <v>0</v>
      </c>
      <c r="J630" t="n">
        <v>0</v>
      </c>
      <c r="K630" t="n">
        <v>0</v>
      </c>
      <c r="L630" t="n">
        <v>0</v>
      </c>
      <c r="M630" t="n">
        <v>0</v>
      </c>
      <c r="N630" t="n">
        <v>0</v>
      </c>
      <c r="O630" t="n">
        <v>0</v>
      </c>
      <c r="P630" t="n">
        <v>0</v>
      </c>
      <c r="Q630" t="n">
        <v>0</v>
      </c>
      <c r="R630" s="2" t="inlineStr"/>
    </row>
    <row r="631" ht="15" customHeight="1">
      <c r="A631" t="inlineStr">
        <is>
          <t>A 44772-2022</t>
        </is>
      </c>
      <c r="B631" s="1" t="n">
        <v>44841.2909375</v>
      </c>
      <c r="C631" s="1" t="n">
        <v>46133</v>
      </c>
      <c r="D631" t="inlineStr">
        <is>
          <t>NORRBOTTENS LÄN</t>
        </is>
      </c>
      <c r="E631" t="inlineStr">
        <is>
          <t>PAJALA</t>
        </is>
      </c>
      <c r="G631" t="n">
        <v>7.4</v>
      </c>
      <c r="H631" t="n">
        <v>0</v>
      </c>
      <c r="I631" t="n">
        <v>0</v>
      </c>
      <c r="J631" t="n">
        <v>0</v>
      </c>
      <c r="K631" t="n">
        <v>0</v>
      </c>
      <c r="L631" t="n">
        <v>0</v>
      </c>
      <c r="M631" t="n">
        <v>0</v>
      </c>
      <c r="N631" t="n">
        <v>0</v>
      </c>
      <c r="O631" t="n">
        <v>0</v>
      </c>
      <c r="P631" t="n">
        <v>0</v>
      </c>
      <c r="Q631" t="n">
        <v>0</v>
      </c>
      <c r="R631" s="2" t="inlineStr"/>
    </row>
    <row r="632" ht="15" customHeight="1">
      <c r="A632" t="inlineStr">
        <is>
          <t>A 62829-2023</t>
        </is>
      </c>
      <c r="B632" s="1" t="n">
        <v>45271.92707175926</v>
      </c>
      <c r="C632" s="1" t="n">
        <v>46133</v>
      </c>
      <c r="D632" t="inlineStr">
        <is>
          <t>NORRBOTTENS LÄN</t>
        </is>
      </c>
      <c r="E632" t="inlineStr">
        <is>
          <t>PAJALA</t>
        </is>
      </c>
      <c r="G632" t="n">
        <v>3.1</v>
      </c>
      <c r="H632" t="n">
        <v>0</v>
      </c>
      <c r="I632" t="n">
        <v>0</v>
      </c>
      <c r="J632" t="n">
        <v>0</v>
      </c>
      <c r="K632" t="n">
        <v>0</v>
      </c>
      <c r="L632" t="n">
        <v>0</v>
      </c>
      <c r="M632" t="n">
        <v>0</v>
      </c>
      <c r="N632" t="n">
        <v>0</v>
      </c>
      <c r="O632" t="n">
        <v>0</v>
      </c>
      <c r="P632" t="n">
        <v>0</v>
      </c>
      <c r="Q632" t="n">
        <v>0</v>
      </c>
      <c r="R632" s="2" t="inlineStr"/>
    </row>
    <row r="633" ht="15" customHeight="1">
      <c r="A633" t="inlineStr">
        <is>
          <t>A 18040-2026</t>
        </is>
      </c>
      <c r="B633" s="1" t="n">
        <v>46125.40962962963</v>
      </c>
      <c r="C633" s="1" t="n">
        <v>46133</v>
      </c>
      <c r="D633" t="inlineStr">
        <is>
          <t>NORRBOTTENS LÄN</t>
        </is>
      </c>
      <c r="E633" t="inlineStr">
        <is>
          <t>PAJALA</t>
        </is>
      </c>
      <c r="G633" t="n">
        <v>4.9</v>
      </c>
      <c r="H633" t="n">
        <v>0</v>
      </c>
      <c r="I633" t="n">
        <v>0</v>
      </c>
      <c r="J633" t="n">
        <v>0</v>
      </c>
      <c r="K633" t="n">
        <v>0</v>
      </c>
      <c r="L633" t="n">
        <v>0</v>
      </c>
      <c r="M633" t="n">
        <v>0</v>
      </c>
      <c r="N633" t="n">
        <v>0</v>
      </c>
      <c r="O633" t="n">
        <v>0</v>
      </c>
      <c r="P633" t="n">
        <v>0</v>
      </c>
      <c r="Q633" t="n">
        <v>0</v>
      </c>
      <c r="R633" s="2" t="inlineStr"/>
    </row>
    <row r="634" ht="15" customHeight="1">
      <c r="A634" t="inlineStr">
        <is>
          <t>A 57549-2024</t>
        </is>
      </c>
      <c r="B634" s="1" t="n">
        <v>45630</v>
      </c>
      <c r="C634" s="1" t="n">
        <v>46133</v>
      </c>
      <c r="D634" t="inlineStr">
        <is>
          <t>NORRBOTTENS LÄN</t>
        </is>
      </c>
      <c r="E634" t="inlineStr">
        <is>
          <t>PAJALA</t>
        </is>
      </c>
      <c r="G634" t="n">
        <v>4</v>
      </c>
      <c r="H634" t="n">
        <v>0</v>
      </c>
      <c r="I634" t="n">
        <v>0</v>
      </c>
      <c r="J634" t="n">
        <v>0</v>
      </c>
      <c r="K634" t="n">
        <v>0</v>
      </c>
      <c r="L634" t="n">
        <v>0</v>
      </c>
      <c r="M634" t="n">
        <v>0</v>
      </c>
      <c r="N634" t="n">
        <v>0</v>
      </c>
      <c r="O634" t="n">
        <v>0</v>
      </c>
      <c r="P634" t="n">
        <v>0</v>
      </c>
      <c r="Q634" t="n">
        <v>0</v>
      </c>
      <c r="R634" s="2" t="inlineStr"/>
    </row>
    <row r="635" ht="15" customHeight="1">
      <c r="A635" t="inlineStr">
        <is>
          <t>A 11430-2026</t>
        </is>
      </c>
      <c r="B635" s="1" t="n">
        <v>46083</v>
      </c>
      <c r="C635" s="1" t="n">
        <v>46133</v>
      </c>
      <c r="D635" t="inlineStr">
        <is>
          <t>NORRBOTTENS LÄN</t>
        </is>
      </c>
      <c r="E635" t="inlineStr">
        <is>
          <t>PAJALA</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11433-2026</t>
        </is>
      </c>
      <c r="B636" s="1" t="n">
        <v>46083</v>
      </c>
      <c r="C636" s="1" t="n">
        <v>46133</v>
      </c>
      <c r="D636" t="inlineStr">
        <is>
          <t>NORRBOTTENS LÄN</t>
        </is>
      </c>
      <c r="E636" t="inlineStr">
        <is>
          <t>PAJALA</t>
        </is>
      </c>
      <c r="F636" t="inlineStr">
        <is>
          <t>Allmännings- och besparingsskogar</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11429-2026</t>
        </is>
      </c>
      <c r="B637" s="1" t="n">
        <v>46083</v>
      </c>
      <c r="C637" s="1" t="n">
        <v>46133</v>
      </c>
      <c r="D637" t="inlineStr">
        <is>
          <t>NORRBOTTENS LÄN</t>
        </is>
      </c>
      <c r="E637" t="inlineStr">
        <is>
          <t>PAJALA</t>
        </is>
      </c>
      <c r="F637" t="inlineStr">
        <is>
          <t>Allmännings- och besparingsskogar</t>
        </is>
      </c>
      <c r="G637" t="n">
        <v>3.2</v>
      </c>
      <c r="H637" t="n">
        <v>0</v>
      </c>
      <c r="I637" t="n">
        <v>0</v>
      </c>
      <c r="J637" t="n">
        <v>0</v>
      </c>
      <c r="K637" t="n">
        <v>0</v>
      </c>
      <c r="L637" t="n">
        <v>0</v>
      </c>
      <c r="M637" t="n">
        <v>0</v>
      </c>
      <c r="N637" t="n">
        <v>0</v>
      </c>
      <c r="O637" t="n">
        <v>0</v>
      </c>
      <c r="P637" t="n">
        <v>0</v>
      </c>
      <c r="Q637" t="n">
        <v>0</v>
      </c>
      <c r="R637" s="2" t="inlineStr"/>
    </row>
    <row r="638" ht="15" customHeight="1">
      <c r="A638" t="inlineStr">
        <is>
          <t>A 11080-2024</t>
        </is>
      </c>
      <c r="B638" s="1" t="n">
        <v>45370</v>
      </c>
      <c r="C638" s="1" t="n">
        <v>46133</v>
      </c>
      <c r="D638" t="inlineStr">
        <is>
          <t>NORRBOTTENS LÄN</t>
        </is>
      </c>
      <c r="E638" t="inlineStr">
        <is>
          <t>PAJALA</t>
        </is>
      </c>
      <c r="G638" t="n">
        <v>14.6</v>
      </c>
      <c r="H638" t="n">
        <v>0</v>
      </c>
      <c r="I638" t="n">
        <v>0</v>
      </c>
      <c r="J638" t="n">
        <v>0</v>
      </c>
      <c r="K638" t="n">
        <v>0</v>
      </c>
      <c r="L638" t="n">
        <v>0</v>
      </c>
      <c r="M638" t="n">
        <v>0</v>
      </c>
      <c r="N638" t="n">
        <v>0</v>
      </c>
      <c r="O638" t="n">
        <v>0</v>
      </c>
      <c r="P638" t="n">
        <v>0</v>
      </c>
      <c r="Q638" t="n">
        <v>0</v>
      </c>
      <c r="R638" s="2" t="inlineStr"/>
    </row>
    <row r="639" ht="15" customHeight="1">
      <c r="A639" t="inlineStr">
        <is>
          <t>A 18043-2026</t>
        </is>
      </c>
      <c r="B639" s="1" t="n">
        <v>46125.4153125</v>
      </c>
      <c r="C639" s="1" t="n">
        <v>46133</v>
      </c>
      <c r="D639" t="inlineStr">
        <is>
          <t>NORRBOTTENS LÄN</t>
        </is>
      </c>
      <c r="E639" t="inlineStr">
        <is>
          <t>PAJALA</t>
        </is>
      </c>
      <c r="G639" t="n">
        <v>3</v>
      </c>
      <c r="H639" t="n">
        <v>0</v>
      </c>
      <c r="I639" t="n">
        <v>0</v>
      </c>
      <c r="J639" t="n">
        <v>0</v>
      </c>
      <c r="K639" t="n">
        <v>0</v>
      </c>
      <c r="L639" t="n">
        <v>0</v>
      </c>
      <c r="M639" t="n">
        <v>0</v>
      </c>
      <c r="N639" t="n">
        <v>0</v>
      </c>
      <c r="O639" t="n">
        <v>0</v>
      </c>
      <c r="P639" t="n">
        <v>0</v>
      </c>
      <c r="Q639" t="n">
        <v>0</v>
      </c>
      <c r="R639" s="2" t="inlineStr"/>
    </row>
    <row r="640" ht="15" customHeight="1">
      <c r="A640" t="inlineStr">
        <is>
          <t>A 18798-2026</t>
        </is>
      </c>
      <c r="B640" s="1" t="n">
        <v>46128.61568287037</v>
      </c>
      <c r="C640" s="1" t="n">
        <v>46133</v>
      </c>
      <c r="D640" t="inlineStr">
        <is>
          <t>NORRBOTTENS LÄN</t>
        </is>
      </c>
      <c r="E640" t="inlineStr">
        <is>
          <t>PAJALA</t>
        </is>
      </c>
      <c r="G640" t="n">
        <v>2.1</v>
      </c>
      <c r="H640" t="n">
        <v>0</v>
      </c>
      <c r="I640" t="n">
        <v>0</v>
      </c>
      <c r="J640" t="n">
        <v>0</v>
      </c>
      <c r="K640" t="n">
        <v>0</v>
      </c>
      <c r="L640" t="n">
        <v>0</v>
      </c>
      <c r="M640" t="n">
        <v>0</v>
      </c>
      <c r="N640" t="n">
        <v>0</v>
      </c>
      <c r="O640" t="n">
        <v>0</v>
      </c>
      <c r="P640" t="n">
        <v>0</v>
      </c>
      <c r="Q640" t="n">
        <v>0</v>
      </c>
      <c r="R640" s="2" t="inlineStr"/>
    </row>
    <row r="641" ht="15" customHeight="1">
      <c r="A641" t="inlineStr">
        <is>
          <t>A 18799-2026</t>
        </is>
      </c>
      <c r="B641" s="1" t="n">
        <v>46128.61734953704</v>
      </c>
      <c r="C641" s="1" t="n">
        <v>46133</v>
      </c>
      <c r="D641" t="inlineStr">
        <is>
          <t>NORRBOTTENS LÄN</t>
        </is>
      </c>
      <c r="E641" t="inlineStr">
        <is>
          <t>PAJALA</t>
        </is>
      </c>
      <c r="G641" t="n">
        <v>4.5</v>
      </c>
      <c r="H641" t="n">
        <v>0</v>
      </c>
      <c r="I641" t="n">
        <v>0</v>
      </c>
      <c r="J641" t="n">
        <v>0</v>
      </c>
      <c r="K641" t="n">
        <v>0</v>
      </c>
      <c r="L641" t="n">
        <v>0</v>
      </c>
      <c r="M641" t="n">
        <v>0</v>
      </c>
      <c r="N641" t="n">
        <v>0</v>
      </c>
      <c r="O641" t="n">
        <v>0</v>
      </c>
      <c r="P641" t="n">
        <v>0</v>
      </c>
      <c r="Q641" t="n">
        <v>0</v>
      </c>
      <c r="R641" s="2" t="inlineStr"/>
    </row>
    <row r="642" ht="15" customHeight="1">
      <c r="A642" t="inlineStr">
        <is>
          <t>A 25693-2024</t>
        </is>
      </c>
      <c r="B642" s="1" t="n">
        <v>45463.94180555556</v>
      </c>
      <c r="C642" s="1" t="n">
        <v>46133</v>
      </c>
      <c r="D642" t="inlineStr">
        <is>
          <t>NORRBOTTENS LÄN</t>
        </is>
      </c>
      <c r="E642" t="inlineStr">
        <is>
          <t>PAJALA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13884-2024</t>
        </is>
      </c>
      <c r="B643" s="1" t="n">
        <v>45391</v>
      </c>
      <c r="C643" s="1" t="n">
        <v>46133</v>
      </c>
      <c r="D643" t="inlineStr">
        <is>
          <t>NORRBOTTENS LÄN</t>
        </is>
      </c>
      <c r="E643" t="inlineStr">
        <is>
          <t>PAJALA</t>
        </is>
      </c>
      <c r="G643" t="n">
        <v>1.6</v>
      </c>
      <c r="H643" t="n">
        <v>0</v>
      </c>
      <c r="I643" t="n">
        <v>0</v>
      </c>
      <c r="J643" t="n">
        <v>0</v>
      </c>
      <c r="K643" t="n">
        <v>0</v>
      </c>
      <c r="L643" t="n">
        <v>0</v>
      </c>
      <c r="M643" t="n">
        <v>0</v>
      </c>
      <c r="N643" t="n">
        <v>0</v>
      </c>
      <c r="O643" t="n">
        <v>0</v>
      </c>
      <c r="P643" t="n">
        <v>0</v>
      </c>
      <c r="Q643" t="n">
        <v>0</v>
      </c>
      <c r="R643" s="2" t="inlineStr"/>
    </row>
    <row r="644" ht="15" customHeight="1">
      <c r="A644" t="inlineStr">
        <is>
          <t>A 39902-2021</t>
        </is>
      </c>
      <c r="B644" s="1" t="n">
        <v>44417</v>
      </c>
      <c r="C644" s="1" t="n">
        <v>46133</v>
      </c>
      <c r="D644" t="inlineStr">
        <is>
          <t>NORRBOTTENS LÄN</t>
        </is>
      </c>
      <c r="E644" t="inlineStr">
        <is>
          <t>PAJALA</t>
        </is>
      </c>
      <c r="G644" t="n">
        <v>11</v>
      </c>
      <c r="H644" t="n">
        <v>0</v>
      </c>
      <c r="I644" t="n">
        <v>0</v>
      </c>
      <c r="J644" t="n">
        <v>0</v>
      </c>
      <c r="K644" t="n">
        <v>0</v>
      </c>
      <c r="L644" t="n">
        <v>0</v>
      </c>
      <c r="M644" t="n">
        <v>0</v>
      </c>
      <c r="N644" t="n">
        <v>0</v>
      </c>
      <c r="O644" t="n">
        <v>0</v>
      </c>
      <c r="P644" t="n">
        <v>0</v>
      </c>
      <c r="Q644" t="n">
        <v>0</v>
      </c>
      <c r="R644" s="2" t="inlineStr"/>
    </row>
    <row r="645" ht="15" customHeight="1">
      <c r="A645" t="inlineStr">
        <is>
          <t>A 18425-2026</t>
        </is>
      </c>
      <c r="B645" s="1" t="n">
        <v>46127.31960648148</v>
      </c>
      <c r="C645" s="1" t="n">
        <v>46133</v>
      </c>
      <c r="D645" t="inlineStr">
        <is>
          <t>NORRBOTTENS LÄN</t>
        </is>
      </c>
      <c r="E645" t="inlineStr">
        <is>
          <t>PAJALA</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40299-2021</t>
        </is>
      </c>
      <c r="B646" s="1" t="n">
        <v>44419.46515046297</v>
      </c>
      <c r="C646" s="1" t="n">
        <v>46133</v>
      </c>
      <c r="D646" t="inlineStr">
        <is>
          <t>NORRBOTTENS LÄN</t>
        </is>
      </c>
      <c r="E646" t="inlineStr">
        <is>
          <t>PAJALA</t>
        </is>
      </c>
      <c r="G646" t="n">
        <v>2.3</v>
      </c>
      <c r="H646" t="n">
        <v>0</v>
      </c>
      <c r="I646" t="n">
        <v>0</v>
      </c>
      <c r="J646" t="n">
        <v>0</v>
      </c>
      <c r="K646" t="n">
        <v>0</v>
      </c>
      <c r="L646" t="n">
        <v>0</v>
      </c>
      <c r="M646" t="n">
        <v>0</v>
      </c>
      <c r="N646" t="n">
        <v>0</v>
      </c>
      <c r="O646" t="n">
        <v>0</v>
      </c>
      <c r="P646" t="n">
        <v>0</v>
      </c>
      <c r="Q646" t="n">
        <v>0</v>
      </c>
      <c r="R646" s="2" t="inlineStr"/>
    </row>
    <row r="647" ht="15" customHeight="1">
      <c r="A647" t="inlineStr">
        <is>
          <t>A 13573-2026</t>
        </is>
      </c>
      <c r="B647" s="1" t="n">
        <v>46090</v>
      </c>
      <c r="C647" s="1" t="n">
        <v>46133</v>
      </c>
      <c r="D647" t="inlineStr">
        <is>
          <t>NORRBOTTENS LÄN</t>
        </is>
      </c>
      <c r="E647" t="inlineStr">
        <is>
          <t>PAJALA</t>
        </is>
      </c>
      <c r="F647" t="inlineStr">
        <is>
          <t>Allmännings- och besparingsskogar</t>
        </is>
      </c>
      <c r="G647" t="n">
        <v>7.7</v>
      </c>
      <c r="H647" t="n">
        <v>0</v>
      </c>
      <c r="I647" t="n">
        <v>0</v>
      </c>
      <c r="J647" t="n">
        <v>0</v>
      </c>
      <c r="K647" t="n">
        <v>0</v>
      </c>
      <c r="L647" t="n">
        <v>0</v>
      </c>
      <c r="M647" t="n">
        <v>0</v>
      </c>
      <c r="N647" t="n">
        <v>0</v>
      </c>
      <c r="O647" t="n">
        <v>0</v>
      </c>
      <c r="P647" t="n">
        <v>0</v>
      </c>
      <c r="Q647" t="n">
        <v>0</v>
      </c>
      <c r="R647" s="2" t="inlineStr"/>
    </row>
    <row r="648" ht="15" customHeight="1">
      <c r="A648" t="inlineStr">
        <is>
          <t>A 18747-2026</t>
        </is>
      </c>
      <c r="B648" s="1" t="n">
        <v>46128.53479166667</v>
      </c>
      <c r="C648" s="1" t="n">
        <v>46133</v>
      </c>
      <c r="D648" t="inlineStr">
        <is>
          <t>NORRBOTTENS LÄN</t>
        </is>
      </c>
      <c r="E648" t="inlineStr">
        <is>
          <t>PAJALA</t>
        </is>
      </c>
      <c r="F648" t="inlineStr">
        <is>
          <t>Sveaskog</t>
        </is>
      </c>
      <c r="G648" t="n">
        <v>34.2</v>
      </c>
      <c r="H648" t="n">
        <v>0</v>
      </c>
      <c r="I648" t="n">
        <v>0</v>
      </c>
      <c r="J648" t="n">
        <v>0</v>
      </c>
      <c r="K648" t="n">
        <v>0</v>
      </c>
      <c r="L648" t="n">
        <v>0</v>
      </c>
      <c r="M648" t="n">
        <v>0</v>
      </c>
      <c r="N648" t="n">
        <v>0</v>
      </c>
      <c r="O648" t="n">
        <v>0</v>
      </c>
      <c r="P648" t="n">
        <v>0</v>
      </c>
      <c r="Q648" t="n">
        <v>0</v>
      </c>
      <c r="R648" s="2" t="inlineStr"/>
    </row>
    <row r="649" ht="15" customHeight="1">
      <c r="A649" t="inlineStr">
        <is>
          <t>A 19030-2026</t>
        </is>
      </c>
      <c r="B649" s="1" t="n">
        <v>46131.79366898148</v>
      </c>
      <c r="C649" s="1" t="n">
        <v>46133</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7942-2023</t>
        </is>
      </c>
      <c r="B650" s="1" t="n">
        <v>44970</v>
      </c>
      <c r="C650" s="1" t="n">
        <v>46133</v>
      </c>
      <c r="D650" t="inlineStr">
        <is>
          <t>NORRBOTTENS LÄN</t>
        </is>
      </c>
      <c r="E650" t="inlineStr">
        <is>
          <t>PAJALA</t>
        </is>
      </c>
      <c r="G650" t="n">
        <v>7.3</v>
      </c>
      <c r="H650" t="n">
        <v>0</v>
      </c>
      <c r="I650" t="n">
        <v>0</v>
      </c>
      <c r="J650" t="n">
        <v>0</v>
      </c>
      <c r="K650" t="n">
        <v>0</v>
      </c>
      <c r="L650" t="n">
        <v>0</v>
      </c>
      <c r="M650" t="n">
        <v>0</v>
      </c>
      <c r="N650" t="n">
        <v>0</v>
      </c>
      <c r="O650" t="n">
        <v>0</v>
      </c>
      <c r="P650" t="n">
        <v>0</v>
      </c>
      <c r="Q650" t="n">
        <v>0</v>
      </c>
      <c r="R650" s="2" t="inlineStr"/>
    </row>
    <row r="651" ht="15" customHeight="1">
      <c r="A651" t="inlineStr">
        <is>
          <t>A 49008-2022</t>
        </is>
      </c>
      <c r="B651" s="1" t="n">
        <v>44860</v>
      </c>
      <c r="C651" s="1" t="n">
        <v>46133</v>
      </c>
      <c r="D651" t="inlineStr">
        <is>
          <t>NORRBOTTENS LÄN</t>
        </is>
      </c>
      <c r="E651" t="inlineStr">
        <is>
          <t>PAJALA</t>
        </is>
      </c>
      <c r="G651" t="n">
        <v>3.7</v>
      </c>
      <c r="H651" t="n">
        <v>0</v>
      </c>
      <c r="I651" t="n">
        <v>0</v>
      </c>
      <c r="J651" t="n">
        <v>0</v>
      </c>
      <c r="K651" t="n">
        <v>0</v>
      </c>
      <c r="L651" t="n">
        <v>0</v>
      </c>
      <c r="M651" t="n">
        <v>0</v>
      </c>
      <c r="N651" t="n">
        <v>0</v>
      </c>
      <c r="O651" t="n">
        <v>0</v>
      </c>
      <c r="P651" t="n">
        <v>0</v>
      </c>
      <c r="Q651" t="n">
        <v>0</v>
      </c>
      <c r="R651" s="2" t="inlineStr"/>
    </row>
    <row r="652" ht="15" customHeight="1">
      <c r="A652" t="inlineStr">
        <is>
          <t>A 34333-2023</t>
        </is>
      </c>
      <c r="B652" s="1" t="n">
        <v>45131</v>
      </c>
      <c r="C652" s="1" t="n">
        <v>46133</v>
      </c>
      <c r="D652" t="inlineStr">
        <is>
          <t>NORRBOTTENS LÄN</t>
        </is>
      </c>
      <c r="E652" t="inlineStr">
        <is>
          <t>PAJALA</t>
        </is>
      </c>
      <c r="G652" t="n">
        <v>1.4</v>
      </c>
      <c r="H652" t="n">
        <v>0</v>
      </c>
      <c r="I652" t="n">
        <v>0</v>
      </c>
      <c r="J652" t="n">
        <v>0</v>
      </c>
      <c r="K652" t="n">
        <v>0</v>
      </c>
      <c r="L652" t="n">
        <v>0</v>
      </c>
      <c r="M652" t="n">
        <v>0</v>
      </c>
      <c r="N652" t="n">
        <v>0</v>
      </c>
      <c r="O652" t="n">
        <v>0</v>
      </c>
      <c r="P652" t="n">
        <v>0</v>
      </c>
      <c r="Q652" t="n">
        <v>0</v>
      </c>
      <c r="R652" s="2" t="inlineStr"/>
    </row>
    <row r="653" ht="15" customHeight="1">
      <c r="A653" t="inlineStr">
        <is>
          <t>A 19093-2026</t>
        </is>
      </c>
      <c r="B653" s="1" t="n">
        <v>46132.41459490741</v>
      </c>
      <c r="C653" s="1" t="n">
        <v>46133</v>
      </c>
      <c r="D653" t="inlineStr">
        <is>
          <t>NORRBOTTENS LÄN</t>
        </is>
      </c>
      <c r="E653" t="inlineStr">
        <is>
          <t>PAJALA</t>
        </is>
      </c>
      <c r="G653" t="n">
        <v>35.2</v>
      </c>
      <c r="H653" t="n">
        <v>0</v>
      </c>
      <c r="I653" t="n">
        <v>0</v>
      </c>
      <c r="J653" t="n">
        <v>0</v>
      </c>
      <c r="K653" t="n">
        <v>0</v>
      </c>
      <c r="L653" t="n">
        <v>0</v>
      </c>
      <c r="M653" t="n">
        <v>0</v>
      </c>
      <c r="N653" t="n">
        <v>0</v>
      </c>
      <c r="O653" t="n">
        <v>0</v>
      </c>
      <c r="P653" t="n">
        <v>0</v>
      </c>
      <c r="Q653" t="n">
        <v>0</v>
      </c>
      <c r="R653" s="2" t="inlineStr"/>
    </row>
    <row r="654" ht="15" customHeight="1">
      <c r="A654" t="inlineStr">
        <is>
          <t>A 19201-2026</t>
        </is>
      </c>
      <c r="B654" s="1" t="n">
        <v>46132.6156712963</v>
      </c>
      <c r="C654" s="1" t="n">
        <v>46133</v>
      </c>
      <c r="D654" t="inlineStr">
        <is>
          <t>NORRBOTTENS LÄN</t>
        </is>
      </c>
      <c r="E654" t="inlineStr">
        <is>
          <t>PAJALA</t>
        </is>
      </c>
      <c r="F654" t="inlineStr">
        <is>
          <t>SCA</t>
        </is>
      </c>
      <c r="G654" t="n">
        <v>28.7</v>
      </c>
      <c r="H654" t="n">
        <v>0</v>
      </c>
      <c r="I654" t="n">
        <v>0</v>
      </c>
      <c r="J654" t="n">
        <v>0</v>
      </c>
      <c r="K654" t="n">
        <v>0</v>
      </c>
      <c r="L654" t="n">
        <v>0</v>
      </c>
      <c r="M654" t="n">
        <v>0</v>
      </c>
      <c r="N654" t="n">
        <v>0</v>
      </c>
      <c r="O654" t="n">
        <v>0</v>
      </c>
      <c r="P654" t="n">
        <v>0</v>
      </c>
      <c r="Q654" t="n">
        <v>0</v>
      </c>
      <c r="R654" s="2" t="inlineStr"/>
    </row>
    <row r="655" ht="15" customHeight="1">
      <c r="A655" t="inlineStr">
        <is>
          <t>A 10790-2024</t>
        </is>
      </c>
      <c r="B655" s="1" t="n">
        <v>45369</v>
      </c>
      <c r="C655" s="1" t="n">
        <v>46133</v>
      </c>
      <c r="D655" t="inlineStr">
        <is>
          <t>NORRBOTTENS LÄN</t>
        </is>
      </c>
      <c r="E655" t="inlineStr">
        <is>
          <t>PAJALA</t>
        </is>
      </c>
      <c r="F655" t="inlineStr">
        <is>
          <t>Allmännings- och besparingsskogar</t>
        </is>
      </c>
      <c r="G655" t="n">
        <v>4.7</v>
      </c>
      <c r="H655" t="n">
        <v>0</v>
      </c>
      <c r="I655" t="n">
        <v>0</v>
      </c>
      <c r="J655" t="n">
        <v>0</v>
      </c>
      <c r="K655" t="n">
        <v>0</v>
      </c>
      <c r="L655" t="n">
        <v>0</v>
      </c>
      <c r="M655" t="n">
        <v>0</v>
      </c>
      <c r="N655" t="n">
        <v>0</v>
      </c>
      <c r="O655" t="n">
        <v>0</v>
      </c>
      <c r="P655" t="n">
        <v>0</v>
      </c>
      <c r="Q655" t="n">
        <v>0</v>
      </c>
      <c r="R655" s="2" t="inlineStr"/>
    </row>
    <row r="656" ht="15" customHeight="1">
      <c r="A656" t="inlineStr">
        <is>
          <t>A 10801-2024</t>
        </is>
      </c>
      <c r="B656" s="1" t="n">
        <v>45369</v>
      </c>
      <c r="C656" s="1" t="n">
        <v>46133</v>
      </c>
      <c r="D656" t="inlineStr">
        <is>
          <t>NORRBOTTENS LÄN</t>
        </is>
      </c>
      <c r="E656" t="inlineStr">
        <is>
          <t>PAJALA</t>
        </is>
      </c>
      <c r="F656" t="inlineStr">
        <is>
          <t>Allmännings- och besparingsskogar</t>
        </is>
      </c>
      <c r="G656" t="n">
        <v>16.6</v>
      </c>
      <c r="H656" t="n">
        <v>0</v>
      </c>
      <c r="I656" t="n">
        <v>0</v>
      </c>
      <c r="J656" t="n">
        <v>0</v>
      </c>
      <c r="K656" t="n">
        <v>0</v>
      </c>
      <c r="L656" t="n">
        <v>0</v>
      </c>
      <c r="M656" t="n">
        <v>0</v>
      </c>
      <c r="N656" t="n">
        <v>0</v>
      </c>
      <c r="O656" t="n">
        <v>0</v>
      </c>
      <c r="P656" t="n">
        <v>0</v>
      </c>
      <c r="Q656" t="n">
        <v>0</v>
      </c>
      <c r="R656" s="2" t="inlineStr"/>
    </row>
    <row r="657" ht="15" customHeight="1">
      <c r="A657" t="inlineStr">
        <is>
          <t>A 2799-2025</t>
        </is>
      </c>
      <c r="B657" s="1" t="n">
        <v>45677</v>
      </c>
      <c r="C657" s="1" t="n">
        <v>46133</v>
      </c>
      <c r="D657" t="inlineStr">
        <is>
          <t>NORRBOTTENS LÄN</t>
        </is>
      </c>
      <c r="E657" t="inlineStr">
        <is>
          <t>PAJALA</t>
        </is>
      </c>
      <c r="G657" t="n">
        <v>6.7</v>
      </c>
      <c r="H657" t="n">
        <v>0</v>
      </c>
      <c r="I657" t="n">
        <v>0</v>
      </c>
      <c r="J657" t="n">
        <v>0</v>
      </c>
      <c r="K657" t="n">
        <v>0</v>
      </c>
      <c r="L657" t="n">
        <v>0</v>
      </c>
      <c r="M657" t="n">
        <v>0</v>
      </c>
      <c r="N657" t="n">
        <v>0</v>
      </c>
      <c r="O657" t="n">
        <v>0</v>
      </c>
      <c r="P657" t="n">
        <v>0</v>
      </c>
      <c r="Q657" t="n">
        <v>0</v>
      </c>
      <c r="R657" s="2" t="inlineStr"/>
    </row>
    <row r="658" ht="15" customHeight="1">
      <c r="A658" t="inlineStr">
        <is>
          <t>A 50097-2023</t>
        </is>
      </c>
      <c r="B658" s="1" t="n">
        <v>45215</v>
      </c>
      <c r="C658" s="1" t="n">
        <v>46133</v>
      </c>
      <c r="D658" t="inlineStr">
        <is>
          <t>NORRBOTTENS LÄN</t>
        </is>
      </c>
      <c r="E658" t="inlineStr">
        <is>
          <t>PAJALA</t>
        </is>
      </c>
      <c r="F658" t="inlineStr">
        <is>
          <t>Sveaskog</t>
        </is>
      </c>
      <c r="G658" t="n">
        <v>41.2</v>
      </c>
      <c r="H658" t="n">
        <v>0</v>
      </c>
      <c r="I658" t="n">
        <v>0</v>
      </c>
      <c r="J658" t="n">
        <v>0</v>
      </c>
      <c r="K658" t="n">
        <v>0</v>
      </c>
      <c r="L658" t="n">
        <v>0</v>
      </c>
      <c r="M658" t="n">
        <v>0</v>
      </c>
      <c r="N658" t="n">
        <v>0</v>
      </c>
      <c r="O658" t="n">
        <v>0</v>
      </c>
      <c r="P658" t="n">
        <v>0</v>
      </c>
      <c r="Q658" t="n">
        <v>0</v>
      </c>
      <c r="R658" s="2" t="inlineStr"/>
    </row>
    <row r="659" ht="15" customHeight="1">
      <c r="A659" t="inlineStr">
        <is>
          <t>A 40926-2024</t>
        </is>
      </c>
      <c r="B659" s="1" t="n">
        <v>45558</v>
      </c>
      <c r="C659" s="1" t="n">
        <v>46133</v>
      </c>
      <c r="D659" t="inlineStr">
        <is>
          <t>NORRBOTTENS LÄN</t>
        </is>
      </c>
      <c r="E659" t="inlineStr">
        <is>
          <t>PAJALA</t>
        </is>
      </c>
      <c r="G659" t="n">
        <v>28.7</v>
      </c>
      <c r="H659" t="n">
        <v>0</v>
      </c>
      <c r="I659" t="n">
        <v>0</v>
      </c>
      <c r="J659" t="n">
        <v>0</v>
      </c>
      <c r="K659" t="n">
        <v>0</v>
      </c>
      <c r="L659" t="n">
        <v>0</v>
      </c>
      <c r="M659" t="n">
        <v>0</v>
      </c>
      <c r="N659" t="n">
        <v>0</v>
      </c>
      <c r="O659" t="n">
        <v>0</v>
      </c>
      <c r="P659" t="n">
        <v>0</v>
      </c>
      <c r="Q659" t="n">
        <v>0</v>
      </c>
      <c r="R659" s="2" t="inlineStr"/>
    </row>
    <row r="660" ht="15" customHeight="1">
      <c r="A660" t="inlineStr">
        <is>
          <t>A 41001-2024</t>
        </is>
      </c>
      <c r="B660" s="1" t="n">
        <v>45558.8234837963</v>
      </c>
      <c r="C660" s="1" t="n">
        <v>46133</v>
      </c>
      <c r="D660" t="inlineStr">
        <is>
          <t>NORRBOTTENS LÄN</t>
        </is>
      </c>
      <c r="E660" t="inlineStr">
        <is>
          <t>PAJALA</t>
        </is>
      </c>
      <c r="G660" t="n">
        <v>6</v>
      </c>
      <c r="H660" t="n">
        <v>0</v>
      </c>
      <c r="I660" t="n">
        <v>0</v>
      </c>
      <c r="J660" t="n">
        <v>0</v>
      </c>
      <c r="K660" t="n">
        <v>0</v>
      </c>
      <c r="L660" t="n">
        <v>0</v>
      </c>
      <c r="M660" t="n">
        <v>0</v>
      </c>
      <c r="N660" t="n">
        <v>0</v>
      </c>
      <c r="O660" t="n">
        <v>0</v>
      </c>
      <c r="P660" t="n">
        <v>0</v>
      </c>
      <c r="Q660" t="n">
        <v>0</v>
      </c>
      <c r="R660" s="2" t="inlineStr"/>
    </row>
    <row r="661" ht="15" customHeight="1">
      <c r="A661" t="inlineStr">
        <is>
          <t>A 5771-2023</t>
        </is>
      </c>
      <c r="B661" s="1" t="n">
        <v>44958</v>
      </c>
      <c r="C661" s="1" t="n">
        <v>46133</v>
      </c>
      <c r="D661" t="inlineStr">
        <is>
          <t>NORRBOTTENS LÄN</t>
        </is>
      </c>
      <c r="E661" t="inlineStr">
        <is>
          <t>PAJALA</t>
        </is>
      </c>
      <c r="G661" t="n">
        <v>0.7</v>
      </c>
      <c r="H661" t="n">
        <v>0</v>
      </c>
      <c r="I661" t="n">
        <v>0</v>
      </c>
      <c r="J661" t="n">
        <v>0</v>
      </c>
      <c r="K661" t="n">
        <v>0</v>
      </c>
      <c r="L661" t="n">
        <v>0</v>
      </c>
      <c r="M661" t="n">
        <v>0</v>
      </c>
      <c r="N661" t="n">
        <v>0</v>
      </c>
      <c r="O661" t="n">
        <v>0</v>
      </c>
      <c r="P661" t="n">
        <v>0</v>
      </c>
      <c r="Q661" t="n">
        <v>0</v>
      </c>
      <c r="R661" s="2" t="inlineStr"/>
    </row>
    <row r="662" ht="15" customHeight="1">
      <c r="A662" t="inlineStr">
        <is>
          <t>A 17806-2024</t>
        </is>
      </c>
      <c r="B662" s="1" t="n">
        <v>45418.92696759259</v>
      </c>
      <c r="C662" s="1" t="n">
        <v>46133</v>
      </c>
      <c r="D662" t="inlineStr">
        <is>
          <t>NORRBOTTENS LÄN</t>
        </is>
      </c>
      <c r="E662" t="inlineStr">
        <is>
          <t>PAJALA</t>
        </is>
      </c>
      <c r="G662" t="n">
        <v>0.2</v>
      </c>
      <c r="H662" t="n">
        <v>0</v>
      </c>
      <c r="I662" t="n">
        <v>0</v>
      </c>
      <c r="J662" t="n">
        <v>0</v>
      </c>
      <c r="K662" t="n">
        <v>0</v>
      </c>
      <c r="L662" t="n">
        <v>0</v>
      </c>
      <c r="M662" t="n">
        <v>0</v>
      </c>
      <c r="N662" t="n">
        <v>0</v>
      </c>
      <c r="O662" t="n">
        <v>0</v>
      </c>
      <c r="P662" t="n">
        <v>0</v>
      </c>
      <c r="Q662" t="n">
        <v>0</v>
      </c>
      <c r="R662" s="2" t="inlineStr"/>
    </row>
    <row r="663" ht="15" customHeight="1">
      <c r="A663" t="inlineStr">
        <is>
          <t>A 14409-2023</t>
        </is>
      </c>
      <c r="B663" s="1" t="n">
        <v>45012.50460648148</v>
      </c>
      <c r="C663" s="1" t="n">
        <v>46133</v>
      </c>
      <c r="D663" t="inlineStr">
        <is>
          <t>NORRBOTTENS LÄN</t>
        </is>
      </c>
      <c r="E663" t="inlineStr">
        <is>
          <t>PAJALA</t>
        </is>
      </c>
      <c r="G663" t="n">
        <v>2.6</v>
      </c>
      <c r="H663" t="n">
        <v>0</v>
      </c>
      <c r="I663" t="n">
        <v>0</v>
      </c>
      <c r="J663" t="n">
        <v>0</v>
      </c>
      <c r="K663" t="n">
        <v>0</v>
      </c>
      <c r="L663" t="n">
        <v>0</v>
      </c>
      <c r="M663" t="n">
        <v>0</v>
      </c>
      <c r="N663" t="n">
        <v>0</v>
      </c>
      <c r="O663" t="n">
        <v>0</v>
      </c>
      <c r="P663" t="n">
        <v>0</v>
      </c>
      <c r="Q663" t="n">
        <v>0</v>
      </c>
      <c r="R663" s="2" t="inlineStr"/>
    </row>
    <row r="664" ht="15" customHeight="1">
      <c r="A664" t="inlineStr">
        <is>
          <t>A 8907-2023</t>
        </is>
      </c>
      <c r="B664" s="1" t="n">
        <v>44973</v>
      </c>
      <c r="C664" s="1" t="n">
        <v>46133</v>
      </c>
      <c r="D664" t="inlineStr">
        <is>
          <t>NORRBOTTENS LÄN</t>
        </is>
      </c>
      <c r="E664" t="inlineStr">
        <is>
          <t>PAJALA</t>
        </is>
      </c>
      <c r="G664" t="n">
        <v>2.6</v>
      </c>
      <c r="H664" t="n">
        <v>0</v>
      </c>
      <c r="I664" t="n">
        <v>0</v>
      </c>
      <c r="J664" t="n">
        <v>0</v>
      </c>
      <c r="K664" t="n">
        <v>0</v>
      </c>
      <c r="L664" t="n">
        <v>0</v>
      </c>
      <c r="M664" t="n">
        <v>0</v>
      </c>
      <c r="N664" t="n">
        <v>0</v>
      </c>
      <c r="O664" t="n">
        <v>0</v>
      </c>
      <c r="P664" t="n">
        <v>0</v>
      </c>
      <c r="Q664" t="n">
        <v>0</v>
      </c>
      <c r="R664" s="2" t="inlineStr"/>
    </row>
    <row r="665" ht="15" customHeight="1">
      <c r="A665" t="inlineStr">
        <is>
          <t>A 23166-2024</t>
        </is>
      </c>
      <c r="B665" s="1" t="n">
        <v>45450</v>
      </c>
      <c r="C665" s="1" t="n">
        <v>46133</v>
      </c>
      <c r="D665" t="inlineStr">
        <is>
          <t>NORRBOTTENS LÄN</t>
        </is>
      </c>
      <c r="E665" t="inlineStr">
        <is>
          <t>PAJALA</t>
        </is>
      </c>
      <c r="F665" t="inlineStr">
        <is>
          <t>Allmännings- och besparingsskogar</t>
        </is>
      </c>
      <c r="G665" t="n">
        <v>17</v>
      </c>
      <c r="H665" t="n">
        <v>0</v>
      </c>
      <c r="I665" t="n">
        <v>0</v>
      </c>
      <c r="J665" t="n">
        <v>0</v>
      </c>
      <c r="K665" t="n">
        <v>0</v>
      </c>
      <c r="L665" t="n">
        <v>0</v>
      </c>
      <c r="M665" t="n">
        <v>0</v>
      </c>
      <c r="N665" t="n">
        <v>0</v>
      </c>
      <c r="O665" t="n">
        <v>0</v>
      </c>
      <c r="P665" t="n">
        <v>0</v>
      </c>
      <c r="Q665" t="n">
        <v>0</v>
      </c>
      <c r="R665" s="2" t="inlineStr"/>
    </row>
    <row r="666" ht="15" customHeight="1">
      <c r="A666" t="inlineStr">
        <is>
          <t>A 19269-2022</t>
        </is>
      </c>
      <c r="B666" s="1" t="n">
        <v>44691</v>
      </c>
      <c r="C666" s="1" t="n">
        <v>46133</v>
      </c>
      <c r="D666" t="inlineStr">
        <is>
          <t>NORRBOTTENS LÄN</t>
        </is>
      </c>
      <c r="E666" t="inlineStr">
        <is>
          <t>PAJALA</t>
        </is>
      </c>
      <c r="G666" t="n">
        <v>21</v>
      </c>
      <c r="H666" t="n">
        <v>0</v>
      </c>
      <c r="I666" t="n">
        <v>0</v>
      </c>
      <c r="J666" t="n">
        <v>0</v>
      </c>
      <c r="K666" t="n">
        <v>0</v>
      </c>
      <c r="L666" t="n">
        <v>0</v>
      </c>
      <c r="M666" t="n">
        <v>0</v>
      </c>
      <c r="N666" t="n">
        <v>0</v>
      </c>
      <c r="O666" t="n">
        <v>0</v>
      </c>
      <c r="P666" t="n">
        <v>0</v>
      </c>
      <c r="Q666" t="n">
        <v>0</v>
      </c>
      <c r="R666" s="2" t="inlineStr"/>
    </row>
    <row r="667" ht="15" customHeight="1">
      <c r="A667" t="inlineStr">
        <is>
          <t>A 50304-2021</t>
        </is>
      </c>
      <c r="B667" s="1" t="n">
        <v>44455</v>
      </c>
      <c r="C667" s="1" t="n">
        <v>46133</v>
      </c>
      <c r="D667" t="inlineStr">
        <is>
          <t>NORRBOTTENS LÄN</t>
        </is>
      </c>
      <c r="E667" t="inlineStr">
        <is>
          <t>PAJALA</t>
        </is>
      </c>
      <c r="G667" t="n">
        <v>21.7</v>
      </c>
      <c r="H667" t="n">
        <v>0</v>
      </c>
      <c r="I667" t="n">
        <v>0</v>
      </c>
      <c r="J667" t="n">
        <v>0</v>
      </c>
      <c r="K667" t="n">
        <v>0</v>
      </c>
      <c r="L667" t="n">
        <v>0</v>
      </c>
      <c r="M667" t="n">
        <v>0</v>
      </c>
      <c r="N667" t="n">
        <v>0</v>
      </c>
      <c r="O667" t="n">
        <v>0</v>
      </c>
      <c r="P667" t="n">
        <v>0</v>
      </c>
      <c r="Q667" t="n">
        <v>0</v>
      </c>
      <c r="R667" s="2" t="inlineStr"/>
    </row>
    <row r="668" ht="15" customHeight="1">
      <c r="A668" t="inlineStr">
        <is>
          <t>A 40208-2024</t>
        </is>
      </c>
      <c r="B668" s="1" t="n">
        <v>45554.59304398148</v>
      </c>
      <c r="C668" s="1" t="n">
        <v>46133</v>
      </c>
      <c r="D668" t="inlineStr">
        <is>
          <t>NORRBOTTENS LÄN</t>
        </is>
      </c>
      <c r="E668" t="inlineStr">
        <is>
          <t>PAJALA</t>
        </is>
      </c>
      <c r="F668" t="inlineStr">
        <is>
          <t>Sveaskog</t>
        </is>
      </c>
      <c r="G668" t="n">
        <v>27.8</v>
      </c>
      <c r="H668" t="n">
        <v>0</v>
      </c>
      <c r="I668" t="n">
        <v>0</v>
      </c>
      <c r="J668" t="n">
        <v>0</v>
      </c>
      <c r="K668" t="n">
        <v>0</v>
      </c>
      <c r="L668" t="n">
        <v>0</v>
      </c>
      <c r="M668" t="n">
        <v>0</v>
      </c>
      <c r="N668" t="n">
        <v>0</v>
      </c>
      <c r="O668" t="n">
        <v>0</v>
      </c>
      <c r="P668" t="n">
        <v>0</v>
      </c>
      <c r="Q668" t="n">
        <v>0</v>
      </c>
      <c r="R668" s="2" t="inlineStr"/>
    </row>
    <row r="669" ht="15" customHeight="1">
      <c r="A669" t="inlineStr">
        <is>
          <t>A 54284-2021</t>
        </is>
      </c>
      <c r="B669" s="1" t="n">
        <v>44471</v>
      </c>
      <c r="C669" s="1" t="n">
        <v>46133</v>
      </c>
      <c r="D669" t="inlineStr">
        <is>
          <t>NORRBOTTENS LÄN</t>
        </is>
      </c>
      <c r="E669" t="inlineStr">
        <is>
          <t>PAJALA</t>
        </is>
      </c>
      <c r="G669" t="n">
        <v>1.5</v>
      </c>
      <c r="H669" t="n">
        <v>0</v>
      </c>
      <c r="I669" t="n">
        <v>0</v>
      </c>
      <c r="J669" t="n">
        <v>0</v>
      </c>
      <c r="K669" t="n">
        <v>0</v>
      </c>
      <c r="L669" t="n">
        <v>0</v>
      </c>
      <c r="M669" t="n">
        <v>0</v>
      </c>
      <c r="N669" t="n">
        <v>0</v>
      </c>
      <c r="O669" t="n">
        <v>0</v>
      </c>
      <c r="P669" t="n">
        <v>0</v>
      </c>
      <c r="Q669" t="n">
        <v>0</v>
      </c>
      <c r="R669" s="2" t="inlineStr"/>
    </row>
    <row r="670" ht="15" customHeight="1">
      <c r="A670" t="inlineStr">
        <is>
          <t>A 9585-2024</t>
        </is>
      </c>
      <c r="B670" s="1" t="n">
        <v>45360.62126157407</v>
      </c>
      <c r="C670" s="1" t="n">
        <v>46133</v>
      </c>
      <c r="D670" t="inlineStr">
        <is>
          <t>NORRBOTTENS LÄN</t>
        </is>
      </c>
      <c r="E670" t="inlineStr">
        <is>
          <t>PAJALA</t>
        </is>
      </c>
      <c r="G670" t="n">
        <v>6.9</v>
      </c>
      <c r="H670" t="n">
        <v>0</v>
      </c>
      <c r="I670" t="n">
        <v>0</v>
      </c>
      <c r="J670" t="n">
        <v>0</v>
      </c>
      <c r="K670" t="n">
        <v>0</v>
      </c>
      <c r="L670" t="n">
        <v>0</v>
      </c>
      <c r="M670" t="n">
        <v>0</v>
      </c>
      <c r="N670" t="n">
        <v>0</v>
      </c>
      <c r="O670" t="n">
        <v>0</v>
      </c>
      <c r="P670" t="n">
        <v>0</v>
      </c>
      <c r="Q670" t="n">
        <v>0</v>
      </c>
      <c r="R670" s="2" t="inlineStr"/>
    </row>
    <row r="671" ht="15" customHeight="1">
      <c r="A671" t="inlineStr">
        <is>
          <t>A 39894-2021</t>
        </is>
      </c>
      <c r="B671" s="1" t="n">
        <v>44417</v>
      </c>
      <c r="C671" s="1" t="n">
        <v>46133</v>
      </c>
      <c r="D671" t="inlineStr">
        <is>
          <t>NORRBOTTENS LÄN</t>
        </is>
      </c>
      <c r="E671" t="inlineStr">
        <is>
          <t>PAJALA</t>
        </is>
      </c>
      <c r="G671" t="n">
        <v>0.6</v>
      </c>
      <c r="H671" t="n">
        <v>0</v>
      </c>
      <c r="I671" t="n">
        <v>0</v>
      </c>
      <c r="J671" t="n">
        <v>0</v>
      </c>
      <c r="K671" t="n">
        <v>0</v>
      </c>
      <c r="L671" t="n">
        <v>0</v>
      </c>
      <c r="M671" t="n">
        <v>0</v>
      </c>
      <c r="N671" t="n">
        <v>0</v>
      </c>
      <c r="O671" t="n">
        <v>0</v>
      </c>
      <c r="P671" t="n">
        <v>0</v>
      </c>
      <c r="Q671" t="n">
        <v>0</v>
      </c>
      <c r="R671" s="2" t="inlineStr"/>
    </row>
    <row r="672" ht="15" customHeight="1">
      <c r="A672" t="inlineStr">
        <is>
          <t>A 39899-2021</t>
        </is>
      </c>
      <c r="B672" s="1" t="n">
        <v>44417</v>
      </c>
      <c r="C672" s="1" t="n">
        <v>46133</v>
      </c>
      <c r="D672" t="inlineStr">
        <is>
          <t>NORRBOTTENS LÄN</t>
        </is>
      </c>
      <c r="E672" t="inlineStr">
        <is>
          <t>PAJALA</t>
        </is>
      </c>
      <c r="G672" t="n">
        <v>6</v>
      </c>
      <c r="H672" t="n">
        <v>0</v>
      </c>
      <c r="I672" t="n">
        <v>0</v>
      </c>
      <c r="J672" t="n">
        <v>0</v>
      </c>
      <c r="K672" t="n">
        <v>0</v>
      </c>
      <c r="L672" t="n">
        <v>0</v>
      </c>
      <c r="M672" t="n">
        <v>0</v>
      </c>
      <c r="N672" t="n">
        <v>0</v>
      </c>
      <c r="O672" t="n">
        <v>0</v>
      </c>
      <c r="P672" t="n">
        <v>0</v>
      </c>
      <c r="Q672" t="n">
        <v>0</v>
      </c>
      <c r="R672" s="2" t="inlineStr"/>
    </row>
    <row r="673" ht="15" customHeight="1">
      <c r="A673" t="inlineStr">
        <is>
          <t>A 39905-2021</t>
        </is>
      </c>
      <c r="B673" s="1" t="n">
        <v>44417</v>
      </c>
      <c r="C673" s="1" t="n">
        <v>46133</v>
      </c>
      <c r="D673" t="inlineStr">
        <is>
          <t>NORRBOTTENS LÄN</t>
        </is>
      </c>
      <c r="E673" t="inlineStr">
        <is>
          <t>PAJALA</t>
        </is>
      </c>
      <c r="G673" t="n">
        <v>3.3</v>
      </c>
      <c r="H673" t="n">
        <v>0</v>
      </c>
      <c r="I673" t="n">
        <v>0</v>
      </c>
      <c r="J673" t="n">
        <v>0</v>
      </c>
      <c r="K673" t="n">
        <v>0</v>
      </c>
      <c r="L673" t="n">
        <v>0</v>
      </c>
      <c r="M673" t="n">
        <v>0</v>
      </c>
      <c r="N673" t="n">
        <v>0</v>
      </c>
      <c r="O673" t="n">
        <v>0</v>
      </c>
      <c r="P673" t="n">
        <v>0</v>
      </c>
      <c r="Q673" t="n">
        <v>0</v>
      </c>
      <c r="R673" s="2" t="inlineStr"/>
    </row>
    <row r="674" ht="15" customHeight="1">
      <c r="A674" t="inlineStr">
        <is>
          <t>A 39907-2021</t>
        </is>
      </c>
      <c r="B674" s="1" t="n">
        <v>44417</v>
      </c>
      <c r="C674" s="1" t="n">
        <v>46133</v>
      </c>
      <c r="D674" t="inlineStr">
        <is>
          <t>NORRBOTTENS LÄN</t>
        </is>
      </c>
      <c r="E674" t="inlineStr">
        <is>
          <t>PAJALA</t>
        </is>
      </c>
      <c r="G674" t="n">
        <v>20.5</v>
      </c>
      <c r="H674" t="n">
        <v>0</v>
      </c>
      <c r="I674" t="n">
        <v>0</v>
      </c>
      <c r="J674" t="n">
        <v>0</v>
      </c>
      <c r="K674" t="n">
        <v>0</v>
      </c>
      <c r="L674" t="n">
        <v>0</v>
      </c>
      <c r="M674" t="n">
        <v>0</v>
      </c>
      <c r="N674" t="n">
        <v>0</v>
      </c>
      <c r="O674" t="n">
        <v>0</v>
      </c>
      <c r="P674" t="n">
        <v>0</v>
      </c>
      <c r="Q674" t="n">
        <v>0</v>
      </c>
      <c r="R674" s="2" t="inlineStr"/>
    </row>
    <row r="675" ht="15" customHeight="1">
      <c r="A675" t="inlineStr">
        <is>
          <t>A 1078-2025</t>
        </is>
      </c>
      <c r="B675" s="1" t="n">
        <v>45665</v>
      </c>
      <c r="C675" s="1" t="n">
        <v>46133</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1730-2024</t>
        </is>
      </c>
      <c r="B676" s="1" t="n">
        <v>45307.43209490741</v>
      </c>
      <c r="C676" s="1" t="n">
        <v>46133</v>
      </c>
      <c r="D676" t="inlineStr">
        <is>
          <t>NORRBOTTENS LÄN</t>
        </is>
      </c>
      <c r="E676" t="inlineStr">
        <is>
          <t>PAJALA</t>
        </is>
      </c>
      <c r="G676" t="n">
        <v>6.4</v>
      </c>
      <c r="H676" t="n">
        <v>0</v>
      </c>
      <c r="I676" t="n">
        <v>0</v>
      </c>
      <c r="J676" t="n">
        <v>0</v>
      </c>
      <c r="K676" t="n">
        <v>0</v>
      </c>
      <c r="L676" t="n">
        <v>0</v>
      </c>
      <c r="M676" t="n">
        <v>0</v>
      </c>
      <c r="N676" t="n">
        <v>0</v>
      </c>
      <c r="O676" t="n">
        <v>0</v>
      </c>
      <c r="P676" t="n">
        <v>0</v>
      </c>
      <c r="Q676" t="n">
        <v>0</v>
      </c>
      <c r="R676" s="2" t="inlineStr"/>
    </row>
    <row r="677" ht="15" customHeight="1">
      <c r="A677" t="inlineStr">
        <is>
          <t>A 58609-2022</t>
        </is>
      </c>
      <c r="B677" s="1" t="n">
        <v>44895</v>
      </c>
      <c r="C677" s="1" t="n">
        <v>46133</v>
      </c>
      <c r="D677" t="inlineStr">
        <is>
          <t>NORRBOTTENS LÄN</t>
        </is>
      </c>
      <c r="E677" t="inlineStr">
        <is>
          <t>PAJALA</t>
        </is>
      </c>
      <c r="G677" t="n">
        <v>2</v>
      </c>
      <c r="H677" t="n">
        <v>0</v>
      </c>
      <c r="I677" t="n">
        <v>0</v>
      </c>
      <c r="J677" t="n">
        <v>0</v>
      </c>
      <c r="K677" t="n">
        <v>0</v>
      </c>
      <c r="L677" t="n">
        <v>0</v>
      </c>
      <c r="M677" t="n">
        <v>0</v>
      </c>
      <c r="N677" t="n">
        <v>0</v>
      </c>
      <c r="O677" t="n">
        <v>0</v>
      </c>
      <c r="P677" t="n">
        <v>0</v>
      </c>
      <c r="Q677" t="n">
        <v>0</v>
      </c>
      <c r="R677" s="2" t="inlineStr"/>
    </row>
    <row r="678" ht="15" customHeight="1">
      <c r="A678" t="inlineStr">
        <is>
          <t>A 57945-2023</t>
        </is>
      </c>
      <c r="B678" s="1" t="n">
        <v>45247</v>
      </c>
      <c r="C678" s="1" t="n">
        <v>46133</v>
      </c>
      <c r="D678" t="inlineStr">
        <is>
          <t>NORRBOTTENS LÄN</t>
        </is>
      </c>
      <c r="E678" t="inlineStr">
        <is>
          <t>PAJALA</t>
        </is>
      </c>
      <c r="G678" t="n">
        <v>17.3</v>
      </c>
      <c r="H678" t="n">
        <v>0</v>
      </c>
      <c r="I678" t="n">
        <v>0</v>
      </c>
      <c r="J678" t="n">
        <v>0</v>
      </c>
      <c r="K678" t="n">
        <v>0</v>
      </c>
      <c r="L678" t="n">
        <v>0</v>
      </c>
      <c r="M678" t="n">
        <v>0</v>
      </c>
      <c r="N678" t="n">
        <v>0</v>
      </c>
      <c r="O678" t="n">
        <v>0</v>
      </c>
      <c r="P678" t="n">
        <v>0</v>
      </c>
      <c r="Q678" t="n">
        <v>0</v>
      </c>
      <c r="R678" s="2" t="inlineStr"/>
    </row>
    <row r="679" ht="15" customHeight="1">
      <c r="A679" t="inlineStr">
        <is>
          <t>A 47701-2022</t>
        </is>
      </c>
      <c r="B679" s="1" t="n">
        <v>44854</v>
      </c>
      <c r="C679" s="1" t="n">
        <v>46133</v>
      </c>
      <c r="D679" t="inlineStr">
        <is>
          <t>NORRBOTTENS LÄN</t>
        </is>
      </c>
      <c r="E679" t="inlineStr">
        <is>
          <t>PAJALA</t>
        </is>
      </c>
      <c r="F679" t="inlineStr">
        <is>
          <t>Sveaskog</t>
        </is>
      </c>
      <c r="G679" t="n">
        <v>4.3</v>
      </c>
      <c r="H679" t="n">
        <v>0</v>
      </c>
      <c r="I679" t="n">
        <v>0</v>
      </c>
      <c r="J679" t="n">
        <v>0</v>
      </c>
      <c r="K679" t="n">
        <v>0</v>
      </c>
      <c r="L679" t="n">
        <v>0</v>
      </c>
      <c r="M679" t="n">
        <v>0</v>
      </c>
      <c r="N679" t="n">
        <v>0</v>
      </c>
      <c r="O679" t="n">
        <v>0</v>
      </c>
      <c r="P679" t="n">
        <v>0</v>
      </c>
      <c r="Q679" t="n">
        <v>0</v>
      </c>
      <c r="R679" s="2" t="inlineStr"/>
    </row>
    <row r="680" ht="15" customHeight="1">
      <c r="A680" t="inlineStr">
        <is>
          <t>A 47703-2022</t>
        </is>
      </c>
      <c r="B680" s="1" t="n">
        <v>44854</v>
      </c>
      <c r="C680" s="1" t="n">
        <v>46133</v>
      </c>
      <c r="D680" t="inlineStr">
        <is>
          <t>NORRBOTTENS LÄN</t>
        </is>
      </c>
      <c r="E680" t="inlineStr">
        <is>
          <t>PAJALA</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53227-2024</t>
        </is>
      </c>
      <c r="B681" s="1" t="n">
        <v>45613</v>
      </c>
      <c r="C681" s="1" t="n">
        <v>46133</v>
      </c>
      <c r="D681" t="inlineStr">
        <is>
          <t>NORRBOTTENS LÄN</t>
        </is>
      </c>
      <c r="E681" t="inlineStr">
        <is>
          <t>PAJALA</t>
        </is>
      </c>
      <c r="G681" t="n">
        <v>44.3</v>
      </c>
      <c r="H681" t="n">
        <v>0</v>
      </c>
      <c r="I681" t="n">
        <v>0</v>
      </c>
      <c r="J681" t="n">
        <v>0</v>
      </c>
      <c r="K681" t="n">
        <v>0</v>
      </c>
      <c r="L681" t="n">
        <v>0</v>
      </c>
      <c r="M681" t="n">
        <v>0</v>
      </c>
      <c r="N681" t="n">
        <v>0</v>
      </c>
      <c r="O681" t="n">
        <v>0</v>
      </c>
      <c r="P681" t="n">
        <v>0</v>
      </c>
      <c r="Q681" t="n">
        <v>0</v>
      </c>
      <c r="R681" s="2" t="inlineStr"/>
    </row>
    <row r="682" ht="15" customHeight="1">
      <c r="A682" t="inlineStr">
        <is>
          <t>A 2647-2023</t>
        </is>
      </c>
      <c r="B682" s="1" t="n">
        <v>44944</v>
      </c>
      <c r="C682" s="1" t="n">
        <v>46133</v>
      </c>
      <c r="D682" t="inlineStr">
        <is>
          <t>NORRBOTTENS LÄN</t>
        </is>
      </c>
      <c r="E682" t="inlineStr">
        <is>
          <t>PAJALA</t>
        </is>
      </c>
      <c r="G682" t="n">
        <v>18.4</v>
      </c>
      <c r="H682" t="n">
        <v>0</v>
      </c>
      <c r="I682" t="n">
        <v>0</v>
      </c>
      <c r="J682" t="n">
        <v>0</v>
      </c>
      <c r="K682" t="n">
        <v>0</v>
      </c>
      <c r="L682" t="n">
        <v>0</v>
      </c>
      <c r="M682" t="n">
        <v>0</v>
      </c>
      <c r="N682" t="n">
        <v>0</v>
      </c>
      <c r="O682" t="n">
        <v>0</v>
      </c>
      <c r="P682" t="n">
        <v>0</v>
      </c>
      <c r="Q682" t="n">
        <v>0</v>
      </c>
      <c r="R682" s="2" t="inlineStr"/>
    </row>
    <row r="683" ht="15" customHeight="1">
      <c r="A683" t="inlineStr">
        <is>
          <t>A 31326-2023</t>
        </is>
      </c>
      <c r="B683" s="1" t="n">
        <v>45114</v>
      </c>
      <c r="C683" s="1" t="n">
        <v>46133</v>
      </c>
      <c r="D683" t="inlineStr">
        <is>
          <t>NORRBOTTENS LÄN</t>
        </is>
      </c>
      <c r="E683" t="inlineStr">
        <is>
          <t>PAJALA</t>
        </is>
      </c>
      <c r="G683" t="n">
        <v>3.4</v>
      </c>
      <c r="H683" t="n">
        <v>0</v>
      </c>
      <c r="I683" t="n">
        <v>0</v>
      </c>
      <c r="J683" t="n">
        <v>0</v>
      </c>
      <c r="K683" t="n">
        <v>0</v>
      </c>
      <c r="L683" t="n">
        <v>0</v>
      </c>
      <c r="M683" t="n">
        <v>0</v>
      </c>
      <c r="N683" t="n">
        <v>0</v>
      </c>
      <c r="O683" t="n">
        <v>0</v>
      </c>
      <c r="P683" t="n">
        <v>0</v>
      </c>
      <c r="Q683" t="n">
        <v>0</v>
      </c>
      <c r="R683" s="2" t="inlineStr"/>
    </row>
    <row r="684" ht="15" customHeight="1">
      <c r="A684" t="inlineStr">
        <is>
          <t>A 47207-2024</t>
        </is>
      </c>
      <c r="B684" s="1" t="n">
        <v>45586.63935185185</v>
      </c>
      <c r="C684" s="1" t="n">
        <v>46133</v>
      </c>
      <c r="D684" t="inlineStr">
        <is>
          <t>NORRBOTTENS LÄN</t>
        </is>
      </c>
      <c r="E684" t="inlineStr">
        <is>
          <t>PAJALA</t>
        </is>
      </c>
      <c r="G684" t="n">
        <v>6.4</v>
      </c>
      <c r="H684" t="n">
        <v>0</v>
      </c>
      <c r="I684" t="n">
        <v>0</v>
      </c>
      <c r="J684" t="n">
        <v>0</v>
      </c>
      <c r="K684" t="n">
        <v>0</v>
      </c>
      <c r="L684" t="n">
        <v>0</v>
      </c>
      <c r="M684" t="n">
        <v>0</v>
      </c>
      <c r="N684" t="n">
        <v>0</v>
      </c>
      <c r="O684" t="n">
        <v>0</v>
      </c>
      <c r="P684" t="n">
        <v>0</v>
      </c>
      <c r="Q684" t="n">
        <v>0</v>
      </c>
      <c r="R684" s="2" t="inlineStr"/>
    </row>
    <row r="685" ht="15" customHeight="1">
      <c r="A685" t="inlineStr">
        <is>
          <t>A 49830-2023</t>
        </is>
      </c>
      <c r="B685" s="1" t="n">
        <v>45212.71053240741</v>
      </c>
      <c r="C685" s="1" t="n">
        <v>46133</v>
      </c>
      <c r="D685" t="inlineStr">
        <is>
          <t>NORRBOTTENS LÄN</t>
        </is>
      </c>
      <c r="E685" t="inlineStr">
        <is>
          <t>PAJALA</t>
        </is>
      </c>
      <c r="G685" t="n">
        <v>1.4</v>
      </c>
      <c r="H685" t="n">
        <v>0</v>
      </c>
      <c r="I685" t="n">
        <v>0</v>
      </c>
      <c r="J685" t="n">
        <v>0</v>
      </c>
      <c r="K685" t="n">
        <v>0</v>
      </c>
      <c r="L685" t="n">
        <v>0</v>
      </c>
      <c r="M685" t="n">
        <v>0</v>
      </c>
      <c r="N685" t="n">
        <v>0</v>
      </c>
      <c r="O685" t="n">
        <v>0</v>
      </c>
      <c r="P685" t="n">
        <v>0</v>
      </c>
      <c r="Q685" t="n">
        <v>0</v>
      </c>
      <c r="R685" s="2" t="inlineStr"/>
    </row>
    <row r="686" ht="15" customHeight="1">
      <c r="A686" t="inlineStr">
        <is>
          <t>A 16474-2024</t>
        </is>
      </c>
      <c r="B686" s="1" t="n">
        <v>45408.05193287037</v>
      </c>
      <c r="C686" s="1" t="n">
        <v>46133</v>
      </c>
      <c r="D686" t="inlineStr">
        <is>
          <t>NORRBOTTENS LÄN</t>
        </is>
      </c>
      <c r="E686" t="inlineStr">
        <is>
          <t>PAJALA</t>
        </is>
      </c>
      <c r="F686" t="inlineStr">
        <is>
          <t>SCA</t>
        </is>
      </c>
      <c r="G686" t="n">
        <v>30.1</v>
      </c>
      <c r="H686" t="n">
        <v>0</v>
      </c>
      <c r="I686" t="n">
        <v>0</v>
      </c>
      <c r="J686" t="n">
        <v>0</v>
      </c>
      <c r="K686" t="n">
        <v>0</v>
      </c>
      <c r="L686" t="n">
        <v>0</v>
      </c>
      <c r="M686" t="n">
        <v>0</v>
      </c>
      <c r="N686" t="n">
        <v>0</v>
      </c>
      <c r="O686" t="n">
        <v>0</v>
      </c>
      <c r="P686" t="n">
        <v>0</v>
      </c>
      <c r="Q686" t="n">
        <v>0</v>
      </c>
      <c r="R686" s="2" t="inlineStr"/>
    </row>
    <row r="687" ht="15" customHeight="1">
      <c r="A687" t="inlineStr">
        <is>
          <t>A 48914-2023</t>
        </is>
      </c>
      <c r="B687" s="1" t="n">
        <v>45204</v>
      </c>
      <c r="C687" s="1" t="n">
        <v>46133</v>
      </c>
      <c r="D687" t="inlineStr">
        <is>
          <t>NORRBOTTENS LÄN</t>
        </is>
      </c>
      <c r="E687" t="inlineStr">
        <is>
          <t>PAJALA</t>
        </is>
      </c>
      <c r="G687" t="n">
        <v>1.5</v>
      </c>
      <c r="H687" t="n">
        <v>0</v>
      </c>
      <c r="I687" t="n">
        <v>0</v>
      </c>
      <c r="J687" t="n">
        <v>0</v>
      </c>
      <c r="K687" t="n">
        <v>0</v>
      </c>
      <c r="L687" t="n">
        <v>0</v>
      </c>
      <c r="M687" t="n">
        <v>0</v>
      </c>
      <c r="N687" t="n">
        <v>0</v>
      </c>
      <c r="O687" t="n">
        <v>0</v>
      </c>
      <c r="P687" t="n">
        <v>0</v>
      </c>
      <c r="Q687" t="n">
        <v>0</v>
      </c>
      <c r="R687" s="2" t="inlineStr"/>
    </row>
    <row r="688" ht="15" customHeight="1">
      <c r="A688" t="inlineStr">
        <is>
          <t>A 29804-2024</t>
        </is>
      </c>
      <c r="B688" s="1" t="n">
        <v>45485.52054398148</v>
      </c>
      <c r="C688" s="1" t="n">
        <v>46133</v>
      </c>
      <c r="D688" t="inlineStr">
        <is>
          <t>NORRBOTTENS LÄN</t>
        </is>
      </c>
      <c r="E688" t="inlineStr">
        <is>
          <t>PAJALA</t>
        </is>
      </c>
      <c r="F688" t="inlineStr">
        <is>
          <t>Sveaskog</t>
        </is>
      </c>
      <c r="G688" t="n">
        <v>3.9</v>
      </c>
      <c r="H688" t="n">
        <v>0</v>
      </c>
      <c r="I688" t="n">
        <v>0</v>
      </c>
      <c r="J688" t="n">
        <v>0</v>
      </c>
      <c r="K688" t="n">
        <v>0</v>
      </c>
      <c r="L688" t="n">
        <v>0</v>
      </c>
      <c r="M688" t="n">
        <v>0</v>
      </c>
      <c r="N688" t="n">
        <v>0</v>
      </c>
      <c r="O688" t="n">
        <v>0</v>
      </c>
      <c r="P688" t="n">
        <v>0</v>
      </c>
      <c r="Q688" t="n">
        <v>0</v>
      </c>
      <c r="R688" s="2" t="inlineStr"/>
    </row>
    <row r="689" ht="15" customHeight="1">
      <c r="A689" t="inlineStr">
        <is>
          <t>A 12881-2024</t>
        </is>
      </c>
      <c r="B689" s="1" t="n">
        <v>45385.33399305555</v>
      </c>
      <c r="C689" s="1" t="n">
        <v>46133</v>
      </c>
      <c r="D689" t="inlineStr">
        <is>
          <t>NORRBOTTENS LÄN</t>
        </is>
      </c>
      <c r="E689" t="inlineStr">
        <is>
          <t>PAJALA</t>
        </is>
      </c>
      <c r="G689" t="n">
        <v>0.8</v>
      </c>
      <c r="H689" t="n">
        <v>0</v>
      </c>
      <c r="I689" t="n">
        <v>0</v>
      </c>
      <c r="J689" t="n">
        <v>0</v>
      </c>
      <c r="K689" t="n">
        <v>0</v>
      </c>
      <c r="L689" t="n">
        <v>0</v>
      </c>
      <c r="M689" t="n">
        <v>0</v>
      </c>
      <c r="N689" t="n">
        <v>0</v>
      </c>
      <c r="O689" t="n">
        <v>0</v>
      </c>
      <c r="P689" t="n">
        <v>0</v>
      </c>
      <c r="Q689" t="n">
        <v>0</v>
      </c>
      <c r="R689" s="2" t="inlineStr"/>
    </row>
    <row r="690" ht="15" customHeight="1">
      <c r="A690" t="inlineStr">
        <is>
          <t>A 32519-2023</t>
        </is>
      </c>
      <c r="B690" s="1" t="n">
        <v>45121.36568287037</v>
      </c>
      <c r="C690" s="1" t="n">
        <v>46133</v>
      </c>
      <c r="D690" t="inlineStr">
        <is>
          <t>NORRBOTTENS LÄN</t>
        </is>
      </c>
      <c r="E690" t="inlineStr">
        <is>
          <t>PAJALA</t>
        </is>
      </c>
      <c r="G690" t="n">
        <v>2.9</v>
      </c>
      <c r="H690" t="n">
        <v>0</v>
      </c>
      <c r="I690" t="n">
        <v>0</v>
      </c>
      <c r="J690" t="n">
        <v>0</v>
      </c>
      <c r="K690" t="n">
        <v>0</v>
      </c>
      <c r="L690" t="n">
        <v>0</v>
      </c>
      <c r="M690" t="n">
        <v>0</v>
      </c>
      <c r="N690" t="n">
        <v>0</v>
      </c>
      <c r="O690" t="n">
        <v>0</v>
      </c>
      <c r="P690" t="n">
        <v>0</v>
      </c>
      <c r="Q690" t="n">
        <v>0</v>
      </c>
      <c r="R690" s="2" t="inlineStr"/>
    </row>
    <row r="691" ht="15" customHeight="1">
      <c r="A691" t="inlineStr">
        <is>
          <t>A 30355-2024</t>
        </is>
      </c>
      <c r="B691" s="1" t="n">
        <v>45490.96008101852</v>
      </c>
      <c r="C691" s="1" t="n">
        <v>46133</v>
      </c>
      <c r="D691" t="inlineStr">
        <is>
          <t>NORRBOTTENS LÄN</t>
        </is>
      </c>
      <c r="E691" t="inlineStr">
        <is>
          <t>PAJALA</t>
        </is>
      </c>
      <c r="G691" t="n">
        <v>24.6</v>
      </c>
      <c r="H691" t="n">
        <v>0</v>
      </c>
      <c r="I691" t="n">
        <v>0</v>
      </c>
      <c r="J691" t="n">
        <v>0</v>
      </c>
      <c r="K691" t="n">
        <v>0</v>
      </c>
      <c r="L691" t="n">
        <v>0</v>
      </c>
      <c r="M691" t="n">
        <v>0</v>
      </c>
      <c r="N691" t="n">
        <v>0</v>
      </c>
      <c r="O691" t="n">
        <v>0</v>
      </c>
      <c r="P691" t="n">
        <v>0</v>
      </c>
      <c r="Q691" t="n">
        <v>0</v>
      </c>
      <c r="R691" s="2" t="inlineStr"/>
    </row>
    <row r="692" ht="15" customHeight="1">
      <c r="A692" t="inlineStr">
        <is>
          <t>A 36391-2023</t>
        </is>
      </c>
      <c r="B692" s="1" t="n">
        <v>45152</v>
      </c>
      <c r="C692" s="1" t="n">
        <v>46133</v>
      </c>
      <c r="D692" t="inlineStr">
        <is>
          <t>NORRBOTTENS LÄN</t>
        </is>
      </c>
      <c r="E692" t="inlineStr">
        <is>
          <t>PAJALA</t>
        </is>
      </c>
      <c r="G692" t="n">
        <v>10.5</v>
      </c>
      <c r="H692" t="n">
        <v>0</v>
      </c>
      <c r="I692" t="n">
        <v>0</v>
      </c>
      <c r="J692" t="n">
        <v>0</v>
      </c>
      <c r="K692" t="n">
        <v>0</v>
      </c>
      <c r="L692" t="n">
        <v>0</v>
      </c>
      <c r="M692" t="n">
        <v>0</v>
      </c>
      <c r="N692" t="n">
        <v>0</v>
      </c>
      <c r="O692" t="n">
        <v>0</v>
      </c>
      <c r="P692" t="n">
        <v>0</v>
      </c>
      <c r="Q692" t="n">
        <v>0</v>
      </c>
      <c r="R692" s="2" t="inlineStr"/>
    </row>
    <row r="693" ht="15" customHeight="1">
      <c r="A693" t="inlineStr">
        <is>
          <t>A 9700-2024</t>
        </is>
      </c>
      <c r="B693" s="1" t="n">
        <v>45362</v>
      </c>
      <c r="C693" s="1" t="n">
        <v>46133</v>
      </c>
      <c r="D693" t="inlineStr">
        <is>
          <t>NORRBOTTENS LÄN</t>
        </is>
      </c>
      <c r="E693" t="inlineStr">
        <is>
          <t>PAJALA</t>
        </is>
      </c>
      <c r="G693" t="n">
        <v>3.1</v>
      </c>
      <c r="H693" t="n">
        <v>0</v>
      </c>
      <c r="I693" t="n">
        <v>0</v>
      </c>
      <c r="J693" t="n">
        <v>0</v>
      </c>
      <c r="K693" t="n">
        <v>0</v>
      </c>
      <c r="L693" t="n">
        <v>0</v>
      </c>
      <c r="M693" t="n">
        <v>0</v>
      </c>
      <c r="N693" t="n">
        <v>0</v>
      </c>
      <c r="O693" t="n">
        <v>0</v>
      </c>
      <c r="P693" t="n">
        <v>0</v>
      </c>
      <c r="Q693" t="n">
        <v>0</v>
      </c>
      <c r="R693" s="2" t="inlineStr"/>
    </row>
    <row r="694" ht="15" customHeight="1">
      <c r="A694" t="inlineStr">
        <is>
          <t>A 42886-2024</t>
        </is>
      </c>
      <c r="B694" s="1" t="n">
        <v>45566</v>
      </c>
      <c r="C694" s="1" t="n">
        <v>46133</v>
      </c>
      <c r="D694" t="inlineStr">
        <is>
          <t>NORRBOTTENS LÄN</t>
        </is>
      </c>
      <c r="E694" t="inlineStr">
        <is>
          <t>PAJALA</t>
        </is>
      </c>
      <c r="G694" t="n">
        <v>26.7</v>
      </c>
      <c r="H694" t="n">
        <v>0</v>
      </c>
      <c r="I694" t="n">
        <v>0</v>
      </c>
      <c r="J694" t="n">
        <v>0</v>
      </c>
      <c r="K694" t="n">
        <v>0</v>
      </c>
      <c r="L694" t="n">
        <v>0</v>
      </c>
      <c r="M694" t="n">
        <v>0</v>
      </c>
      <c r="N694" t="n">
        <v>0</v>
      </c>
      <c r="O694" t="n">
        <v>0</v>
      </c>
      <c r="P694" t="n">
        <v>0</v>
      </c>
      <c r="Q694" t="n">
        <v>0</v>
      </c>
      <c r="R694" s="2" t="inlineStr"/>
    </row>
    <row r="695" ht="15" customHeight="1">
      <c r="A695" t="inlineStr">
        <is>
          <t>A 12682-2022</t>
        </is>
      </c>
      <c r="B695" s="1" t="n">
        <v>44641</v>
      </c>
      <c r="C695" s="1" t="n">
        <v>46133</v>
      </c>
      <c r="D695" t="inlineStr">
        <is>
          <t>NORRBOTTENS LÄN</t>
        </is>
      </c>
      <c r="E695" t="inlineStr">
        <is>
          <t>PAJALA</t>
        </is>
      </c>
      <c r="G695" t="n">
        <v>6.6</v>
      </c>
      <c r="H695" t="n">
        <v>0</v>
      </c>
      <c r="I695" t="n">
        <v>0</v>
      </c>
      <c r="J695" t="n">
        <v>0</v>
      </c>
      <c r="K695" t="n">
        <v>0</v>
      </c>
      <c r="L695" t="n">
        <v>0</v>
      </c>
      <c r="M695" t="n">
        <v>0</v>
      </c>
      <c r="N695" t="n">
        <v>0</v>
      </c>
      <c r="O695" t="n">
        <v>0</v>
      </c>
      <c r="P695" t="n">
        <v>0</v>
      </c>
      <c r="Q695" t="n">
        <v>0</v>
      </c>
      <c r="R695" s="2" t="inlineStr"/>
    </row>
    <row r="696" ht="15" customHeight="1">
      <c r="A696" t="inlineStr">
        <is>
          <t>A 16447-2024</t>
        </is>
      </c>
      <c r="B696" s="1" t="n">
        <v>45407.96989583333</v>
      </c>
      <c r="C696" s="1" t="n">
        <v>46133</v>
      </c>
      <c r="D696" t="inlineStr">
        <is>
          <t>NORRBOTTENS LÄN</t>
        </is>
      </c>
      <c r="E696" t="inlineStr">
        <is>
          <t>PAJALA</t>
        </is>
      </c>
      <c r="G696" t="n">
        <v>1</v>
      </c>
      <c r="H696" t="n">
        <v>0</v>
      </c>
      <c r="I696" t="n">
        <v>0</v>
      </c>
      <c r="J696" t="n">
        <v>0</v>
      </c>
      <c r="K696" t="n">
        <v>0</v>
      </c>
      <c r="L696" t="n">
        <v>0</v>
      </c>
      <c r="M696" t="n">
        <v>0</v>
      </c>
      <c r="N696" t="n">
        <v>0</v>
      </c>
      <c r="O696" t="n">
        <v>0</v>
      </c>
      <c r="P696" t="n">
        <v>0</v>
      </c>
      <c r="Q696" t="n">
        <v>0</v>
      </c>
      <c r="R696" s="2" t="inlineStr"/>
    </row>
    <row r="697" ht="15" customHeight="1">
      <c r="A697" t="inlineStr">
        <is>
          <t>A 16448-2024</t>
        </is>
      </c>
      <c r="B697" s="1" t="n">
        <v>45407.97009259259</v>
      </c>
      <c r="C697" s="1" t="n">
        <v>46133</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9031-2022</t>
        </is>
      </c>
      <c r="B698" s="1" t="n">
        <v>44615</v>
      </c>
      <c r="C698" s="1" t="n">
        <v>46133</v>
      </c>
      <c r="D698" t="inlineStr">
        <is>
          <t>NORRBOTTENS LÄN</t>
        </is>
      </c>
      <c r="E698" t="inlineStr">
        <is>
          <t>PAJALA</t>
        </is>
      </c>
      <c r="G698" t="n">
        <v>1.7</v>
      </c>
      <c r="H698" t="n">
        <v>0</v>
      </c>
      <c r="I698" t="n">
        <v>0</v>
      </c>
      <c r="J698" t="n">
        <v>0</v>
      </c>
      <c r="K698" t="n">
        <v>0</v>
      </c>
      <c r="L698" t="n">
        <v>0</v>
      </c>
      <c r="M698" t="n">
        <v>0</v>
      </c>
      <c r="N698" t="n">
        <v>0</v>
      </c>
      <c r="O698" t="n">
        <v>0</v>
      </c>
      <c r="P698" t="n">
        <v>0</v>
      </c>
      <c r="Q698" t="n">
        <v>0</v>
      </c>
      <c r="R698" s="2" t="inlineStr"/>
    </row>
    <row r="699" ht="15" customHeight="1">
      <c r="A699" t="inlineStr">
        <is>
          <t>A 684-2022</t>
        </is>
      </c>
      <c r="B699" s="1" t="n">
        <v>44568</v>
      </c>
      <c r="C699" s="1" t="n">
        <v>46133</v>
      </c>
      <c r="D699" t="inlineStr">
        <is>
          <t>NORRBOTTENS LÄN</t>
        </is>
      </c>
      <c r="E699" t="inlineStr">
        <is>
          <t>PAJALA</t>
        </is>
      </c>
      <c r="G699" t="n">
        <v>20.5</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46133</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8859-2024</t>
        </is>
      </c>
      <c r="B701" s="1" t="n">
        <v>45356.96299768519</v>
      </c>
      <c r="C701" s="1" t="n">
        <v>46133</v>
      </c>
      <c r="D701" t="inlineStr">
        <is>
          <t>NORRBOTTENS LÄN</t>
        </is>
      </c>
      <c r="E701" t="inlineStr">
        <is>
          <t>PAJALA</t>
        </is>
      </c>
      <c r="G701" t="n">
        <v>3.3</v>
      </c>
      <c r="H701" t="n">
        <v>0</v>
      </c>
      <c r="I701" t="n">
        <v>0</v>
      </c>
      <c r="J701" t="n">
        <v>0</v>
      </c>
      <c r="K701" t="n">
        <v>0</v>
      </c>
      <c r="L701" t="n">
        <v>0</v>
      </c>
      <c r="M701" t="n">
        <v>0</v>
      </c>
      <c r="N701" t="n">
        <v>0</v>
      </c>
      <c r="O701" t="n">
        <v>0</v>
      </c>
      <c r="P701" t="n">
        <v>0</v>
      </c>
      <c r="Q701" t="n">
        <v>0</v>
      </c>
      <c r="R701" s="2" t="inlineStr"/>
    </row>
    <row r="702" ht="15" customHeight="1">
      <c r="A702" t="inlineStr">
        <is>
          <t>A 42883-2024</t>
        </is>
      </c>
      <c r="B702" s="1" t="n">
        <v>45566.71771990741</v>
      </c>
      <c r="C702" s="1" t="n">
        <v>46133</v>
      </c>
      <c r="D702" t="inlineStr">
        <is>
          <t>NORRBOTTENS LÄN</t>
        </is>
      </c>
      <c r="E702" t="inlineStr">
        <is>
          <t>PAJALA</t>
        </is>
      </c>
      <c r="G702" t="n">
        <v>2.2</v>
      </c>
      <c r="H702" t="n">
        <v>0</v>
      </c>
      <c r="I702" t="n">
        <v>0</v>
      </c>
      <c r="J702" t="n">
        <v>0</v>
      </c>
      <c r="K702" t="n">
        <v>0</v>
      </c>
      <c r="L702" t="n">
        <v>0</v>
      </c>
      <c r="M702" t="n">
        <v>0</v>
      </c>
      <c r="N702" t="n">
        <v>0</v>
      </c>
      <c r="O702" t="n">
        <v>0</v>
      </c>
      <c r="P702" t="n">
        <v>0</v>
      </c>
      <c r="Q702" t="n">
        <v>0</v>
      </c>
      <c r="R702" s="2" t="inlineStr"/>
    </row>
    <row r="703" ht="15" customHeight="1">
      <c r="A703" t="inlineStr">
        <is>
          <t>A 29992-2024</t>
        </is>
      </c>
      <c r="B703" s="1" t="n">
        <v>45488.55291666667</v>
      </c>
      <c r="C703" s="1" t="n">
        <v>46133</v>
      </c>
      <c r="D703" t="inlineStr">
        <is>
          <t>NORRBOTTENS LÄN</t>
        </is>
      </c>
      <c r="E703" t="inlineStr">
        <is>
          <t>PAJALA</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37289-2024</t>
        </is>
      </c>
      <c r="B704" s="1" t="n">
        <v>45540</v>
      </c>
      <c r="C704" s="1" t="n">
        <v>46133</v>
      </c>
      <c r="D704" t="inlineStr">
        <is>
          <t>NORRBOTTENS LÄN</t>
        </is>
      </c>
      <c r="E704" t="inlineStr">
        <is>
          <t>PAJALA</t>
        </is>
      </c>
      <c r="G704" t="n">
        <v>13.8</v>
      </c>
      <c r="H704" t="n">
        <v>0</v>
      </c>
      <c r="I704" t="n">
        <v>0</v>
      </c>
      <c r="J704" t="n">
        <v>0</v>
      </c>
      <c r="K704" t="n">
        <v>0</v>
      </c>
      <c r="L704" t="n">
        <v>0</v>
      </c>
      <c r="M704" t="n">
        <v>0</v>
      </c>
      <c r="N704" t="n">
        <v>0</v>
      </c>
      <c r="O704" t="n">
        <v>0</v>
      </c>
      <c r="P704" t="n">
        <v>0</v>
      </c>
      <c r="Q704" t="n">
        <v>0</v>
      </c>
      <c r="R704" s="2" t="inlineStr"/>
    </row>
    <row r="705" ht="15" customHeight="1">
      <c r="A705" t="inlineStr">
        <is>
          <t>A 34096-2024</t>
        </is>
      </c>
      <c r="B705" s="1" t="n">
        <v>45523</v>
      </c>
      <c r="C705" s="1" t="n">
        <v>46133</v>
      </c>
      <c r="D705" t="inlineStr">
        <is>
          <t>NORRBOTTENS LÄN</t>
        </is>
      </c>
      <c r="E705" t="inlineStr">
        <is>
          <t>PAJALA</t>
        </is>
      </c>
      <c r="G705" t="n">
        <v>6.2</v>
      </c>
      <c r="H705" t="n">
        <v>0</v>
      </c>
      <c r="I705" t="n">
        <v>0</v>
      </c>
      <c r="J705" t="n">
        <v>0</v>
      </c>
      <c r="K705" t="n">
        <v>0</v>
      </c>
      <c r="L705" t="n">
        <v>0</v>
      </c>
      <c r="M705" t="n">
        <v>0</v>
      </c>
      <c r="N705" t="n">
        <v>0</v>
      </c>
      <c r="O705" t="n">
        <v>0</v>
      </c>
      <c r="P705" t="n">
        <v>0</v>
      </c>
      <c r="Q705" t="n">
        <v>0</v>
      </c>
      <c r="R705" s="2" t="inlineStr"/>
    </row>
    <row r="706" ht="15" customHeight="1">
      <c r="A706" t="inlineStr">
        <is>
          <t>A 34097-2024</t>
        </is>
      </c>
      <c r="B706" s="1" t="n">
        <v>45523</v>
      </c>
      <c r="C706" s="1" t="n">
        <v>46133</v>
      </c>
      <c r="D706" t="inlineStr">
        <is>
          <t>NORRBOTTENS LÄN</t>
        </is>
      </c>
      <c r="E706" t="inlineStr">
        <is>
          <t>PAJALA</t>
        </is>
      </c>
      <c r="G706" t="n">
        <v>5.3</v>
      </c>
      <c r="H706" t="n">
        <v>0</v>
      </c>
      <c r="I706" t="n">
        <v>0</v>
      </c>
      <c r="J706" t="n">
        <v>0</v>
      </c>
      <c r="K706" t="n">
        <v>0</v>
      </c>
      <c r="L706" t="n">
        <v>0</v>
      </c>
      <c r="M706" t="n">
        <v>0</v>
      </c>
      <c r="N706" t="n">
        <v>0</v>
      </c>
      <c r="O706" t="n">
        <v>0</v>
      </c>
      <c r="P706" t="n">
        <v>0</v>
      </c>
      <c r="Q706" t="n">
        <v>0</v>
      </c>
      <c r="R706" s="2" t="inlineStr"/>
    </row>
    <row r="707" ht="15" customHeight="1">
      <c r="A707" t="inlineStr">
        <is>
          <t>A 11501-2024</t>
        </is>
      </c>
      <c r="B707" s="1" t="n">
        <v>45372</v>
      </c>
      <c r="C707" s="1" t="n">
        <v>46133</v>
      </c>
      <c r="D707" t="inlineStr">
        <is>
          <t>NORRBOTTENS LÄN</t>
        </is>
      </c>
      <c r="E707" t="inlineStr">
        <is>
          <t>PAJALA</t>
        </is>
      </c>
      <c r="F707" t="inlineStr">
        <is>
          <t>Allmännings- och besparingsskogar</t>
        </is>
      </c>
      <c r="G707" t="n">
        <v>46.9</v>
      </c>
      <c r="H707" t="n">
        <v>0</v>
      </c>
      <c r="I707" t="n">
        <v>0</v>
      </c>
      <c r="J707" t="n">
        <v>0</v>
      </c>
      <c r="K707" t="n">
        <v>0</v>
      </c>
      <c r="L707" t="n">
        <v>0</v>
      </c>
      <c r="M707" t="n">
        <v>0</v>
      </c>
      <c r="N707" t="n">
        <v>0</v>
      </c>
      <c r="O707" t="n">
        <v>0</v>
      </c>
      <c r="P707" t="n">
        <v>0</v>
      </c>
      <c r="Q707" t="n">
        <v>0</v>
      </c>
      <c r="R707" s="2" t="inlineStr"/>
    </row>
    <row r="708" ht="15" customHeight="1">
      <c r="A708" t="inlineStr">
        <is>
          <t>A 50696-2023</t>
        </is>
      </c>
      <c r="B708" s="1" t="n">
        <v>45210</v>
      </c>
      <c r="C708" s="1" t="n">
        <v>46133</v>
      </c>
      <c r="D708" t="inlineStr">
        <is>
          <t>NORRBOTTENS LÄN</t>
        </is>
      </c>
      <c r="E708" t="inlineStr">
        <is>
          <t>PAJALA</t>
        </is>
      </c>
      <c r="G708" t="n">
        <v>10.7</v>
      </c>
      <c r="H708" t="n">
        <v>0</v>
      </c>
      <c r="I708" t="n">
        <v>0</v>
      </c>
      <c r="J708" t="n">
        <v>0</v>
      </c>
      <c r="K708" t="n">
        <v>0</v>
      </c>
      <c r="L708" t="n">
        <v>0</v>
      </c>
      <c r="M708" t="n">
        <v>0</v>
      </c>
      <c r="N708" t="n">
        <v>0</v>
      </c>
      <c r="O708" t="n">
        <v>0</v>
      </c>
      <c r="P708" t="n">
        <v>0</v>
      </c>
      <c r="Q708" t="n">
        <v>0</v>
      </c>
      <c r="R708" s="2" t="inlineStr"/>
    </row>
    <row r="709" ht="15" customHeight="1">
      <c r="A709" t="inlineStr">
        <is>
          <t>A 36715-2021</t>
        </is>
      </c>
      <c r="B709" s="1" t="n">
        <v>44392.54153935185</v>
      </c>
      <c r="C709" s="1" t="n">
        <v>46133</v>
      </c>
      <c r="D709" t="inlineStr">
        <is>
          <t>NORRBOTTENS LÄN</t>
        </is>
      </c>
      <c r="E709" t="inlineStr">
        <is>
          <t>PAJALA</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34202-2024</t>
        </is>
      </c>
      <c r="B710" s="1" t="n">
        <v>45524</v>
      </c>
      <c r="C710" s="1" t="n">
        <v>46133</v>
      </c>
      <c r="D710" t="inlineStr">
        <is>
          <t>NORRBOTTENS LÄN</t>
        </is>
      </c>
      <c r="E710" t="inlineStr">
        <is>
          <t>PAJALA</t>
        </is>
      </c>
      <c r="G710" t="n">
        <v>14.2</v>
      </c>
      <c r="H710" t="n">
        <v>0</v>
      </c>
      <c r="I710" t="n">
        <v>0</v>
      </c>
      <c r="J710" t="n">
        <v>0</v>
      </c>
      <c r="K710" t="n">
        <v>0</v>
      </c>
      <c r="L710" t="n">
        <v>0</v>
      </c>
      <c r="M710" t="n">
        <v>0</v>
      </c>
      <c r="N710" t="n">
        <v>0</v>
      </c>
      <c r="O710" t="n">
        <v>0</v>
      </c>
      <c r="P710" t="n">
        <v>0</v>
      </c>
      <c r="Q710" t="n">
        <v>0</v>
      </c>
      <c r="R710" s="2" t="inlineStr"/>
    </row>
    <row r="711" ht="15" customHeight="1">
      <c r="A711" t="inlineStr">
        <is>
          <t>A 51817-2024</t>
        </is>
      </c>
      <c r="B711" s="1" t="n">
        <v>45607.49136574074</v>
      </c>
      <c r="C711" s="1" t="n">
        <v>46133</v>
      </c>
      <c r="D711" t="inlineStr">
        <is>
          <t>NORRBOTTENS LÄN</t>
        </is>
      </c>
      <c r="E711" t="inlineStr">
        <is>
          <t>PAJALA</t>
        </is>
      </c>
      <c r="G711" t="n">
        <v>1.8</v>
      </c>
      <c r="H711" t="n">
        <v>0</v>
      </c>
      <c r="I711" t="n">
        <v>0</v>
      </c>
      <c r="J711" t="n">
        <v>0</v>
      </c>
      <c r="K711" t="n">
        <v>0</v>
      </c>
      <c r="L711" t="n">
        <v>0</v>
      </c>
      <c r="M711" t="n">
        <v>0</v>
      </c>
      <c r="N711" t="n">
        <v>0</v>
      </c>
      <c r="O711" t="n">
        <v>0</v>
      </c>
      <c r="P711" t="n">
        <v>0</v>
      </c>
      <c r="Q711" t="n">
        <v>0</v>
      </c>
      <c r="R711" s="2" t="inlineStr"/>
    </row>
    <row r="712" ht="15" customHeight="1">
      <c r="A712" t="inlineStr">
        <is>
          <t>A 63937-2023</t>
        </is>
      </c>
      <c r="B712" s="1" t="n">
        <v>45278.60908564815</v>
      </c>
      <c r="C712" s="1" t="n">
        <v>46133</v>
      </c>
      <c r="D712" t="inlineStr">
        <is>
          <t>NORRBOTTENS LÄN</t>
        </is>
      </c>
      <c r="E712" t="inlineStr">
        <is>
          <t>PAJALA</t>
        </is>
      </c>
      <c r="G712" t="n">
        <v>0.8</v>
      </c>
      <c r="H712" t="n">
        <v>0</v>
      </c>
      <c r="I712" t="n">
        <v>0</v>
      </c>
      <c r="J712" t="n">
        <v>0</v>
      </c>
      <c r="K712" t="n">
        <v>0</v>
      </c>
      <c r="L712" t="n">
        <v>0</v>
      </c>
      <c r="M712" t="n">
        <v>0</v>
      </c>
      <c r="N712" t="n">
        <v>0</v>
      </c>
      <c r="O712" t="n">
        <v>0</v>
      </c>
      <c r="P712" t="n">
        <v>0</v>
      </c>
      <c r="Q712" t="n">
        <v>0</v>
      </c>
      <c r="R712" s="2" t="inlineStr"/>
    </row>
    <row r="713" ht="15" customHeight="1">
      <c r="A713" t="inlineStr">
        <is>
          <t>A 50888-2024</t>
        </is>
      </c>
      <c r="B713" s="1" t="n">
        <v>45602</v>
      </c>
      <c r="C713" s="1" t="n">
        <v>46133</v>
      </c>
      <c r="D713" t="inlineStr">
        <is>
          <t>NORRBOTTENS LÄN</t>
        </is>
      </c>
      <c r="E713" t="inlineStr">
        <is>
          <t>PAJALA</t>
        </is>
      </c>
      <c r="G713" t="n">
        <v>17.2</v>
      </c>
      <c r="H713" t="n">
        <v>0</v>
      </c>
      <c r="I713" t="n">
        <v>0</v>
      </c>
      <c r="J713" t="n">
        <v>0</v>
      </c>
      <c r="K713" t="n">
        <v>0</v>
      </c>
      <c r="L713" t="n">
        <v>0</v>
      </c>
      <c r="M713" t="n">
        <v>0</v>
      </c>
      <c r="N713" t="n">
        <v>0</v>
      </c>
      <c r="O713" t="n">
        <v>0</v>
      </c>
      <c r="P713" t="n">
        <v>0</v>
      </c>
      <c r="Q713" t="n">
        <v>0</v>
      </c>
      <c r="R713" s="2" t="inlineStr"/>
    </row>
    <row r="714" ht="15" customHeight="1">
      <c r="A714" t="inlineStr">
        <is>
          <t>A 37527-2024</t>
        </is>
      </c>
      <c r="B714" s="1" t="n">
        <v>45541.40069444444</v>
      </c>
      <c r="C714" s="1" t="n">
        <v>46133</v>
      </c>
      <c r="D714" t="inlineStr">
        <is>
          <t>NORRBOTTENS LÄN</t>
        </is>
      </c>
      <c r="E714" t="inlineStr">
        <is>
          <t>PAJALA</t>
        </is>
      </c>
      <c r="G714" t="n">
        <v>21.3</v>
      </c>
      <c r="H714" t="n">
        <v>0</v>
      </c>
      <c r="I714" t="n">
        <v>0</v>
      </c>
      <c r="J714" t="n">
        <v>0</v>
      </c>
      <c r="K714" t="n">
        <v>0</v>
      </c>
      <c r="L714" t="n">
        <v>0</v>
      </c>
      <c r="M714" t="n">
        <v>0</v>
      </c>
      <c r="N714" t="n">
        <v>0</v>
      </c>
      <c r="O714" t="n">
        <v>0</v>
      </c>
      <c r="P714" t="n">
        <v>0</v>
      </c>
      <c r="Q714" t="n">
        <v>0</v>
      </c>
      <c r="R714" s="2" t="inlineStr"/>
    </row>
    <row r="715" ht="15" customHeight="1">
      <c r="A715" t="inlineStr">
        <is>
          <t>A 59197-2024</t>
        </is>
      </c>
      <c r="B715" s="1" t="n">
        <v>45637</v>
      </c>
      <c r="C715" s="1" t="n">
        <v>46133</v>
      </c>
      <c r="D715" t="inlineStr">
        <is>
          <t>NORRBOTTENS LÄN</t>
        </is>
      </c>
      <c r="E715" t="inlineStr">
        <is>
          <t>PAJALA</t>
        </is>
      </c>
      <c r="G715" t="n">
        <v>10.2</v>
      </c>
      <c r="H715" t="n">
        <v>0</v>
      </c>
      <c r="I715" t="n">
        <v>0</v>
      </c>
      <c r="J715" t="n">
        <v>0</v>
      </c>
      <c r="K715" t="n">
        <v>0</v>
      </c>
      <c r="L715" t="n">
        <v>0</v>
      </c>
      <c r="M715" t="n">
        <v>0</v>
      </c>
      <c r="N715" t="n">
        <v>0</v>
      </c>
      <c r="O715" t="n">
        <v>0</v>
      </c>
      <c r="P715" t="n">
        <v>0</v>
      </c>
      <c r="Q715" t="n">
        <v>0</v>
      </c>
      <c r="R715" s="2" t="inlineStr"/>
    </row>
    <row r="716" ht="15" customHeight="1">
      <c r="A716" t="inlineStr">
        <is>
          <t>A 61761-2023</t>
        </is>
      </c>
      <c r="B716" s="1" t="n">
        <v>45265</v>
      </c>
      <c r="C716" s="1" t="n">
        <v>46133</v>
      </c>
      <c r="D716" t="inlineStr">
        <is>
          <t>NORRBOTTENS LÄN</t>
        </is>
      </c>
      <c r="E716" t="inlineStr">
        <is>
          <t>PAJALA</t>
        </is>
      </c>
      <c r="G716" t="n">
        <v>35</v>
      </c>
      <c r="H716" t="n">
        <v>0</v>
      </c>
      <c r="I716" t="n">
        <v>0</v>
      </c>
      <c r="J716" t="n">
        <v>0</v>
      </c>
      <c r="K716" t="n">
        <v>0</v>
      </c>
      <c r="L716" t="n">
        <v>0</v>
      </c>
      <c r="M716" t="n">
        <v>0</v>
      </c>
      <c r="N716" t="n">
        <v>0</v>
      </c>
      <c r="O716" t="n">
        <v>0</v>
      </c>
      <c r="P716" t="n">
        <v>0</v>
      </c>
      <c r="Q716" t="n">
        <v>0</v>
      </c>
      <c r="R716" s="2" t="inlineStr"/>
    </row>
    <row r="717" ht="15" customHeight="1">
      <c r="A717" t="inlineStr">
        <is>
          <t>A 51987-2023</t>
        </is>
      </c>
      <c r="B717" s="1" t="n">
        <v>45216</v>
      </c>
      <c r="C717" s="1" t="n">
        <v>46133</v>
      </c>
      <c r="D717" t="inlineStr">
        <is>
          <t>NORRBOTTENS LÄN</t>
        </is>
      </c>
      <c r="E717" t="inlineStr">
        <is>
          <t>PAJALA</t>
        </is>
      </c>
      <c r="G717" t="n">
        <v>6.5</v>
      </c>
      <c r="H717" t="n">
        <v>0</v>
      </c>
      <c r="I717" t="n">
        <v>0</v>
      </c>
      <c r="J717" t="n">
        <v>0</v>
      </c>
      <c r="K717" t="n">
        <v>0</v>
      </c>
      <c r="L717" t="n">
        <v>0</v>
      </c>
      <c r="M717" t="n">
        <v>0</v>
      </c>
      <c r="N717" t="n">
        <v>0</v>
      </c>
      <c r="O717" t="n">
        <v>0</v>
      </c>
      <c r="P717" t="n">
        <v>0</v>
      </c>
      <c r="Q717" t="n">
        <v>0</v>
      </c>
      <c r="R717" s="2" t="inlineStr"/>
    </row>
    <row r="718" ht="15" customHeight="1">
      <c r="A718" t="inlineStr">
        <is>
          <t>A 60071-2023</t>
        </is>
      </c>
      <c r="B718" s="1" t="n">
        <v>45258.39447916667</v>
      </c>
      <c r="C718" s="1" t="n">
        <v>46133</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16446-2024</t>
        </is>
      </c>
      <c r="B719" s="1" t="n">
        <v>45407.96980324074</v>
      </c>
      <c r="C719" s="1" t="n">
        <v>46133</v>
      </c>
      <c r="D719" t="inlineStr">
        <is>
          <t>NORRBOTTENS LÄN</t>
        </is>
      </c>
      <c r="E719" t="inlineStr">
        <is>
          <t>PAJALA</t>
        </is>
      </c>
      <c r="G719" t="n">
        <v>3.2</v>
      </c>
      <c r="H719" t="n">
        <v>0</v>
      </c>
      <c r="I719" t="n">
        <v>0</v>
      </c>
      <c r="J719" t="n">
        <v>0</v>
      </c>
      <c r="K719" t="n">
        <v>0</v>
      </c>
      <c r="L719" t="n">
        <v>0</v>
      </c>
      <c r="M719" t="n">
        <v>0</v>
      </c>
      <c r="N719" t="n">
        <v>0</v>
      </c>
      <c r="O719" t="n">
        <v>0</v>
      </c>
      <c r="P719" t="n">
        <v>0</v>
      </c>
      <c r="Q719" t="n">
        <v>0</v>
      </c>
      <c r="R719" s="2" t="inlineStr"/>
    </row>
    <row r="720" ht="15" customHeight="1">
      <c r="A720" t="inlineStr">
        <is>
          <t>A 1770-2022</t>
        </is>
      </c>
      <c r="B720" s="1" t="n">
        <v>44574</v>
      </c>
      <c r="C720" s="1" t="n">
        <v>46133</v>
      </c>
      <c r="D720" t="inlineStr">
        <is>
          <t>NORRBOTTENS LÄN</t>
        </is>
      </c>
      <c r="E720" t="inlineStr">
        <is>
          <t>PAJALA</t>
        </is>
      </c>
      <c r="G720" t="n">
        <v>1.7</v>
      </c>
      <c r="H720" t="n">
        <v>0</v>
      </c>
      <c r="I720" t="n">
        <v>0</v>
      </c>
      <c r="J720" t="n">
        <v>0</v>
      </c>
      <c r="K720" t="n">
        <v>0</v>
      </c>
      <c r="L720" t="n">
        <v>0</v>
      </c>
      <c r="M720" t="n">
        <v>0</v>
      </c>
      <c r="N720" t="n">
        <v>0</v>
      </c>
      <c r="O720" t="n">
        <v>0</v>
      </c>
      <c r="P720" t="n">
        <v>0</v>
      </c>
      <c r="Q720" t="n">
        <v>0</v>
      </c>
      <c r="R720" s="2" t="inlineStr"/>
    </row>
    <row r="721" ht="15" customHeight="1">
      <c r="A721" t="inlineStr">
        <is>
          <t>A 51083-2023</t>
        </is>
      </c>
      <c r="B721" s="1" t="n">
        <v>45218.71888888889</v>
      </c>
      <c r="C721" s="1" t="n">
        <v>46133</v>
      </c>
      <c r="D721" t="inlineStr">
        <is>
          <t>NORRBOTTENS LÄN</t>
        </is>
      </c>
      <c r="E721" t="inlineStr">
        <is>
          <t>PAJALA</t>
        </is>
      </c>
      <c r="F721" t="inlineStr">
        <is>
          <t>Sveaskog</t>
        </is>
      </c>
      <c r="G721" t="n">
        <v>25.1</v>
      </c>
      <c r="H721" t="n">
        <v>0</v>
      </c>
      <c r="I721" t="n">
        <v>0</v>
      </c>
      <c r="J721" t="n">
        <v>0</v>
      </c>
      <c r="K721" t="n">
        <v>0</v>
      </c>
      <c r="L721" t="n">
        <v>0</v>
      </c>
      <c r="M721" t="n">
        <v>0</v>
      </c>
      <c r="N721" t="n">
        <v>0</v>
      </c>
      <c r="O721" t="n">
        <v>0</v>
      </c>
      <c r="P721" t="n">
        <v>0</v>
      </c>
      <c r="Q721" t="n">
        <v>0</v>
      </c>
      <c r="R721" s="2" t="inlineStr"/>
    </row>
    <row r="722" ht="15" customHeight="1">
      <c r="A722" t="inlineStr">
        <is>
          <t>A 51048-2024</t>
        </is>
      </c>
      <c r="B722" s="1" t="n">
        <v>45603.44631944445</v>
      </c>
      <c r="C722" s="1" t="n">
        <v>46133</v>
      </c>
      <c r="D722" t="inlineStr">
        <is>
          <t>NORRBOTTENS LÄN</t>
        </is>
      </c>
      <c r="E722" t="inlineStr">
        <is>
          <t>PAJALA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62298-2022</t>
        </is>
      </c>
      <c r="B723" s="1" t="n">
        <v>44923</v>
      </c>
      <c r="C723" s="1" t="n">
        <v>46133</v>
      </c>
      <c r="D723" t="inlineStr">
        <is>
          <t>NORRBOTTENS LÄN</t>
        </is>
      </c>
      <c r="E723" t="inlineStr">
        <is>
          <t>PAJALA</t>
        </is>
      </c>
      <c r="G723" t="n">
        <v>38.8</v>
      </c>
      <c r="H723" t="n">
        <v>0</v>
      </c>
      <c r="I723" t="n">
        <v>0</v>
      </c>
      <c r="J723" t="n">
        <v>0</v>
      </c>
      <c r="K723" t="n">
        <v>0</v>
      </c>
      <c r="L723" t="n">
        <v>0</v>
      </c>
      <c r="M723" t="n">
        <v>0</v>
      </c>
      <c r="N723" t="n">
        <v>0</v>
      </c>
      <c r="O723" t="n">
        <v>0</v>
      </c>
      <c r="P723" t="n">
        <v>0</v>
      </c>
      <c r="Q723" t="n">
        <v>0</v>
      </c>
      <c r="R723" s="2" t="inlineStr"/>
    </row>
    <row r="724" ht="15" customHeight="1">
      <c r="A724" t="inlineStr">
        <is>
          <t>A 47206-2024</t>
        </is>
      </c>
      <c r="B724" s="1" t="n">
        <v>45586.63793981481</v>
      </c>
      <c r="C724" s="1" t="n">
        <v>46133</v>
      </c>
      <c r="D724" t="inlineStr">
        <is>
          <t>NORRBOTTENS LÄN</t>
        </is>
      </c>
      <c r="E724" t="inlineStr">
        <is>
          <t>PAJALA</t>
        </is>
      </c>
      <c r="G724" t="n">
        <v>7</v>
      </c>
      <c r="H724" t="n">
        <v>0</v>
      </c>
      <c r="I724" t="n">
        <v>0</v>
      </c>
      <c r="J724" t="n">
        <v>0</v>
      </c>
      <c r="K724" t="n">
        <v>0</v>
      </c>
      <c r="L724" t="n">
        <v>0</v>
      </c>
      <c r="M724" t="n">
        <v>0</v>
      </c>
      <c r="N724" t="n">
        <v>0</v>
      </c>
      <c r="O724" t="n">
        <v>0</v>
      </c>
      <c r="P724" t="n">
        <v>0</v>
      </c>
      <c r="Q724" t="n">
        <v>0</v>
      </c>
      <c r="R724" s="2" t="inlineStr"/>
    </row>
    <row r="725" ht="15" customHeight="1">
      <c r="A725" t="inlineStr">
        <is>
          <t>A 50705-2023</t>
        </is>
      </c>
      <c r="B725" s="1" t="n">
        <v>45210</v>
      </c>
      <c r="C725" s="1" t="n">
        <v>46133</v>
      </c>
      <c r="D725" t="inlineStr">
        <is>
          <t>NORRBOTTENS LÄN</t>
        </is>
      </c>
      <c r="E725" t="inlineStr">
        <is>
          <t>PAJALA</t>
        </is>
      </c>
      <c r="G725" t="n">
        <v>1.1</v>
      </c>
      <c r="H725" t="n">
        <v>0</v>
      </c>
      <c r="I725" t="n">
        <v>0</v>
      </c>
      <c r="J725" t="n">
        <v>0</v>
      </c>
      <c r="K725" t="n">
        <v>0</v>
      </c>
      <c r="L725" t="n">
        <v>0</v>
      </c>
      <c r="M725" t="n">
        <v>0</v>
      </c>
      <c r="N725" t="n">
        <v>0</v>
      </c>
      <c r="O725" t="n">
        <v>0</v>
      </c>
      <c r="P725" t="n">
        <v>0</v>
      </c>
      <c r="Q725" t="n">
        <v>0</v>
      </c>
      <c r="R725" s="2" t="inlineStr"/>
    </row>
    <row r="726" ht="15" customHeight="1">
      <c r="A726" t="inlineStr">
        <is>
          <t>A 8385-2025</t>
        </is>
      </c>
      <c r="B726" s="1" t="n">
        <v>45709</v>
      </c>
      <c r="C726" s="1" t="n">
        <v>46133</v>
      </c>
      <c r="D726" t="inlineStr">
        <is>
          <t>NORRBOTTENS LÄN</t>
        </is>
      </c>
      <c r="E726" t="inlineStr">
        <is>
          <t>PAJALA</t>
        </is>
      </c>
      <c r="G726" t="n">
        <v>7</v>
      </c>
      <c r="H726" t="n">
        <v>0</v>
      </c>
      <c r="I726" t="n">
        <v>0</v>
      </c>
      <c r="J726" t="n">
        <v>0</v>
      </c>
      <c r="K726" t="n">
        <v>0</v>
      </c>
      <c r="L726" t="n">
        <v>0</v>
      </c>
      <c r="M726" t="n">
        <v>0</v>
      </c>
      <c r="N726" t="n">
        <v>0</v>
      </c>
      <c r="O726" t="n">
        <v>0</v>
      </c>
      <c r="P726" t="n">
        <v>0</v>
      </c>
      <c r="Q726" t="n">
        <v>0</v>
      </c>
      <c r="R726" s="2" t="inlineStr"/>
    </row>
    <row r="727" ht="15" customHeight="1">
      <c r="A727" t="inlineStr">
        <is>
          <t>A 19671-2025</t>
        </is>
      </c>
      <c r="B727" s="1" t="n">
        <v>45770</v>
      </c>
      <c r="C727" s="1" t="n">
        <v>46133</v>
      </c>
      <c r="D727" t="inlineStr">
        <is>
          <t>NORRBOTTENS LÄN</t>
        </is>
      </c>
      <c r="E727" t="inlineStr">
        <is>
          <t>PAJALA</t>
        </is>
      </c>
      <c r="G727" t="n">
        <v>2.3</v>
      </c>
      <c r="H727" t="n">
        <v>0</v>
      </c>
      <c r="I727" t="n">
        <v>0</v>
      </c>
      <c r="J727" t="n">
        <v>0</v>
      </c>
      <c r="K727" t="n">
        <v>0</v>
      </c>
      <c r="L727" t="n">
        <v>0</v>
      </c>
      <c r="M727" t="n">
        <v>0</v>
      </c>
      <c r="N727" t="n">
        <v>0</v>
      </c>
      <c r="O727" t="n">
        <v>0</v>
      </c>
      <c r="P727" t="n">
        <v>0</v>
      </c>
      <c r="Q727" t="n">
        <v>0</v>
      </c>
      <c r="R727" s="2" t="inlineStr"/>
    </row>
    <row r="728" ht="15" customHeight="1">
      <c r="A728" t="inlineStr">
        <is>
          <t>A 11200-2023</t>
        </is>
      </c>
      <c r="B728" s="1" t="n">
        <v>44988</v>
      </c>
      <c r="C728" s="1" t="n">
        <v>46133</v>
      </c>
      <c r="D728" t="inlineStr">
        <is>
          <t>NORRBOTTENS LÄN</t>
        </is>
      </c>
      <c r="E728" t="inlineStr">
        <is>
          <t>PAJALA</t>
        </is>
      </c>
      <c r="G728" t="n">
        <v>8.5</v>
      </c>
      <c r="H728" t="n">
        <v>0</v>
      </c>
      <c r="I728" t="n">
        <v>0</v>
      </c>
      <c r="J728" t="n">
        <v>0</v>
      </c>
      <c r="K728" t="n">
        <v>0</v>
      </c>
      <c r="L728" t="n">
        <v>0</v>
      </c>
      <c r="M728" t="n">
        <v>0</v>
      </c>
      <c r="N728" t="n">
        <v>0</v>
      </c>
      <c r="O728" t="n">
        <v>0</v>
      </c>
      <c r="P728" t="n">
        <v>0</v>
      </c>
      <c r="Q728" t="n">
        <v>0</v>
      </c>
      <c r="R728" s="2" t="inlineStr"/>
    </row>
    <row r="729" ht="15" customHeight="1">
      <c r="A729" t="inlineStr">
        <is>
          <t>A 11265-2024</t>
        </is>
      </c>
      <c r="B729" s="1" t="n">
        <v>45371</v>
      </c>
      <c r="C729" s="1" t="n">
        <v>46133</v>
      </c>
      <c r="D729" t="inlineStr">
        <is>
          <t>NORRBOTTENS LÄN</t>
        </is>
      </c>
      <c r="E729" t="inlineStr">
        <is>
          <t>PAJALA</t>
        </is>
      </c>
      <c r="F729" t="inlineStr">
        <is>
          <t>Allmännings- och besparingsskogar</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12639-2024</t>
        </is>
      </c>
      <c r="B730" s="1" t="n">
        <v>45379</v>
      </c>
      <c r="C730" s="1" t="n">
        <v>46133</v>
      </c>
      <c r="D730" t="inlineStr">
        <is>
          <t>NORRBOTTENS LÄN</t>
        </is>
      </c>
      <c r="E730" t="inlineStr">
        <is>
          <t>PAJALA</t>
        </is>
      </c>
      <c r="F730" t="inlineStr">
        <is>
          <t>Allmännings- och besparingsskogar</t>
        </is>
      </c>
      <c r="G730" t="n">
        <v>92</v>
      </c>
      <c r="H730" t="n">
        <v>0</v>
      </c>
      <c r="I730" t="n">
        <v>0</v>
      </c>
      <c r="J730" t="n">
        <v>0</v>
      </c>
      <c r="K730" t="n">
        <v>0</v>
      </c>
      <c r="L730" t="n">
        <v>0</v>
      </c>
      <c r="M730" t="n">
        <v>0</v>
      </c>
      <c r="N730" t="n">
        <v>0</v>
      </c>
      <c r="O730" t="n">
        <v>0</v>
      </c>
      <c r="P730" t="n">
        <v>0</v>
      </c>
      <c r="Q730" t="n">
        <v>0</v>
      </c>
      <c r="R730" s="2" t="inlineStr"/>
    </row>
    <row r="731" ht="15" customHeight="1">
      <c r="A731" t="inlineStr">
        <is>
          <t>A 19045-2024</t>
        </is>
      </c>
      <c r="B731" s="1" t="n">
        <v>45427</v>
      </c>
      <c r="C731" s="1" t="n">
        <v>46133</v>
      </c>
      <c r="D731" t="inlineStr">
        <is>
          <t>NORRBOTTENS LÄN</t>
        </is>
      </c>
      <c r="E731" t="inlineStr">
        <is>
          <t>PAJALA</t>
        </is>
      </c>
      <c r="G731" t="n">
        <v>4.2</v>
      </c>
      <c r="H731" t="n">
        <v>0</v>
      </c>
      <c r="I731" t="n">
        <v>0</v>
      </c>
      <c r="J731" t="n">
        <v>0</v>
      </c>
      <c r="K731" t="n">
        <v>0</v>
      </c>
      <c r="L731" t="n">
        <v>0</v>
      </c>
      <c r="M731" t="n">
        <v>0</v>
      </c>
      <c r="N731" t="n">
        <v>0</v>
      </c>
      <c r="O731" t="n">
        <v>0</v>
      </c>
      <c r="P731" t="n">
        <v>0</v>
      </c>
      <c r="Q731" t="n">
        <v>0</v>
      </c>
      <c r="R731" s="2" t="inlineStr"/>
    </row>
    <row r="732" ht="15" customHeight="1">
      <c r="A732" t="inlineStr">
        <is>
          <t>A 1933-2025</t>
        </is>
      </c>
      <c r="B732" s="1" t="n">
        <v>45671.86802083333</v>
      </c>
      <c r="C732" s="1" t="n">
        <v>46133</v>
      </c>
      <c r="D732" t="inlineStr">
        <is>
          <t>NORRBOTTENS LÄN</t>
        </is>
      </c>
      <c r="E732" t="inlineStr">
        <is>
          <t>PAJALA</t>
        </is>
      </c>
      <c r="G732" t="n">
        <v>0.9</v>
      </c>
      <c r="H732" t="n">
        <v>0</v>
      </c>
      <c r="I732" t="n">
        <v>0</v>
      </c>
      <c r="J732" t="n">
        <v>0</v>
      </c>
      <c r="K732" t="n">
        <v>0</v>
      </c>
      <c r="L732" t="n">
        <v>0</v>
      </c>
      <c r="M732" t="n">
        <v>0</v>
      </c>
      <c r="N732" t="n">
        <v>0</v>
      </c>
      <c r="O732" t="n">
        <v>0</v>
      </c>
      <c r="P732" t="n">
        <v>0</v>
      </c>
      <c r="Q732" t="n">
        <v>0</v>
      </c>
      <c r="R732" s="2" t="inlineStr"/>
    </row>
    <row r="733" ht="15" customHeight="1">
      <c r="A733" t="inlineStr">
        <is>
          <t>A 48920-2024</t>
        </is>
      </c>
      <c r="B733" s="1" t="n">
        <v>45594</v>
      </c>
      <c r="C733" s="1" t="n">
        <v>46133</v>
      </c>
      <c r="D733" t="inlineStr">
        <is>
          <t>NORRBOTTENS LÄN</t>
        </is>
      </c>
      <c r="E733" t="inlineStr">
        <is>
          <t>PAJALA</t>
        </is>
      </c>
      <c r="F733" t="inlineStr">
        <is>
          <t>SCA</t>
        </is>
      </c>
      <c r="G733" t="n">
        <v>5.1</v>
      </c>
      <c r="H733" t="n">
        <v>0</v>
      </c>
      <c r="I733" t="n">
        <v>0</v>
      </c>
      <c r="J733" t="n">
        <v>0</v>
      </c>
      <c r="K733" t="n">
        <v>0</v>
      </c>
      <c r="L733" t="n">
        <v>0</v>
      </c>
      <c r="M733" t="n">
        <v>0</v>
      </c>
      <c r="N733" t="n">
        <v>0</v>
      </c>
      <c r="O733" t="n">
        <v>0</v>
      </c>
      <c r="P733" t="n">
        <v>0</v>
      </c>
      <c r="Q733" t="n">
        <v>0</v>
      </c>
      <c r="R733" s="2" t="inlineStr"/>
    </row>
    <row r="734" ht="15" customHeight="1">
      <c r="A734" t="inlineStr">
        <is>
          <t>A 58052-2024</t>
        </is>
      </c>
      <c r="B734" s="1" t="n">
        <v>45631.83989583333</v>
      </c>
      <c r="C734" s="1" t="n">
        <v>46133</v>
      </c>
      <c r="D734" t="inlineStr">
        <is>
          <t>NORRBOTTENS LÄN</t>
        </is>
      </c>
      <c r="E734" t="inlineStr">
        <is>
          <t>PAJALA</t>
        </is>
      </c>
      <c r="G734" t="n">
        <v>4.4</v>
      </c>
      <c r="H734" t="n">
        <v>0</v>
      </c>
      <c r="I734" t="n">
        <v>0</v>
      </c>
      <c r="J734" t="n">
        <v>0</v>
      </c>
      <c r="K734" t="n">
        <v>0</v>
      </c>
      <c r="L734" t="n">
        <v>0</v>
      </c>
      <c r="M734" t="n">
        <v>0</v>
      </c>
      <c r="N734" t="n">
        <v>0</v>
      </c>
      <c r="O734" t="n">
        <v>0</v>
      </c>
      <c r="P734" t="n">
        <v>0</v>
      </c>
      <c r="Q734" t="n">
        <v>0</v>
      </c>
      <c r="R734" s="2" t="inlineStr"/>
    </row>
    <row r="735" ht="15" customHeight="1">
      <c r="A735" t="inlineStr">
        <is>
          <t>A 34152-2023</t>
        </is>
      </c>
      <c r="B735" s="1" t="n">
        <v>45136.86875</v>
      </c>
      <c r="C735" s="1" t="n">
        <v>46133</v>
      </c>
      <c r="D735" t="inlineStr">
        <is>
          <t>NORRBOTTENS LÄN</t>
        </is>
      </c>
      <c r="E735" t="inlineStr">
        <is>
          <t>PAJALA</t>
        </is>
      </c>
      <c r="G735" t="n">
        <v>6</v>
      </c>
      <c r="H735" t="n">
        <v>0</v>
      </c>
      <c r="I735" t="n">
        <v>0</v>
      </c>
      <c r="J735" t="n">
        <v>0</v>
      </c>
      <c r="K735" t="n">
        <v>0</v>
      </c>
      <c r="L735" t="n">
        <v>0</v>
      </c>
      <c r="M735" t="n">
        <v>0</v>
      </c>
      <c r="N735" t="n">
        <v>0</v>
      </c>
      <c r="O735" t="n">
        <v>0</v>
      </c>
      <c r="P735" t="n">
        <v>0</v>
      </c>
      <c r="Q735" t="n">
        <v>0</v>
      </c>
      <c r="R735" s="2" t="inlineStr"/>
    </row>
    <row r="736" ht="15" customHeight="1">
      <c r="A736" t="inlineStr">
        <is>
          <t>A 27777-2024</t>
        </is>
      </c>
      <c r="B736" s="1" t="n">
        <v>45475.53988425926</v>
      </c>
      <c r="C736" s="1" t="n">
        <v>46133</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11512-2023</t>
        </is>
      </c>
      <c r="B737" s="1" t="n">
        <v>44988</v>
      </c>
      <c r="C737" s="1" t="n">
        <v>46133</v>
      </c>
      <c r="D737" t="inlineStr">
        <is>
          <t>NORRBOTTENS LÄN</t>
        </is>
      </c>
      <c r="E737" t="inlineStr">
        <is>
          <t>PAJALA</t>
        </is>
      </c>
      <c r="G737" t="n">
        <v>4.3</v>
      </c>
      <c r="H737" t="n">
        <v>0</v>
      </c>
      <c r="I737" t="n">
        <v>0</v>
      </c>
      <c r="J737" t="n">
        <v>0</v>
      </c>
      <c r="K737" t="n">
        <v>0</v>
      </c>
      <c r="L737" t="n">
        <v>0</v>
      </c>
      <c r="M737" t="n">
        <v>0</v>
      </c>
      <c r="N737" t="n">
        <v>0</v>
      </c>
      <c r="O737" t="n">
        <v>0</v>
      </c>
      <c r="P737" t="n">
        <v>0</v>
      </c>
      <c r="Q737" t="n">
        <v>0</v>
      </c>
      <c r="R737" s="2" t="inlineStr"/>
    </row>
    <row r="738" ht="15" customHeight="1">
      <c r="A738" t="inlineStr">
        <is>
          <t>A 2234-2024</t>
        </is>
      </c>
      <c r="B738" s="1" t="n">
        <v>45309.94634259259</v>
      </c>
      <c r="C738" s="1" t="n">
        <v>46133</v>
      </c>
      <c r="D738" t="inlineStr">
        <is>
          <t>NORRBOTTENS LÄN</t>
        </is>
      </c>
      <c r="E738" t="inlineStr">
        <is>
          <t>PAJALA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2235-2024</t>
        </is>
      </c>
      <c r="B739" s="1" t="n">
        <v>45309.94641203704</v>
      </c>
      <c r="C739" s="1" t="n">
        <v>46133</v>
      </c>
      <c r="D739" t="inlineStr">
        <is>
          <t>NORRBOTTENS LÄN</t>
        </is>
      </c>
      <c r="E739" t="inlineStr">
        <is>
          <t>PAJALA</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57577-2024</t>
        </is>
      </c>
      <c r="B740" s="1" t="n">
        <v>45630</v>
      </c>
      <c r="C740" s="1" t="n">
        <v>46133</v>
      </c>
      <c r="D740" t="inlineStr">
        <is>
          <t>NORRBOTTENS LÄN</t>
        </is>
      </c>
      <c r="E740" t="inlineStr">
        <is>
          <t>PAJALA</t>
        </is>
      </c>
      <c r="G740" t="n">
        <v>7.6</v>
      </c>
      <c r="H740" t="n">
        <v>0</v>
      </c>
      <c r="I740" t="n">
        <v>0</v>
      </c>
      <c r="J740" t="n">
        <v>0</v>
      </c>
      <c r="K740" t="n">
        <v>0</v>
      </c>
      <c r="L740" t="n">
        <v>0</v>
      </c>
      <c r="M740" t="n">
        <v>0</v>
      </c>
      <c r="N740" t="n">
        <v>0</v>
      </c>
      <c r="O740" t="n">
        <v>0</v>
      </c>
      <c r="P740" t="n">
        <v>0</v>
      </c>
      <c r="Q740" t="n">
        <v>0</v>
      </c>
      <c r="R740" s="2" t="inlineStr"/>
    </row>
    <row r="741" ht="15" customHeight="1">
      <c r="A741" t="inlineStr">
        <is>
          <t>A 42796-2022</t>
        </is>
      </c>
      <c r="B741" s="1" t="n">
        <v>44832.58216435185</v>
      </c>
      <c r="C741" s="1" t="n">
        <v>46133</v>
      </c>
      <c r="D741" t="inlineStr">
        <is>
          <t>NORRBOTTENS LÄN</t>
        </is>
      </c>
      <c r="E741" t="inlineStr">
        <is>
          <t>PAJALA</t>
        </is>
      </c>
      <c r="G741" t="n">
        <v>31.1</v>
      </c>
      <c r="H741" t="n">
        <v>0</v>
      </c>
      <c r="I741" t="n">
        <v>0</v>
      </c>
      <c r="J741" t="n">
        <v>0</v>
      </c>
      <c r="K741" t="n">
        <v>0</v>
      </c>
      <c r="L741" t="n">
        <v>0</v>
      </c>
      <c r="M741" t="n">
        <v>0</v>
      </c>
      <c r="N741" t="n">
        <v>0</v>
      </c>
      <c r="O741" t="n">
        <v>0</v>
      </c>
      <c r="P741" t="n">
        <v>0</v>
      </c>
      <c r="Q741" t="n">
        <v>0</v>
      </c>
      <c r="R741" s="2" t="inlineStr"/>
    </row>
    <row r="742" ht="15" customHeight="1">
      <c r="A742" t="inlineStr">
        <is>
          <t>A 46760-2024</t>
        </is>
      </c>
      <c r="B742" s="1" t="n">
        <v>45583.49115740741</v>
      </c>
      <c r="C742" s="1" t="n">
        <v>46133</v>
      </c>
      <c r="D742" t="inlineStr">
        <is>
          <t>NORRBOTTENS LÄN</t>
        </is>
      </c>
      <c r="E742" t="inlineStr">
        <is>
          <t>PAJALA</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5435-2023</t>
        </is>
      </c>
      <c r="B743" s="1" t="n">
        <v>44959</v>
      </c>
      <c r="C743" s="1" t="n">
        <v>46133</v>
      </c>
      <c r="D743" t="inlineStr">
        <is>
          <t>NORRBOTTENS LÄN</t>
        </is>
      </c>
      <c r="E743" t="inlineStr">
        <is>
          <t>PAJALA</t>
        </is>
      </c>
      <c r="G743" t="n">
        <v>2.9</v>
      </c>
      <c r="H743" t="n">
        <v>0</v>
      </c>
      <c r="I743" t="n">
        <v>0</v>
      </c>
      <c r="J743" t="n">
        <v>0</v>
      </c>
      <c r="K743" t="n">
        <v>0</v>
      </c>
      <c r="L743" t="n">
        <v>0</v>
      </c>
      <c r="M743" t="n">
        <v>0</v>
      </c>
      <c r="N743" t="n">
        <v>0</v>
      </c>
      <c r="O743" t="n">
        <v>0</v>
      </c>
      <c r="P743" t="n">
        <v>0</v>
      </c>
      <c r="Q743" t="n">
        <v>0</v>
      </c>
      <c r="R743" s="2" t="inlineStr"/>
    </row>
    <row r="744" ht="15" customHeight="1">
      <c r="A744" t="inlineStr">
        <is>
          <t>A 27709-2022</t>
        </is>
      </c>
      <c r="B744" s="1" t="n">
        <v>44743</v>
      </c>
      <c r="C744" s="1" t="n">
        <v>46133</v>
      </c>
      <c r="D744" t="inlineStr">
        <is>
          <t>NORRBOTTENS LÄN</t>
        </is>
      </c>
      <c r="E744" t="inlineStr">
        <is>
          <t>PAJALA</t>
        </is>
      </c>
      <c r="G744" t="n">
        <v>1.4</v>
      </c>
      <c r="H744" t="n">
        <v>0</v>
      </c>
      <c r="I744" t="n">
        <v>0</v>
      </c>
      <c r="J744" t="n">
        <v>0</v>
      </c>
      <c r="K744" t="n">
        <v>0</v>
      </c>
      <c r="L744" t="n">
        <v>0</v>
      </c>
      <c r="M744" t="n">
        <v>0</v>
      </c>
      <c r="N744" t="n">
        <v>0</v>
      </c>
      <c r="O744" t="n">
        <v>0</v>
      </c>
      <c r="P744" t="n">
        <v>0</v>
      </c>
      <c r="Q744" t="n">
        <v>0</v>
      </c>
      <c r="R744" s="2" t="inlineStr"/>
    </row>
    <row r="745" ht="15" customHeight="1">
      <c r="A745" t="inlineStr">
        <is>
          <t>A 19317-2025</t>
        </is>
      </c>
      <c r="B745" s="1" t="n">
        <v>45769</v>
      </c>
      <c r="C745" s="1" t="n">
        <v>46133</v>
      </c>
      <c r="D745" t="inlineStr">
        <is>
          <t>NORRBOTTENS LÄN</t>
        </is>
      </c>
      <c r="E745" t="inlineStr">
        <is>
          <t>PAJALA</t>
        </is>
      </c>
      <c r="G745" t="n">
        <v>0.6</v>
      </c>
      <c r="H745" t="n">
        <v>0</v>
      </c>
      <c r="I745" t="n">
        <v>0</v>
      </c>
      <c r="J745" t="n">
        <v>0</v>
      </c>
      <c r="K745" t="n">
        <v>0</v>
      </c>
      <c r="L745" t="n">
        <v>0</v>
      </c>
      <c r="M745" t="n">
        <v>0</v>
      </c>
      <c r="N745" t="n">
        <v>0</v>
      </c>
      <c r="O745" t="n">
        <v>0</v>
      </c>
      <c r="P745" t="n">
        <v>0</v>
      </c>
      <c r="Q745" t="n">
        <v>0</v>
      </c>
      <c r="R745" s="2" t="inlineStr"/>
    </row>
    <row r="746" ht="15" customHeight="1">
      <c r="A746" t="inlineStr">
        <is>
          <t>A 56448-2022</t>
        </is>
      </c>
      <c r="B746" s="1" t="n">
        <v>44892.82552083334</v>
      </c>
      <c r="C746" s="1" t="n">
        <v>46133</v>
      </c>
      <c r="D746" t="inlineStr">
        <is>
          <t>NORRBOTTENS LÄN</t>
        </is>
      </c>
      <c r="E746" t="inlineStr">
        <is>
          <t>PAJALA</t>
        </is>
      </c>
      <c r="G746" t="n">
        <v>1</v>
      </c>
      <c r="H746" t="n">
        <v>0</v>
      </c>
      <c r="I746" t="n">
        <v>0</v>
      </c>
      <c r="J746" t="n">
        <v>0</v>
      </c>
      <c r="K746" t="n">
        <v>0</v>
      </c>
      <c r="L746" t="n">
        <v>0</v>
      </c>
      <c r="M746" t="n">
        <v>0</v>
      </c>
      <c r="N746" t="n">
        <v>0</v>
      </c>
      <c r="O746" t="n">
        <v>0</v>
      </c>
      <c r="P746" t="n">
        <v>0</v>
      </c>
      <c r="Q746" t="n">
        <v>0</v>
      </c>
      <c r="R746" s="2" t="inlineStr"/>
    </row>
    <row r="747" ht="15" customHeight="1">
      <c r="A747" t="inlineStr">
        <is>
          <t>A 5336-2023</t>
        </is>
      </c>
      <c r="B747" s="1" t="n">
        <v>44959</v>
      </c>
      <c r="C747" s="1" t="n">
        <v>46133</v>
      </c>
      <c r="D747" t="inlineStr">
        <is>
          <t>NORRBOTTENS LÄN</t>
        </is>
      </c>
      <c r="E747" t="inlineStr">
        <is>
          <t>PAJALA</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25497-2024</t>
        </is>
      </c>
      <c r="B748" s="1" t="n">
        <v>45463</v>
      </c>
      <c r="C748" s="1" t="n">
        <v>46133</v>
      </c>
      <c r="D748" t="inlineStr">
        <is>
          <t>NORRBOTTENS LÄN</t>
        </is>
      </c>
      <c r="E748" t="inlineStr">
        <is>
          <t>PAJALA</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30416-2024</t>
        </is>
      </c>
      <c r="B749" s="1" t="n">
        <v>45491.64596064815</v>
      </c>
      <c r="C749" s="1" t="n">
        <v>46133</v>
      </c>
      <c r="D749" t="inlineStr">
        <is>
          <t>NORRBOTTENS LÄN</t>
        </is>
      </c>
      <c r="E749" t="inlineStr">
        <is>
          <t>PAJALA</t>
        </is>
      </c>
      <c r="G749" t="n">
        <v>61.1</v>
      </c>
      <c r="H749" t="n">
        <v>0</v>
      </c>
      <c r="I749" t="n">
        <v>0</v>
      </c>
      <c r="J749" t="n">
        <v>0</v>
      </c>
      <c r="K749" t="n">
        <v>0</v>
      </c>
      <c r="L749" t="n">
        <v>0</v>
      </c>
      <c r="M749" t="n">
        <v>0</v>
      </c>
      <c r="N749" t="n">
        <v>0</v>
      </c>
      <c r="O749" t="n">
        <v>0</v>
      </c>
      <c r="P749" t="n">
        <v>0</v>
      </c>
      <c r="Q749" t="n">
        <v>0</v>
      </c>
      <c r="R749" s="2" t="inlineStr"/>
    </row>
    <row r="750" ht="15" customHeight="1">
      <c r="A750" t="inlineStr">
        <is>
          <t>A 55343-2024</t>
        </is>
      </c>
      <c r="B750" s="1" t="n">
        <v>45621.71971064815</v>
      </c>
      <c r="C750" s="1" t="n">
        <v>46133</v>
      </c>
      <c r="D750" t="inlineStr">
        <is>
          <t>NORRBOTTENS LÄN</t>
        </is>
      </c>
      <c r="E750" t="inlineStr">
        <is>
          <t>PAJALA</t>
        </is>
      </c>
      <c r="G750" t="n">
        <v>0.4</v>
      </c>
      <c r="H750" t="n">
        <v>0</v>
      </c>
      <c r="I750" t="n">
        <v>0</v>
      </c>
      <c r="J750" t="n">
        <v>0</v>
      </c>
      <c r="K750" t="n">
        <v>0</v>
      </c>
      <c r="L750" t="n">
        <v>0</v>
      </c>
      <c r="M750" t="n">
        <v>0</v>
      </c>
      <c r="N750" t="n">
        <v>0</v>
      </c>
      <c r="O750" t="n">
        <v>0</v>
      </c>
      <c r="P750" t="n">
        <v>0</v>
      </c>
      <c r="Q750" t="n">
        <v>0</v>
      </c>
      <c r="R750" s="2" t="inlineStr"/>
    </row>
    <row r="751" ht="15" customHeight="1">
      <c r="A751" t="inlineStr">
        <is>
          <t>A 17803-2024</t>
        </is>
      </c>
      <c r="B751" s="1" t="n">
        <v>45418</v>
      </c>
      <c r="C751" s="1" t="n">
        <v>46133</v>
      </c>
      <c r="D751" t="inlineStr">
        <is>
          <t>NORRBOTTENS LÄN</t>
        </is>
      </c>
      <c r="E751" t="inlineStr">
        <is>
          <t>PAJALA</t>
        </is>
      </c>
      <c r="G751" t="n">
        <v>2.1</v>
      </c>
      <c r="H751" t="n">
        <v>0</v>
      </c>
      <c r="I751" t="n">
        <v>0</v>
      </c>
      <c r="J751" t="n">
        <v>0</v>
      </c>
      <c r="K751" t="n">
        <v>0</v>
      </c>
      <c r="L751" t="n">
        <v>0</v>
      </c>
      <c r="M751" t="n">
        <v>0</v>
      </c>
      <c r="N751" t="n">
        <v>0</v>
      </c>
      <c r="O751" t="n">
        <v>0</v>
      </c>
      <c r="P751" t="n">
        <v>0</v>
      </c>
      <c r="Q751" t="n">
        <v>0</v>
      </c>
      <c r="R751" s="2" t="inlineStr"/>
    </row>
    <row r="752" ht="15" customHeight="1">
      <c r="A752" t="inlineStr">
        <is>
          <t>A 46951-2024</t>
        </is>
      </c>
      <c r="B752" s="1" t="n">
        <v>45585</v>
      </c>
      <c r="C752" s="1" t="n">
        <v>46133</v>
      </c>
      <c r="D752" t="inlineStr">
        <is>
          <t>NORRBOTTENS LÄN</t>
        </is>
      </c>
      <c r="E752" t="inlineStr">
        <is>
          <t>PAJALA</t>
        </is>
      </c>
      <c r="G752" t="n">
        <v>13</v>
      </c>
      <c r="H752" t="n">
        <v>0</v>
      </c>
      <c r="I752" t="n">
        <v>0</v>
      </c>
      <c r="J752" t="n">
        <v>0</v>
      </c>
      <c r="K752" t="n">
        <v>0</v>
      </c>
      <c r="L752" t="n">
        <v>0</v>
      </c>
      <c r="M752" t="n">
        <v>0</v>
      </c>
      <c r="N752" t="n">
        <v>0</v>
      </c>
      <c r="O752" t="n">
        <v>0</v>
      </c>
      <c r="P752" t="n">
        <v>0</v>
      </c>
      <c r="Q752" t="n">
        <v>0</v>
      </c>
      <c r="R752" s="2" t="inlineStr"/>
    </row>
    <row r="753" ht="15" customHeight="1">
      <c r="A753" t="inlineStr">
        <is>
          <t>A 7033-2023</t>
        </is>
      </c>
      <c r="B753" s="1" t="n">
        <v>44968</v>
      </c>
      <c r="C753" s="1" t="n">
        <v>46133</v>
      </c>
      <c r="D753" t="inlineStr">
        <is>
          <t>NORRBOTTENS LÄN</t>
        </is>
      </c>
      <c r="E753" t="inlineStr">
        <is>
          <t>PAJALA</t>
        </is>
      </c>
      <c r="G753" t="n">
        <v>2.9</v>
      </c>
      <c r="H753" t="n">
        <v>0</v>
      </c>
      <c r="I753" t="n">
        <v>0</v>
      </c>
      <c r="J753" t="n">
        <v>0</v>
      </c>
      <c r="K753" t="n">
        <v>0</v>
      </c>
      <c r="L753" t="n">
        <v>0</v>
      </c>
      <c r="M753" t="n">
        <v>0</v>
      </c>
      <c r="N753" t="n">
        <v>0</v>
      </c>
      <c r="O753" t="n">
        <v>0</v>
      </c>
      <c r="P753" t="n">
        <v>0</v>
      </c>
      <c r="Q753" t="n">
        <v>0</v>
      </c>
      <c r="R753" s="2" t="inlineStr"/>
    </row>
    <row r="754" ht="15" customHeight="1">
      <c r="A754" t="inlineStr">
        <is>
          <t>A 58699-2023</t>
        </is>
      </c>
      <c r="B754" s="1" t="n">
        <v>45251.68087962963</v>
      </c>
      <c r="C754" s="1" t="n">
        <v>46133</v>
      </c>
      <c r="D754" t="inlineStr">
        <is>
          <t>NORRBOTTENS LÄN</t>
        </is>
      </c>
      <c r="E754" t="inlineStr">
        <is>
          <t>PAJALA</t>
        </is>
      </c>
      <c r="G754" t="n">
        <v>0.9</v>
      </c>
      <c r="H754" t="n">
        <v>0</v>
      </c>
      <c r="I754" t="n">
        <v>0</v>
      </c>
      <c r="J754" t="n">
        <v>0</v>
      </c>
      <c r="K754" t="n">
        <v>0</v>
      </c>
      <c r="L754" t="n">
        <v>0</v>
      </c>
      <c r="M754" t="n">
        <v>0</v>
      </c>
      <c r="N754" t="n">
        <v>0</v>
      </c>
      <c r="O754" t="n">
        <v>0</v>
      </c>
      <c r="P754" t="n">
        <v>0</v>
      </c>
      <c r="Q754" t="n">
        <v>0</v>
      </c>
      <c r="R754" s="2" t="inlineStr"/>
    </row>
    <row r="755" ht="15" customHeight="1">
      <c r="A755" t="inlineStr">
        <is>
          <t>A 46851-2024</t>
        </is>
      </c>
      <c r="B755" s="1" t="n">
        <v>45583.61528935185</v>
      </c>
      <c r="C755" s="1" t="n">
        <v>46133</v>
      </c>
      <c r="D755" t="inlineStr">
        <is>
          <t>NORRBOTTENS LÄN</t>
        </is>
      </c>
      <c r="E755" t="inlineStr">
        <is>
          <t>PAJALA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42888-2024</t>
        </is>
      </c>
      <c r="B756" s="1" t="n">
        <v>45566</v>
      </c>
      <c r="C756" s="1" t="n">
        <v>46133</v>
      </c>
      <c r="D756" t="inlineStr">
        <is>
          <t>NORRBOTTENS LÄN</t>
        </is>
      </c>
      <c r="E756" t="inlineStr">
        <is>
          <t>PAJALA</t>
        </is>
      </c>
      <c r="G756" t="n">
        <v>8.4</v>
      </c>
      <c r="H756" t="n">
        <v>0</v>
      </c>
      <c r="I756" t="n">
        <v>0</v>
      </c>
      <c r="J756" t="n">
        <v>0</v>
      </c>
      <c r="K756" t="n">
        <v>0</v>
      </c>
      <c r="L756" t="n">
        <v>0</v>
      </c>
      <c r="M756" t="n">
        <v>0</v>
      </c>
      <c r="N756" t="n">
        <v>0</v>
      </c>
      <c r="O756" t="n">
        <v>0</v>
      </c>
      <c r="P756" t="n">
        <v>0</v>
      </c>
      <c r="Q756" t="n">
        <v>0</v>
      </c>
      <c r="R756" s="2" t="inlineStr"/>
    </row>
    <row r="757" ht="15" customHeight="1">
      <c r="A757" t="inlineStr">
        <is>
          <t>A 41504-2022</t>
        </is>
      </c>
      <c r="B757" s="1" t="n">
        <v>44824</v>
      </c>
      <c r="C757" s="1" t="n">
        <v>46133</v>
      </c>
      <c r="D757" t="inlineStr">
        <is>
          <t>NORRBOTTENS LÄN</t>
        </is>
      </c>
      <c r="E757" t="inlineStr">
        <is>
          <t>PAJALA</t>
        </is>
      </c>
      <c r="G757" t="n">
        <v>15.4</v>
      </c>
      <c r="H757" t="n">
        <v>0</v>
      </c>
      <c r="I757" t="n">
        <v>0</v>
      </c>
      <c r="J757" t="n">
        <v>0</v>
      </c>
      <c r="K757" t="n">
        <v>0</v>
      </c>
      <c r="L757" t="n">
        <v>0</v>
      </c>
      <c r="M757" t="n">
        <v>0</v>
      </c>
      <c r="N757" t="n">
        <v>0</v>
      </c>
      <c r="O757" t="n">
        <v>0</v>
      </c>
      <c r="P757" t="n">
        <v>0</v>
      </c>
      <c r="Q757" t="n">
        <v>0</v>
      </c>
      <c r="R757" s="2" t="inlineStr"/>
    </row>
    <row r="758" ht="15" customHeight="1">
      <c r="A758" t="inlineStr">
        <is>
          <t>A 36962-2023</t>
        </is>
      </c>
      <c r="B758" s="1" t="n">
        <v>45154.93099537037</v>
      </c>
      <c r="C758" s="1" t="n">
        <v>46133</v>
      </c>
      <c r="D758" t="inlineStr">
        <is>
          <t>NORRBOTTENS LÄN</t>
        </is>
      </c>
      <c r="E758" t="inlineStr">
        <is>
          <t>PAJALA</t>
        </is>
      </c>
      <c r="G758" t="n">
        <v>2.4</v>
      </c>
      <c r="H758" t="n">
        <v>0</v>
      </c>
      <c r="I758" t="n">
        <v>0</v>
      </c>
      <c r="J758" t="n">
        <v>0</v>
      </c>
      <c r="K758" t="n">
        <v>0</v>
      </c>
      <c r="L758" t="n">
        <v>0</v>
      </c>
      <c r="M758" t="n">
        <v>0</v>
      </c>
      <c r="N758" t="n">
        <v>0</v>
      </c>
      <c r="O758" t="n">
        <v>0</v>
      </c>
      <c r="P758" t="n">
        <v>0</v>
      </c>
      <c r="Q758" t="n">
        <v>0</v>
      </c>
      <c r="R758" s="2" t="inlineStr"/>
    </row>
    <row r="759" ht="15" customHeight="1">
      <c r="A759" t="inlineStr">
        <is>
          <t>A 19046-2024</t>
        </is>
      </c>
      <c r="B759" s="1" t="n">
        <v>45427.7460300926</v>
      </c>
      <c r="C759" s="1" t="n">
        <v>46133</v>
      </c>
      <c r="D759" t="inlineStr">
        <is>
          <t>NORRBOTTENS LÄN</t>
        </is>
      </c>
      <c r="E759" t="inlineStr">
        <is>
          <t>PAJALA</t>
        </is>
      </c>
      <c r="G759" t="n">
        <v>2.9</v>
      </c>
      <c r="H759" t="n">
        <v>0</v>
      </c>
      <c r="I759" t="n">
        <v>0</v>
      </c>
      <c r="J759" t="n">
        <v>0</v>
      </c>
      <c r="K759" t="n">
        <v>0</v>
      </c>
      <c r="L759" t="n">
        <v>0</v>
      </c>
      <c r="M759" t="n">
        <v>0</v>
      </c>
      <c r="N759" t="n">
        <v>0</v>
      </c>
      <c r="O759" t="n">
        <v>0</v>
      </c>
      <c r="P759" t="n">
        <v>0</v>
      </c>
      <c r="Q759" t="n">
        <v>0</v>
      </c>
      <c r="R759" s="2" t="inlineStr"/>
    </row>
    <row r="760" ht="15" customHeight="1">
      <c r="A760" t="inlineStr">
        <is>
          <t>A 13464-2025</t>
        </is>
      </c>
      <c r="B760" s="1" t="n">
        <v>45736</v>
      </c>
      <c r="C760" s="1" t="n">
        <v>46133</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57559-2024</t>
        </is>
      </c>
      <c r="B761" s="1" t="n">
        <v>45630</v>
      </c>
      <c r="C761" s="1" t="n">
        <v>46133</v>
      </c>
      <c r="D761" t="inlineStr">
        <is>
          <t>NORRBOTTENS LÄN</t>
        </is>
      </c>
      <c r="E761" t="inlineStr">
        <is>
          <t>PAJALA</t>
        </is>
      </c>
      <c r="G761" t="n">
        <v>6.8</v>
      </c>
      <c r="H761" t="n">
        <v>0</v>
      </c>
      <c r="I761" t="n">
        <v>0</v>
      </c>
      <c r="J761" t="n">
        <v>0</v>
      </c>
      <c r="K761" t="n">
        <v>0</v>
      </c>
      <c r="L761" t="n">
        <v>0</v>
      </c>
      <c r="M761" t="n">
        <v>0</v>
      </c>
      <c r="N761" t="n">
        <v>0</v>
      </c>
      <c r="O761" t="n">
        <v>0</v>
      </c>
      <c r="P761" t="n">
        <v>0</v>
      </c>
      <c r="Q761" t="n">
        <v>0</v>
      </c>
      <c r="R761" s="2" t="inlineStr"/>
    </row>
    <row r="762" ht="15" customHeight="1">
      <c r="A762" t="inlineStr">
        <is>
          <t>A 38860-2023</t>
        </is>
      </c>
      <c r="B762" s="1" t="n">
        <v>45163.50519675926</v>
      </c>
      <c r="C762" s="1" t="n">
        <v>46133</v>
      </c>
      <c r="D762" t="inlineStr">
        <is>
          <t>NORRBOTTENS LÄN</t>
        </is>
      </c>
      <c r="E762" t="inlineStr">
        <is>
          <t>PAJALA</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38660-2023</t>
        </is>
      </c>
      <c r="B763" s="1" t="n">
        <v>45162.85289351852</v>
      </c>
      <c r="C763" s="1" t="n">
        <v>46133</v>
      </c>
      <c r="D763" t="inlineStr">
        <is>
          <t>NORRBOTTENS LÄN</t>
        </is>
      </c>
      <c r="E763" t="inlineStr">
        <is>
          <t>PAJALA</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48484-2024</t>
        </is>
      </c>
      <c r="B764" s="1" t="n">
        <v>45592.36651620371</v>
      </c>
      <c r="C764" s="1" t="n">
        <v>46133</v>
      </c>
      <c r="D764" t="inlineStr">
        <is>
          <t>NORRBOTTENS LÄN</t>
        </is>
      </c>
      <c r="E764" t="inlineStr">
        <is>
          <t>PAJALA</t>
        </is>
      </c>
      <c r="G764" t="n">
        <v>2.7</v>
      </c>
      <c r="H764" t="n">
        <v>0</v>
      </c>
      <c r="I764" t="n">
        <v>0</v>
      </c>
      <c r="J764" t="n">
        <v>0</v>
      </c>
      <c r="K764" t="n">
        <v>0</v>
      </c>
      <c r="L764" t="n">
        <v>0</v>
      </c>
      <c r="M764" t="n">
        <v>0</v>
      </c>
      <c r="N764" t="n">
        <v>0</v>
      </c>
      <c r="O764" t="n">
        <v>0</v>
      </c>
      <c r="P764" t="n">
        <v>0</v>
      </c>
      <c r="Q764" t="n">
        <v>0</v>
      </c>
      <c r="R764" s="2" t="inlineStr"/>
    </row>
    <row r="765" ht="15" customHeight="1">
      <c r="A765" t="inlineStr">
        <is>
          <t>A 17000-2023</t>
        </is>
      </c>
      <c r="B765" s="1" t="n">
        <v>45033</v>
      </c>
      <c r="C765" s="1" t="n">
        <v>46133</v>
      </c>
      <c r="D765" t="inlineStr">
        <is>
          <t>NORRBOTTENS LÄN</t>
        </is>
      </c>
      <c r="E765" t="inlineStr">
        <is>
          <t>PAJALA</t>
        </is>
      </c>
      <c r="G765" t="n">
        <v>1.6</v>
      </c>
      <c r="H765" t="n">
        <v>0</v>
      </c>
      <c r="I765" t="n">
        <v>0</v>
      </c>
      <c r="J765" t="n">
        <v>0</v>
      </c>
      <c r="K765" t="n">
        <v>0</v>
      </c>
      <c r="L765" t="n">
        <v>0</v>
      </c>
      <c r="M765" t="n">
        <v>0</v>
      </c>
      <c r="N765" t="n">
        <v>0</v>
      </c>
      <c r="O765" t="n">
        <v>0</v>
      </c>
      <c r="P765" t="n">
        <v>0</v>
      </c>
      <c r="Q765" t="n">
        <v>0</v>
      </c>
      <c r="R765" s="2" t="inlineStr"/>
    </row>
    <row r="766" ht="15" customHeight="1">
      <c r="A766" t="inlineStr">
        <is>
          <t>A 29604-2024</t>
        </is>
      </c>
      <c r="B766" s="1" t="n">
        <v>45484.60921296296</v>
      </c>
      <c r="C766" s="1" t="n">
        <v>46133</v>
      </c>
      <c r="D766" t="inlineStr">
        <is>
          <t>NORRBOTTENS LÄN</t>
        </is>
      </c>
      <c r="E766" t="inlineStr">
        <is>
          <t>PAJALA</t>
        </is>
      </c>
      <c r="G766" t="n">
        <v>6.6</v>
      </c>
      <c r="H766" t="n">
        <v>0</v>
      </c>
      <c r="I766" t="n">
        <v>0</v>
      </c>
      <c r="J766" t="n">
        <v>0</v>
      </c>
      <c r="K766" t="n">
        <v>0</v>
      </c>
      <c r="L766" t="n">
        <v>0</v>
      </c>
      <c r="M766" t="n">
        <v>0</v>
      </c>
      <c r="N766" t="n">
        <v>0</v>
      </c>
      <c r="O766" t="n">
        <v>0</v>
      </c>
      <c r="P766" t="n">
        <v>0</v>
      </c>
      <c r="Q766" t="n">
        <v>0</v>
      </c>
      <c r="R766" s="2" t="inlineStr"/>
    </row>
    <row r="767" ht="15" customHeight="1">
      <c r="A767" t="inlineStr">
        <is>
          <t>A 21058-2025</t>
        </is>
      </c>
      <c r="B767" s="1" t="n">
        <v>45777.5744212963</v>
      </c>
      <c r="C767" s="1" t="n">
        <v>46133</v>
      </c>
      <c r="D767" t="inlineStr">
        <is>
          <t>NORRBOTTENS LÄN</t>
        </is>
      </c>
      <c r="E767" t="inlineStr">
        <is>
          <t>PAJALA</t>
        </is>
      </c>
      <c r="F767" t="inlineStr">
        <is>
          <t>Sveaskog</t>
        </is>
      </c>
      <c r="G767" t="n">
        <v>44.2</v>
      </c>
      <c r="H767" t="n">
        <v>0</v>
      </c>
      <c r="I767" t="n">
        <v>0</v>
      </c>
      <c r="J767" t="n">
        <v>0</v>
      </c>
      <c r="K767" t="n">
        <v>0</v>
      </c>
      <c r="L767" t="n">
        <v>0</v>
      </c>
      <c r="M767" t="n">
        <v>0</v>
      </c>
      <c r="N767" t="n">
        <v>0</v>
      </c>
      <c r="O767" t="n">
        <v>0</v>
      </c>
      <c r="P767" t="n">
        <v>0</v>
      </c>
      <c r="Q767" t="n">
        <v>0</v>
      </c>
      <c r="R767" s="2" t="inlineStr"/>
    </row>
    <row r="768" ht="15" customHeight="1">
      <c r="A768" t="inlineStr">
        <is>
          <t>A 54818-2023</t>
        </is>
      </c>
      <c r="B768" s="1" t="n">
        <v>45236</v>
      </c>
      <c r="C768" s="1" t="n">
        <v>46133</v>
      </c>
      <c r="D768" t="inlineStr">
        <is>
          <t>NORRBOTTENS LÄN</t>
        </is>
      </c>
      <c r="E768" t="inlineStr">
        <is>
          <t>PAJALA</t>
        </is>
      </c>
      <c r="G768" t="n">
        <v>25.4</v>
      </c>
      <c r="H768" t="n">
        <v>0</v>
      </c>
      <c r="I768" t="n">
        <v>0</v>
      </c>
      <c r="J768" t="n">
        <v>0</v>
      </c>
      <c r="K768" t="n">
        <v>0</v>
      </c>
      <c r="L768" t="n">
        <v>0</v>
      </c>
      <c r="M768" t="n">
        <v>0</v>
      </c>
      <c r="N768" t="n">
        <v>0</v>
      </c>
      <c r="O768" t="n">
        <v>0</v>
      </c>
      <c r="P768" t="n">
        <v>0</v>
      </c>
      <c r="Q768" t="n">
        <v>0</v>
      </c>
      <c r="R768" s="2" t="inlineStr"/>
    </row>
    <row r="769" ht="15" customHeight="1">
      <c r="A769" t="inlineStr">
        <is>
          <t>A 21101-2025</t>
        </is>
      </c>
      <c r="B769" s="1" t="n">
        <v>45777</v>
      </c>
      <c r="C769" s="1" t="n">
        <v>46133</v>
      </c>
      <c r="D769" t="inlineStr">
        <is>
          <t>NORRBOTTENS LÄN</t>
        </is>
      </c>
      <c r="E769" t="inlineStr">
        <is>
          <t>PAJALA</t>
        </is>
      </c>
      <c r="G769" t="n">
        <v>4.4</v>
      </c>
      <c r="H769" t="n">
        <v>0</v>
      </c>
      <c r="I769" t="n">
        <v>0</v>
      </c>
      <c r="J769" t="n">
        <v>0</v>
      </c>
      <c r="K769" t="n">
        <v>0</v>
      </c>
      <c r="L769" t="n">
        <v>0</v>
      </c>
      <c r="M769" t="n">
        <v>0</v>
      </c>
      <c r="N769" t="n">
        <v>0</v>
      </c>
      <c r="O769" t="n">
        <v>0</v>
      </c>
      <c r="P769" t="n">
        <v>0</v>
      </c>
      <c r="Q769" t="n">
        <v>0</v>
      </c>
      <c r="R769" s="2" t="inlineStr"/>
    </row>
    <row r="770" ht="15" customHeight="1">
      <c r="A770" t="inlineStr">
        <is>
          <t>A 21103-2025</t>
        </is>
      </c>
      <c r="B770" s="1" t="n">
        <v>45777.65921296296</v>
      </c>
      <c r="C770" s="1" t="n">
        <v>46133</v>
      </c>
      <c r="D770" t="inlineStr">
        <is>
          <t>NORRBOTTENS LÄN</t>
        </is>
      </c>
      <c r="E770" t="inlineStr">
        <is>
          <t>PAJALA</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40947-2024</t>
        </is>
      </c>
      <c r="B771" s="1" t="n">
        <v>45558</v>
      </c>
      <c r="C771" s="1" t="n">
        <v>46133</v>
      </c>
      <c r="D771" t="inlineStr">
        <is>
          <t>NORRBOTTENS LÄN</t>
        </is>
      </c>
      <c r="E771" t="inlineStr">
        <is>
          <t>PAJALA</t>
        </is>
      </c>
      <c r="G771" t="n">
        <v>6.9</v>
      </c>
      <c r="H771" t="n">
        <v>0</v>
      </c>
      <c r="I771" t="n">
        <v>0</v>
      </c>
      <c r="J771" t="n">
        <v>0</v>
      </c>
      <c r="K771" t="n">
        <v>0</v>
      </c>
      <c r="L771" t="n">
        <v>0</v>
      </c>
      <c r="M771" t="n">
        <v>0</v>
      </c>
      <c r="N771" t="n">
        <v>0</v>
      </c>
      <c r="O771" t="n">
        <v>0</v>
      </c>
      <c r="P771" t="n">
        <v>0</v>
      </c>
      <c r="Q771" t="n">
        <v>0</v>
      </c>
      <c r="R771" s="2" t="inlineStr"/>
    </row>
    <row r="772" ht="15" customHeight="1">
      <c r="A772" t="inlineStr">
        <is>
          <t>A 21380-2025</t>
        </is>
      </c>
      <c r="B772" s="1" t="n">
        <v>45782</v>
      </c>
      <c r="C772" s="1" t="n">
        <v>46133</v>
      </c>
      <c r="D772" t="inlineStr">
        <is>
          <t>NORRBOTTENS LÄN</t>
        </is>
      </c>
      <c r="E772" t="inlineStr">
        <is>
          <t>PAJALA</t>
        </is>
      </c>
      <c r="G772" t="n">
        <v>4.3</v>
      </c>
      <c r="H772" t="n">
        <v>0</v>
      </c>
      <c r="I772" t="n">
        <v>0</v>
      </c>
      <c r="J772" t="n">
        <v>0</v>
      </c>
      <c r="K772" t="n">
        <v>0</v>
      </c>
      <c r="L772" t="n">
        <v>0</v>
      </c>
      <c r="M772" t="n">
        <v>0</v>
      </c>
      <c r="N772" t="n">
        <v>0</v>
      </c>
      <c r="O772" t="n">
        <v>0</v>
      </c>
      <c r="P772" t="n">
        <v>0</v>
      </c>
      <c r="Q772" t="n">
        <v>0</v>
      </c>
      <c r="R772" s="2" t="inlineStr"/>
    </row>
    <row r="773" ht="15" customHeight="1">
      <c r="A773" t="inlineStr">
        <is>
          <t>A 21295-2025</t>
        </is>
      </c>
      <c r="B773" s="1" t="n">
        <v>45780</v>
      </c>
      <c r="C773" s="1" t="n">
        <v>46133</v>
      </c>
      <c r="D773" t="inlineStr">
        <is>
          <t>NORRBOTTENS LÄN</t>
        </is>
      </c>
      <c r="E773" t="inlineStr">
        <is>
          <t>PAJALA</t>
        </is>
      </c>
      <c r="G773" t="n">
        <v>1.3</v>
      </c>
      <c r="H773" t="n">
        <v>0</v>
      </c>
      <c r="I773" t="n">
        <v>0</v>
      </c>
      <c r="J773" t="n">
        <v>0</v>
      </c>
      <c r="K773" t="n">
        <v>0</v>
      </c>
      <c r="L773" t="n">
        <v>0</v>
      </c>
      <c r="M773" t="n">
        <v>0</v>
      </c>
      <c r="N773" t="n">
        <v>0</v>
      </c>
      <c r="O773" t="n">
        <v>0</v>
      </c>
      <c r="P773" t="n">
        <v>0</v>
      </c>
      <c r="Q773" t="n">
        <v>0</v>
      </c>
      <c r="R773" s="2" t="inlineStr"/>
    </row>
    <row r="774" ht="15" customHeight="1">
      <c r="A774" t="inlineStr">
        <is>
          <t>A 14336-2025</t>
        </is>
      </c>
      <c r="B774" s="1" t="n">
        <v>45740.9174537037</v>
      </c>
      <c r="C774" s="1" t="n">
        <v>46133</v>
      </c>
      <c r="D774" t="inlineStr">
        <is>
          <t>NORRBOTTENS LÄN</t>
        </is>
      </c>
      <c r="E774" t="inlineStr">
        <is>
          <t>PAJALA</t>
        </is>
      </c>
      <c r="G774" t="n">
        <v>17.5</v>
      </c>
      <c r="H774" t="n">
        <v>0</v>
      </c>
      <c r="I774" t="n">
        <v>0</v>
      </c>
      <c r="J774" t="n">
        <v>0</v>
      </c>
      <c r="K774" t="n">
        <v>0</v>
      </c>
      <c r="L774" t="n">
        <v>0</v>
      </c>
      <c r="M774" t="n">
        <v>0</v>
      </c>
      <c r="N774" t="n">
        <v>0</v>
      </c>
      <c r="O774" t="n">
        <v>0</v>
      </c>
      <c r="P774" t="n">
        <v>0</v>
      </c>
      <c r="Q774" t="n">
        <v>0</v>
      </c>
      <c r="R774" s="2" t="inlineStr"/>
    </row>
    <row r="775">
      <c r="A775" t="inlineStr">
        <is>
          <t>A 22522-2025</t>
        </is>
      </c>
      <c r="B775" s="1" t="n">
        <v>45786.69824074074</v>
      </c>
      <c r="C775" s="1" t="n">
        <v>46133</v>
      </c>
      <c r="D775" t="inlineStr">
        <is>
          <t>NORRBOTTENS LÄN</t>
        </is>
      </c>
      <c r="E775" t="inlineStr">
        <is>
          <t>PAJALA</t>
        </is>
      </c>
      <c r="F775" t="inlineStr">
        <is>
          <t>SCA</t>
        </is>
      </c>
      <c r="G775" t="n">
        <v>4</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2026-04-21T10:50:59Z</dcterms:created>
  <dcterms:modified xmlns:dcterms="http://purl.org/dc/terms/" xmlns:xsi="http://www.w3.org/2001/XMLSchema-instance" xsi:type="dcterms:W3CDTF">2026-04-21T10:50:59Z</dcterms:modified>
</cp:coreProperties>
</file>