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45744</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45744</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45744</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45744</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45744</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45744</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45744</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45744</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45744</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45744</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45744</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45744</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45744</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45744</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45744</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45744</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45744</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45744</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45744</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33313-2020</t>
        </is>
      </c>
      <c r="B21" s="1" t="n">
        <v>44022</v>
      </c>
      <c r="C21" s="1" t="n">
        <v>45744</v>
      </c>
      <c r="D21" t="inlineStr">
        <is>
          <t>NORRBOTTENS LÄN</t>
        </is>
      </c>
      <c r="E21" t="inlineStr">
        <is>
          <t>PAJALA</t>
        </is>
      </c>
      <c r="F21" t="inlineStr">
        <is>
          <t>Sveaskog</t>
        </is>
      </c>
      <c r="G21" t="n">
        <v>7.3</v>
      </c>
      <c r="H21" t="n">
        <v>1</v>
      </c>
      <c r="I21" t="n">
        <v>0</v>
      </c>
      <c r="J21" t="n">
        <v>4</v>
      </c>
      <c r="K21" t="n">
        <v>0</v>
      </c>
      <c r="L21" t="n">
        <v>0</v>
      </c>
      <c r="M21" t="n">
        <v>0</v>
      </c>
      <c r="N21" t="n">
        <v>0</v>
      </c>
      <c r="O21" t="n">
        <v>4</v>
      </c>
      <c r="P21" t="n">
        <v>0</v>
      </c>
      <c r="Q21" t="n">
        <v>4</v>
      </c>
      <c r="R21" s="2" t="inlineStr">
        <is>
          <t>Gammelgransskål
Garnlav
Talltita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c r="Z21">
        <f>HYPERLINK("https://klasma.github.io/Logging_2521/fåglar/A 33313-2020 prioriterade fågelarter.docx", "A 33313-2020")</f>
        <v/>
      </c>
    </row>
    <row r="22" ht="15" customHeight="1">
      <c r="A22" t="inlineStr">
        <is>
          <t>A 7955-2022</t>
        </is>
      </c>
      <c r="B22" s="1" t="n">
        <v>44608</v>
      </c>
      <c r="C22" s="1" t="n">
        <v>45744</v>
      </c>
      <c r="D22" t="inlineStr">
        <is>
          <t>NORRBOTTENS LÄN</t>
        </is>
      </c>
      <c r="E22" t="inlineStr">
        <is>
          <t>PAJALA</t>
        </is>
      </c>
      <c r="F22" t="inlineStr">
        <is>
          <t>SCA</t>
        </is>
      </c>
      <c r="G22" t="n">
        <v>4.8</v>
      </c>
      <c r="H22" t="n">
        <v>0</v>
      </c>
      <c r="I22" t="n">
        <v>0</v>
      </c>
      <c r="J22" t="n">
        <v>4</v>
      </c>
      <c r="K22" t="n">
        <v>0</v>
      </c>
      <c r="L22" t="n">
        <v>0</v>
      </c>
      <c r="M22" t="n">
        <v>0</v>
      </c>
      <c r="N22" t="n">
        <v>0</v>
      </c>
      <c r="O22" t="n">
        <v>4</v>
      </c>
      <c r="P22" t="n">
        <v>0</v>
      </c>
      <c r="Q22" t="n">
        <v>4</v>
      </c>
      <c r="R22" s="2" t="inlineStr">
        <is>
          <t>Gammelgransskål
Granticka
Rosenticka
Ullticka</t>
        </is>
      </c>
      <c r="S22">
        <f>HYPERLINK("https://klasma.github.io/Logging_2521/artfynd/A 7955-2022 artfynd.xlsx", "A 7955-2022")</f>
        <v/>
      </c>
      <c r="T22">
        <f>HYPERLINK("https://klasma.github.io/Logging_2521/kartor/A 7955-2022 karta.png", "A 7955-2022")</f>
        <v/>
      </c>
      <c r="V22">
        <f>HYPERLINK("https://klasma.github.io/Logging_2521/klagomål/A 7955-2022 FSC-klagomål.docx", "A 7955-2022")</f>
        <v/>
      </c>
      <c r="W22">
        <f>HYPERLINK("https://klasma.github.io/Logging_2521/klagomålsmail/A 7955-2022 FSC-klagomål mail.docx", "A 7955-2022")</f>
        <v/>
      </c>
      <c r="X22">
        <f>HYPERLINK("https://klasma.github.io/Logging_2521/tillsyn/A 7955-2022 tillsynsbegäran.docx", "A 7955-2022")</f>
        <v/>
      </c>
      <c r="Y22">
        <f>HYPERLINK("https://klasma.github.io/Logging_2521/tillsynsmail/A 7955-2022 tillsynsbegäran mail.docx", "A 7955-2022")</f>
        <v/>
      </c>
    </row>
    <row r="23" ht="15" customHeight="1">
      <c r="A23" t="inlineStr">
        <is>
          <t>A 33836-2020</t>
        </is>
      </c>
      <c r="B23" s="1" t="n">
        <v>44022</v>
      </c>
      <c r="C23" s="1" t="n">
        <v>45744</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45744</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45744</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45744</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45744</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45744</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45744</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45744</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45744</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45744</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45744</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45744</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45744</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45744</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45744</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45744</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45744</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45744</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45744</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45744</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45744</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45744</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45744</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45744</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45744</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45744</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45744</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45744</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45744</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45744</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45744</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45744</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45744</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45744</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45744</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45744</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45744</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45744</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45744</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45744</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45744</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45744</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45744</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45744</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45744</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45744</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45744</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45744</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45744</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45744</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45744</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45744</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45744</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45744</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45744</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45744</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45744</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45744</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45744</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45744</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45744</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45744</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45744</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45744</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45744</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45744</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45744</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45744</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45744</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45744</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45744</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45744</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45744</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45744</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45744</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45744</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45744</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45744</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45744</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45744</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45744</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45744</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45744</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45744</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45744</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45744</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45744</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45744</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45744</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45744</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45744</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45744</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45744</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45744</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45744</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45744</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45744</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45744</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45744</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45744</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45744</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45744</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45744</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45744</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45744</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45744</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45744</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45744</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45744</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45744</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45744</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45744</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45744</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45744</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45744</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45744</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45744</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45744</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45744</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45744</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45744</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45744</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45744</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45744</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45744</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45744</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45744</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45744</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45744</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45744</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45744</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45744</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45744</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45744</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45744</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45744</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45744</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45744</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45744</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45744</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45744</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45744</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45744</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45744</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45744</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45744</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45744</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45744</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45744</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45744</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45744</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45744</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45744</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45744</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45744</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45744</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45744</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45744</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45744</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45744</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45744</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45744</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45744</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45744</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45744</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45744</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45744</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45744</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45744</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45744</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45744</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45744</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45744</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45744</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45744</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45744</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45744</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45744</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45744</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45744</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45744</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45744</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45744</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45744</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45744</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45744</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45744</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45744</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45744</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45744</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45744</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45744</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45744</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45744</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45744</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45744</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45744</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45744</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45744</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45744</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45744</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45744</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45744</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45744</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45744</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45744</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45744</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45744</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45744</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45744</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45744</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45744</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45744</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45744</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45744</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45744</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45744</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45744</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45744</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45744</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45744</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45744</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45744</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45744</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45744</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45744</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45744</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45744</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45744</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45744</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45744</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45744</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45744</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45744</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45744</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45744</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45744</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45744</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45744</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45744</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45744</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45744</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45744</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45744</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45744</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45744</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45744</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45744</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45744</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45744</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45744</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45744</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45744</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45744</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45744</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45744</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45744</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45744</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45744</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45744</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45744</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45744</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45744</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45744</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45744</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45744</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45744</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45744</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45744</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45744</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45744</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45744</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45744</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45744</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45744</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45744</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45744</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45744</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45744</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45744</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45744</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45744</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45744</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45744</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45744</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45744</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45744</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45744</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45744</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45744</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45744</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45744</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45744</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45744</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45744</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45744</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45744</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45744</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45744</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45744</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45744</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45744</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45744</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45744</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45744</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45744</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45744</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45744</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45744</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45744</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45744</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45744</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45744</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45744</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45744</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45744</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45744</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45744</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45744</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45744</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45744</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45744</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45744</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45744</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45744</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45744</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45744</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45744</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45744</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45744</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45744</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45744</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45744</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45744</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45744</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45744</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45744</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45744</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45744</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45744</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45744</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45744</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45744</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45744</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45744</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45744</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45744</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45744</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45744</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45744</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45744</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45744</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45744</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45744</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45744</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45744</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45744</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45744</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45744</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45744</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45744</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45744</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45744</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45744</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45744</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45744</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45744</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45744</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45744</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45744</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45744</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45744</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45744</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45744</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45744</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45744</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45744</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45744</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45744</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45744</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45744</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45744</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45744</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45744</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45744</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45744</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45744</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45744</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45744</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45744</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45744</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45744</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45744</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45744</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45744</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45744</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45744</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45744</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45744</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45744</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45744</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45744</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45744</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45744</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45744</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45744</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45744</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45744</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45744</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45744</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45744</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45744</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45744</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45744</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45744</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45744</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45744</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45744</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45744</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45744</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45744</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45744</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45744</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45744</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45744</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45744</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45744</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45744</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45744</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45744</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45744</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45744</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45744</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45744</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45744</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45744</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45744</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45744</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45744</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45744</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45744</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45744</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45744</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45744</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45744</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45744</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45744</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45744</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45744</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45744</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45744</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45744</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45744</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45744</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45744</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45744</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45744</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45744</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45744</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45744</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45744</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45744</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45744</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45744</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45744</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45744</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45744</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45744</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45744</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45744</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45744</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45744</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45744</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45744</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45744</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45744</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45744</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45744</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45744</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45744</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45744</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45744</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45744</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45744</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45744</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45744</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45744</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45744</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45744</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45744</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45744</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45744</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45744</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45744</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45744</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45744</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45744</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45744</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45744</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45744</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45744</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45744</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45744</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45744</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45744</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45744</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45744</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45744</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45744</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45744</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45744</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45744</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45744</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45744</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45744</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45744</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45744</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45744</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45744</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45744</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45744</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45744</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45744</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45744</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45744</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45744</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45744</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45744</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45744</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45744</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45744</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45744</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45744</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45744</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45744</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45744</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45744</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45744</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45744</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45744</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45744</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45744</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45744</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45744</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45744</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45744</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45744</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45744</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45744</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45744</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45744</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45744</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45744</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45744</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45744</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45744</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45744</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45744</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45744</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45744</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45744</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45744</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45744</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45744</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45744</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45744</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45744</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45744</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45744</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45744</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45744</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45744</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45744</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45744</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45744</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45744</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45744</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45744</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45744</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45744</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45744</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45744</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45744</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45744</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45744</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45744</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45744</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45744</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45744</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45744</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45744</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45744</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45744</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45744</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45744</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45744</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45744</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45744</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45744</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45744</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45744</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45744</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45744</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45744</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45744</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45744</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45744</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45744</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45744</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45744</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45744</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45744</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45744</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45744</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45744</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45744</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45744</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45744</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45744</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45744</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45744</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45744</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45744</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45744</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45744</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45744</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45744</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45744</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45744</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45744</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45744</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45744</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45744</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45744</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45744</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45744</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45744</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45744</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45744</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45744</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45744</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45744</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45744</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45744</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45744</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45744</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45744</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45744</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45744</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45744</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45744</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45744</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45744</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45744</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45744</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45744</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45744</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45744</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45744</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45744</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45744</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45744</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45744</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45744</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45744</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45744</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45744</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45744</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45744</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45744</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45744</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45744</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45744</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45744</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45744</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45744</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45744</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45744</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45744</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45744</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45744</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45744</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45744</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45744</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45744</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45744</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45744</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45744</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45744</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45744</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45744</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45744</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45744</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45744</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45744</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45744</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45744</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45744</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45744</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45744</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45744</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45744</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45744</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45744</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45744</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45744</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45744</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45744</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45744</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45744</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45744</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45744</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45744</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45744</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45744</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45744</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45744</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45744</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45744</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45744</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45744</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45744</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45744</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45744</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45744</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45744</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45744</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45744</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45744</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45744</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45744</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45744</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45744</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45744</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45744</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45744</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45744</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45744</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45744</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45744</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45744</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45744</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45744</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45744</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45744</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45744</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45744</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45744</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45744</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45744</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45744</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45744</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45744</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45744</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45744</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45744</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45744</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45744</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45744</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45744</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45744</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45744</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45744</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45744</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45744</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45744</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45744</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45744</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45744</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45744</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45744</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45744</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45744</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45744</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45744</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45744</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45744</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45744</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45744</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45744</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45744</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45744</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45744</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45744</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45744</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45744</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45744</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45744</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45744</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45744</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45744</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45744</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45744</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45744</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45744</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45744</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45744</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45744</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45744</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45744</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45744</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45744</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45744</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45744</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45744</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45744</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45744</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45744</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45744</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45744</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45744</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45744</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45744</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45744</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45744</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45744</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45744</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45744</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45744</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45744</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45744</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45744</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45744</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45744</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45744</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45744</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45744</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45744</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45744</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45744</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45744</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45744</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45744</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45744</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45744</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45744</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45744</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45744</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45744</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45744</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45744</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45744</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45744</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45744</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45744</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45744</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45744</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45744</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45744</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45744</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45744</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45744</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45744</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45744</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45744</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45744</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45744</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45744</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45744</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45744</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45744</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45744</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45744</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45744</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45744</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45744</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45744</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45744</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45744</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45744</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45744</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45744</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45744</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45744</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45744</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45744</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45744</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45744</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45744</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45744</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45744</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45744</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45744</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45744</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45744</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45744</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45744</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45744</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45744</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45744</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45744</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45744</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45744</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45744</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45744</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45744</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45744</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45744</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45744</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45744</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45744</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45744</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45744</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45744</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45744</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45744</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45744</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45744</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45744</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45744</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45744</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45744</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45744</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45744</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45744</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45744</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45744</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45744</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45744</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45744</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45744</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45744</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45744</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45744</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45744</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45744</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45744</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45744</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45744</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45744</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45744</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45744</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45744</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45744</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45744</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45744</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45744</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45744</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45744</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45744</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45744</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45744</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45744</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45744</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45744</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45744</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45744</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45744</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45744</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45744</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45744</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45744</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45744</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45744</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45744</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45744</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45744</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45744</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45744</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45744</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45744</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45744</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45744</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45744</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45744</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45744</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45744</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45744</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45744</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45744</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45744</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45744</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45744</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45744</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45744</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45744</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45744</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45744</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45744</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45744</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45744</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45744</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45744</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45744</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45744</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45744</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45744</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45744</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45744</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45744</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45744</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45744</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45744</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45744</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45744</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45744</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45744</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45744</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45744</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45744</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45744</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45744</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45744</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45744</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45744</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45744</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45744</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45744</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45744</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45744</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45744</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45744</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45744</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45744</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45744</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45744</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45744</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45744</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45744</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45744</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45744</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45744</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45744</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45744</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45744</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45744</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45744</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45744</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45744</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45744</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45744</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45744</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45744</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45744</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45744</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45744</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45744</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45744</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45744</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45744</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45744</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45744</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45744</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45744</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45744</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45744</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45744</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45744</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45744</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45744</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45744</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45744</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45744</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45744</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45744</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45744</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45744</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45744</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45744</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45744</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45744</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45744</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45744</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45744</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45744</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45744</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45744</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45744</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45744</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45744</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9402-2025</t>
        </is>
      </c>
      <c r="B1093" s="1" t="n">
        <v>45715</v>
      </c>
      <c r="C1093" s="1" t="n">
        <v>45744</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row r="1094" ht="15" customHeight="1">
      <c r="A1094" t="inlineStr">
        <is>
          <t>A 10908-2025</t>
        </is>
      </c>
      <c r="B1094" s="1" t="n">
        <v>45722</v>
      </c>
      <c r="C1094" s="1" t="n">
        <v>45744</v>
      </c>
      <c r="D1094" t="inlineStr">
        <is>
          <t>NORRBOTTENS LÄN</t>
        </is>
      </c>
      <c r="E1094" t="inlineStr">
        <is>
          <t>PAJALA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13464-2025</t>
        </is>
      </c>
      <c r="B1095" s="1" t="n">
        <v>45736</v>
      </c>
      <c r="C1095" s="1" t="n">
        <v>45744</v>
      </c>
      <c r="D1095" t="inlineStr">
        <is>
          <t>NORRBOTTENS LÄN</t>
        </is>
      </c>
      <c r="E1095" t="inlineStr">
        <is>
          <t>PAJALA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13480-2025</t>
        </is>
      </c>
      <c r="B1096" s="1" t="n">
        <v>45736</v>
      </c>
      <c r="C1096" s="1" t="n">
        <v>45744</v>
      </c>
      <c r="D1096" t="inlineStr">
        <is>
          <t>NORRBOTTENS LÄN</t>
        </is>
      </c>
      <c r="E1096" t="inlineStr">
        <is>
          <t>PAJALA</t>
        </is>
      </c>
      <c r="G1096" t="n">
        <v>11.4</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45744</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14246-2025</t>
        </is>
      </c>
      <c r="B1098" s="1" t="n">
        <v>45740</v>
      </c>
      <c r="C1098" s="1" t="n">
        <v>45744</v>
      </c>
      <c r="D1098" t="inlineStr">
        <is>
          <t>NORRBOTTENS LÄN</t>
        </is>
      </c>
      <c r="E1098" t="inlineStr">
        <is>
          <t>PAJALA</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14337-2025</t>
        </is>
      </c>
      <c r="B1099" s="1" t="n">
        <v>45740</v>
      </c>
      <c r="C1099" s="1" t="n">
        <v>45744</v>
      </c>
      <c r="D1099" t="inlineStr">
        <is>
          <t>NORRBOTTENS LÄN</t>
        </is>
      </c>
      <c r="E1099" t="inlineStr">
        <is>
          <t>PAJALA</t>
        </is>
      </c>
      <c r="G1099" t="n">
        <v>3.4</v>
      </c>
      <c r="H1099" t="n">
        <v>0</v>
      </c>
      <c r="I1099" t="n">
        <v>0</v>
      </c>
      <c r="J1099" t="n">
        <v>0</v>
      </c>
      <c r="K1099" t="n">
        <v>0</v>
      </c>
      <c r="L1099" t="n">
        <v>0</v>
      </c>
      <c r="M1099" t="n">
        <v>0</v>
      </c>
      <c r="N1099" t="n">
        <v>0</v>
      </c>
      <c r="O1099" t="n">
        <v>0</v>
      </c>
      <c r="P1099" t="n">
        <v>0</v>
      </c>
      <c r="Q1099" t="n">
        <v>0</v>
      </c>
      <c r="R1099" s="2" t="inlineStr"/>
    </row>
    <row r="1100">
      <c r="A1100" t="inlineStr">
        <is>
          <t>A 14336-2025</t>
        </is>
      </c>
      <c r="B1100" s="1" t="n">
        <v>45740</v>
      </c>
      <c r="C1100" s="1" t="n">
        <v>45744</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2025-03-28T18:21:01Z</dcterms:created>
  <dcterms:modified xmlns:dcterms="http://purl.org/dc/terms/" xmlns:xsi="http://www.w3.org/2001/XMLSchema-instance" xsi:type="dcterms:W3CDTF">2025-03-28T18:21:02Z</dcterms:modified>
</cp:coreProperties>
</file>